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vnchxxxxx\Downloads\"/>
    </mc:Choice>
  </mc:AlternateContent>
  <xr:revisionPtr revIDLastSave="0" documentId="13_ncr:1_{55B9F579-03FC-4A7E-83C5-26A7D0605040}" xr6:coauthVersionLast="47" xr6:coauthVersionMax="47" xr10:uidLastSave="{00000000-0000-0000-0000-000000000000}"/>
  <bookViews>
    <workbookView xWindow="885" yWindow="1500" windowWidth="21825" windowHeight="11895" xr2:uid="{00000000-000D-0000-FFFF-FFFF00000000}"/>
  </bookViews>
  <sheets>
    <sheet name="ILI" sheetId="1" r:id="rId1"/>
  </sheets>
  <definedNames>
    <definedName name="_xlnm._FilterDatabase" localSheetId="0" hidden="1">ILI!$A$1:$AR$1434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47" i="1" l="1"/>
  <c r="AA2" i="1"/>
  <c r="AA1328" i="1"/>
  <c r="Z1328" i="1"/>
  <c r="J1328" i="1"/>
  <c r="I1328" i="1"/>
  <c r="AA1327" i="1"/>
  <c r="Z1327" i="1"/>
  <c r="J1327" i="1"/>
  <c r="I1327" i="1"/>
  <c r="AA1326" i="1"/>
  <c r="Z1326" i="1"/>
  <c r="J1326" i="1"/>
  <c r="I1326" i="1"/>
  <c r="AA1321" i="1"/>
  <c r="Z1321" i="1"/>
  <c r="J1321" i="1"/>
  <c r="I1321" i="1"/>
  <c r="AA1325" i="1"/>
  <c r="Z1325" i="1"/>
  <c r="J1325" i="1"/>
  <c r="I1325" i="1"/>
  <c r="AA1324" i="1"/>
  <c r="Z1324" i="1"/>
  <c r="J1324" i="1"/>
  <c r="I1324" i="1"/>
  <c r="AA1323" i="1"/>
  <c r="Z1323" i="1"/>
  <c r="J1323" i="1"/>
  <c r="I1323" i="1"/>
  <c r="AA1322" i="1"/>
  <c r="Z1322" i="1"/>
  <c r="J1322" i="1"/>
  <c r="I1322" i="1"/>
  <c r="AA1320" i="1"/>
  <c r="Z1320" i="1"/>
  <c r="J1320" i="1"/>
  <c r="I1320" i="1"/>
  <c r="AA1319" i="1"/>
  <c r="Z1319" i="1"/>
  <c r="J1319" i="1"/>
  <c r="I1319" i="1"/>
  <c r="AA1318" i="1"/>
  <c r="Z1318" i="1"/>
  <c r="J1318" i="1"/>
  <c r="I1318" i="1"/>
  <c r="AA1317" i="1"/>
  <c r="Z1317" i="1"/>
  <c r="J1317" i="1"/>
  <c r="I1317" i="1"/>
  <c r="AA1316" i="1"/>
  <c r="Z1316" i="1"/>
  <c r="J1316" i="1"/>
  <c r="I1316" i="1"/>
  <c r="AA1315" i="1"/>
  <c r="Z1315" i="1"/>
  <c r="J1315" i="1"/>
  <c r="I1315" i="1"/>
  <c r="AA1313" i="1"/>
  <c r="Z1313" i="1"/>
  <c r="J1313" i="1"/>
  <c r="I1313" i="1"/>
  <c r="AA1314" i="1"/>
  <c r="Z1314" i="1"/>
  <c r="J1314" i="1"/>
  <c r="I1314" i="1"/>
  <c r="AA1311" i="1"/>
  <c r="Z1311" i="1"/>
  <c r="J1311" i="1"/>
  <c r="I1311" i="1"/>
  <c r="AA1312" i="1"/>
  <c r="Z1312" i="1"/>
  <c r="J1312" i="1"/>
  <c r="I1312" i="1"/>
  <c r="AA1310" i="1"/>
  <c r="Z1310" i="1"/>
  <c r="J1310" i="1"/>
  <c r="I1310" i="1"/>
  <c r="AA1309" i="1"/>
  <c r="Z1309" i="1"/>
  <c r="J1309" i="1"/>
  <c r="I1309" i="1"/>
  <c r="AA1308" i="1"/>
  <c r="Z1308" i="1"/>
  <c r="J1308" i="1"/>
  <c r="I1308" i="1"/>
  <c r="AA1306" i="1"/>
  <c r="Z1306" i="1"/>
  <c r="J1306" i="1"/>
  <c r="I1306" i="1"/>
  <c r="H1306" i="1"/>
  <c r="AA1307" i="1"/>
  <c r="Z1307" i="1"/>
  <c r="AA1305" i="1"/>
  <c r="Z1305" i="1"/>
  <c r="J1305" i="1"/>
  <c r="I1305" i="1"/>
  <c r="H1305" i="1"/>
  <c r="AA1301" i="1"/>
  <c r="Z1301" i="1"/>
  <c r="J1301" i="1"/>
  <c r="I1301" i="1"/>
  <c r="H1301" i="1"/>
  <c r="AA1304" i="1"/>
  <c r="Z1304" i="1"/>
  <c r="J1304" i="1"/>
  <c r="I1304" i="1"/>
  <c r="H1304" i="1"/>
  <c r="AA1299" i="1"/>
  <c r="Z1299" i="1"/>
  <c r="J1299" i="1"/>
  <c r="I1299" i="1"/>
  <c r="H1299" i="1"/>
  <c r="AA1302" i="1"/>
  <c r="Z1302" i="1"/>
  <c r="J1302" i="1"/>
  <c r="I1302" i="1"/>
  <c r="H1302" i="1"/>
  <c r="AA1303" i="1"/>
  <c r="Z1303" i="1"/>
  <c r="J1303" i="1"/>
  <c r="I1303" i="1"/>
  <c r="H1303" i="1"/>
  <c r="AA1298" i="1"/>
  <c r="Z1298" i="1"/>
  <c r="J1298" i="1"/>
  <c r="I1298" i="1"/>
  <c r="H1298" i="1"/>
  <c r="AA1297" i="1"/>
  <c r="Z1297" i="1"/>
  <c r="J1297" i="1"/>
  <c r="I1297" i="1"/>
  <c r="H1297" i="1"/>
  <c r="AA542" i="1"/>
  <c r="Z542" i="1"/>
  <c r="J542" i="1"/>
  <c r="I542" i="1"/>
  <c r="H542" i="1"/>
  <c r="AA1256" i="1"/>
  <c r="Z1256" i="1"/>
  <c r="J1256" i="1"/>
  <c r="I1256" i="1"/>
  <c r="H1256" i="1"/>
  <c r="AA1255" i="1"/>
  <c r="Z1255" i="1"/>
  <c r="J1255" i="1"/>
  <c r="I1255" i="1"/>
  <c r="H1255" i="1"/>
  <c r="AA1295" i="1"/>
  <c r="Z1295" i="1"/>
  <c r="J1295" i="1"/>
  <c r="I1295" i="1"/>
  <c r="H1295" i="1"/>
  <c r="AA1294" i="1"/>
  <c r="Z1294" i="1"/>
  <c r="J1294" i="1"/>
  <c r="I1294" i="1"/>
  <c r="H1294" i="1"/>
  <c r="AA1293" i="1"/>
  <c r="Z1293" i="1"/>
  <c r="J1293" i="1"/>
  <c r="I1293" i="1"/>
  <c r="H1293" i="1"/>
  <c r="AA1292" i="1"/>
  <c r="Z1292" i="1"/>
  <c r="J1292" i="1"/>
  <c r="I1292" i="1"/>
  <c r="H1292" i="1"/>
  <c r="AA1291" i="1"/>
  <c r="Z1291" i="1"/>
  <c r="J1291" i="1"/>
  <c r="I1291" i="1"/>
  <c r="H1291" i="1"/>
  <c r="AA1254" i="1"/>
  <c r="Z1254" i="1"/>
  <c r="J1254" i="1"/>
  <c r="I1254" i="1"/>
  <c r="H1254" i="1"/>
  <c r="AA1253" i="1"/>
  <c r="Z1253" i="1"/>
  <c r="J1253" i="1"/>
  <c r="I1253" i="1"/>
  <c r="H1253" i="1"/>
  <c r="AA1252" i="1"/>
  <c r="Z1252" i="1"/>
  <c r="J1252" i="1"/>
  <c r="I1252" i="1"/>
  <c r="H1252" i="1"/>
  <c r="AA1290" i="1"/>
  <c r="Z1290" i="1"/>
  <c r="J1290" i="1"/>
  <c r="I1290" i="1"/>
  <c r="H1290" i="1"/>
  <c r="AA1289" i="1"/>
  <c r="Z1289" i="1"/>
  <c r="J1289" i="1"/>
  <c r="I1289" i="1"/>
  <c r="H1289" i="1"/>
  <c r="AA1245" i="1"/>
  <c r="Z1245" i="1"/>
  <c r="J1245" i="1"/>
  <c r="I1245" i="1"/>
  <c r="H1245" i="1"/>
  <c r="AA1288" i="1"/>
  <c r="Z1288" i="1"/>
  <c r="J1288" i="1"/>
  <c r="I1288" i="1"/>
  <c r="H1288" i="1"/>
  <c r="AA1287" i="1"/>
  <c r="Z1287" i="1"/>
  <c r="J1287" i="1"/>
  <c r="I1287" i="1"/>
  <c r="H1287" i="1"/>
  <c r="AA1286" i="1"/>
  <c r="Z1286" i="1"/>
  <c r="J1286" i="1"/>
  <c r="I1286" i="1"/>
  <c r="H1286" i="1"/>
  <c r="AA1285" i="1"/>
  <c r="Z1285" i="1"/>
  <c r="J1285" i="1"/>
  <c r="I1285" i="1"/>
  <c r="H1285" i="1"/>
  <c r="AA1284" i="1"/>
  <c r="Z1284" i="1"/>
  <c r="J1284" i="1"/>
  <c r="I1284" i="1"/>
  <c r="H1284" i="1"/>
  <c r="AA1283" i="1"/>
  <c r="Z1283" i="1"/>
  <c r="J1283" i="1"/>
  <c r="I1283" i="1"/>
  <c r="H1283" i="1"/>
  <c r="AA1282" i="1"/>
  <c r="Z1282" i="1"/>
  <c r="J1282" i="1"/>
  <c r="I1282" i="1"/>
  <c r="H1282" i="1"/>
  <c r="AA1281" i="1"/>
  <c r="Z1281" i="1"/>
  <c r="J1281" i="1"/>
  <c r="I1281" i="1"/>
  <c r="H1281" i="1"/>
  <c r="AA1251" i="1"/>
  <c r="Z1251" i="1"/>
  <c r="J1251" i="1"/>
  <c r="I1251" i="1"/>
  <c r="H1251" i="1"/>
  <c r="AA1250" i="1"/>
  <c r="Z1250" i="1"/>
  <c r="J1250" i="1"/>
  <c r="I1250" i="1"/>
  <c r="H1250" i="1"/>
  <c r="AA1280" i="1"/>
  <c r="Z1280" i="1"/>
  <c r="J1280" i="1"/>
  <c r="I1280" i="1"/>
  <c r="H1280" i="1"/>
  <c r="AA1279" i="1"/>
  <c r="Z1279" i="1"/>
  <c r="J1279" i="1"/>
  <c r="I1279" i="1"/>
  <c r="H1279" i="1"/>
  <c r="AA1278" i="1"/>
  <c r="Z1278" i="1"/>
  <c r="J1278" i="1"/>
  <c r="I1278" i="1"/>
  <c r="H1278" i="1"/>
  <c r="AA1244" i="1"/>
  <c r="Z1244" i="1"/>
  <c r="J1244" i="1"/>
  <c r="I1244" i="1"/>
  <c r="H1244" i="1"/>
  <c r="AA1277" i="1"/>
  <c r="Z1277" i="1"/>
  <c r="J1277" i="1"/>
  <c r="I1277" i="1"/>
  <c r="H1277" i="1"/>
  <c r="AA1276" i="1"/>
  <c r="Z1276" i="1"/>
  <c r="J1276" i="1"/>
  <c r="I1276" i="1"/>
  <c r="H1276" i="1"/>
  <c r="AA1275" i="1"/>
  <c r="Z1275" i="1"/>
  <c r="J1275" i="1"/>
  <c r="I1275" i="1"/>
  <c r="H1275" i="1"/>
  <c r="AA1274" i="1"/>
  <c r="Z1274" i="1"/>
  <c r="J1274" i="1"/>
  <c r="I1274" i="1"/>
  <c r="H1274" i="1"/>
  <c r="AA1273" i="1"/>
  <c r="Z1273" i="1"/>
  <c r="J1273" i="1"/>
  <c r="I1273" i="1"/>
  <c r="H1273" i="1"/>
  <c r="AA1272" i="1"/>
  <c r="Z1272" i="1"/>
  <c r="J1272" i="1"/>
  <c r="I1272" i="1"/>
  <c r="H1272" i="1"/>
  <c r="AA1271" i="1"/>
  <c r="Z1271" i="1"/>
  <c r="J1271" i="1"/>
  <c r="I1271" i="1"/>
  <c r="H1271" i="1"/>
  <c r="AA1249" i="1"/>
  <c r="Z1249" i="1"/>
  <c r="J1249" i="1"/>
  <c r="I1249" i="1"/>
  <c r="H1249" i="1"/>
  <c r="AA1270" i="1"/>
  <c r="Z1270" i="1"/>
  <c r="J1270" i="1"/>
  <c r="I1270" i="1"/>
  <c r="H1270" i="1"/>
  <c r="AA1269" i="1"/>
  <c r="Z1269" i="1"/>
  <c r="J1269" i="1"/>
  <c r="I1269" i="1"/>
  <c r="H1269" i="1"/>
  <c r="AA1268" i="1"/>
  <c r="Z1268" i="1"/>
  <c r="J1268" i="1"/>
  <c r="I1268" i="1"/>
  <c r="H1268" i="1"/>
  <c r="AA1243" i="1"/>
  <c r="Z1243" i="1"/>
  <c r="J1243" i="1"/>
  <c r="I1243" i="1"/>
  <c r="H1243" i="1"/>
  <c r="AA1242" i="1"/>
  <c r="Z1242" i="1"/>
  <c r="J1242" i="1"/>
  <c r="I1242" i="1"/>
  <c r="H1242" i="1"/>
  <c r="AA1248" i="1"/>
  <c r="Z1248" i="1"/>
  <c r="J1248" i="1"/>
  <c r="I1248" i="1"/>
  <c r="H1248" i="1"/>
  <c r="AA1267" i="1"/>
  <c r="Z1267" i="1"/>
  <c r="J1267" i="1"/>
  <c r="I1267" i="1"/>
  <c r="H1267" i="1"/>
  <c r="AA1257" i="1"/>
  <c r="Z1257" i="1"/>
  <c r="J1257" i="1"/>
  <c r="I1257" i="1"/>
  <c r="H1257" i="1"/>
  <c r="AA1247" i="1"/>
  <c r="Z1247" i="1"/>
  <c r="J1247" i="1"/>
  <c r="I1247" i="1"/>
  <c r="H1247" i="1"/>
  <c r="AA1266" i="1"/>
  <c r="Z1266" i="1"/>
  <c r="J1266" i="1"/>
  <c r="I1266" i="1"/>
  <c r="H1266" i="1"/>
  <c r="AA1265" i="1"/>
  <c r="Z1265" i="1"/>
  <c r="J1265" i="1"/>
  <c r="I1265" i="1"/>
  <c r="H1265" i="1"/>
  <c r="AA1264" i="1"/>
  <c r="Z1264" i="1"/>
  <c r="J1264" i="1"/>
  <c r="I1264" i="1"/>
  <c r="H1264" i="1"/>
  <c r="AA1241" i="1"/>
  <c r="Z1241" i="1"/>
  <c r="J1241" i="1"/>
  <c r="I1241" i="1"/>
  <c r="H1241" i="1"/>
  <c r="AA1263" i="1"/>
  <c r="Z1263" i="1"/>
  <c r="J1263" i="1"/>
  <c r="I1263" i="1"/>
  <c r="H1263" i="1"/>
  <c r="AA1262" i="1"/>
  <c r="Z1262" i="1"/>
  <c r="J1262" i="1"/>
  <c r="I1262" i="1"/>
  <c r="H1262" i="1"/>
  <c r="AA1261" i="1"/>
  <c r="Z1261" i="1"/>
  <c r="J1261" i="1"/>
  <c r="I1261" i="1"/>
  <c r="H1261" i="1"/>
  <c r="AA1240" i="1"/>
  <c r="Z1240" i="1"/>
  <c r="J1240" i="1"/>
  <c r="I1240" i="1"/>
  <c r="H1240" i="1"/>
  <c r="AA1260" i="1"/>
  <c r="Z1260" i="1"/>
  <c r="J1260" i="1"/>
  <c r="I1260" i="1"/>
  <c r="H1260" i="1"/>
  <c r="AA1259" i="1"/>
  <c r="Z1259" i="1"/>
  <c r="J1259" i="1"/>
  <c r="I1259" i="1"/>
  <c r="H1259" i="1"/>
  <c r="AA1239" i="1"/>
  <c r="Z1239" i="1"/>
  <c r="J1239" i="1"/>
  <c r="I1239" i="1"/>
  <c r="H1239" i="1"/>
  <c r="AA1238" i="1"/>
  <c r="Z1238" i="1"/>
  <c r="J1238" i="1"/>
  <c r="I1238" i="1"/>
  <c r="H1238" i="1"/>
  <c r="AA1237" i="1"/>
  <c r="Z1237" i="1"/>
  <c r="J1237" i="1"/>
  <c r="I1237" i="1"/>
  <c r="H1237" i="1"/>
  <c r="AA1236" i="1"/>
  <c r="Z1236" i="1"/>
  <c r="J1236" i="1"/>
  <c r="I1236" i="1"/>
  <c r="H1236" i="1"/>
  <c r="AA1235" i="1"/>
  <c r="Z1235" i="1"/>
  <c r="J1235" i="1"/>
  <c r="I1235" i="1"/>
  <c r="H1235" i="1"/>
  <c r="AA1234" i="1"/>
  <c r="Z1234" i="1"/>
  <c r="J1234" i="1"/>
  <c r="I1234" i="1"/>
  <c r="H1234" i="1"/>
  <c r="AA1233" i="1"/>
  <c r="Z1233" i="1"/>
  <c r="J1233" i="1"/>
  <c r="I1233" i="1"/>
  <c r="H1233" i="1"/>
  <c r="AA1232" i="1"/>
  <c r="Z1232" i="1"/>
  <c r="J1232" i="1"/>
  <c r="I1232" i="1"/>
  <c r="H1232" i="1"/>
  <c r="AA1231" i="1"/>
  <c r="Z1231" i="1"/>
  <c r="J1231" i="1"/>
  <c r="I1231" i="1"/>
  <c r="H1231" i="1"/>
  <c r="AA1230" i="1"/>
  <c r="Z1230" i="1"/>
  <c r="J1230" i="1"/>
  <c r="I1230" i="1"/>
  <c r="H1230" i="1"/>
  <c r="AA1229" i="1"/>
  <c r="Z1229" i="1"/>
  <c r="J1229" i="1"/>
  <c r="I1229" i="1"/>
  <c r="H1229" i="1"/>
  <c r="AA1228" i="1"/>
  <c r="Z1228" i="1"/>
  <c r="J1228" i="1"/>
  <c r="I1228" i="1"/>
  <c r="H1228" i="1"/>
  <c r="AA1227" i="1"/>
  <c r="Z1227" i="1"/>
  <c r="J1227" i="1"/>
  <c r="I1227" i="1"/>
  <c r="H1227" i="1"/>
  <c r="AA1226" i="1"/>
  <c r="Z1226" i="1"/>
  <c r="J1226" i="1"/>
  <c r="I1226" i="1"/>
  <c r="H1226" i="1"/>
  <c r="AA1225" i="1"/>
  <c r="Z1225" i="1"/>
  <c r="J1225" i="1"/>
  <c r="I1225" i="1"/>
  <c r="H1225" i="1"/>
  <c r="AA1224" i="1"/>
  <c r="Z1224" i="1"/>
  <c r="J1224" i="1"/>
  <c r="I1224" i="1"/>
  <c r="H1224" i="1"/>
  <c r="AA1223" i="1"/>
  <c r="Z1223" i="1"/>
  <c r="J1223" i="1"/>
  <c r="I1223" i="1"/>
  <c r="H1223" i="1"/>
  <c r="AA1222" i="1"/>
  <c r="Z1222" i="1"/>
  <c r="J1222" i="1"/>
  <c r="I1222" i="1"/>
  <c r="H1222" i="1"/>
  <c r="AA1203" i="1"/>
  <c r="Z1203" i="1"/>
  <c r="J1203" i="1"/>
  <c r="I1203" i="1"/>
  <c r="H1203" i="1"/>
  <c r="AA1221" i="1"/>
  <c r="Z1221" i="1"/>
  <c r="J1221" i="1"/>
  <c r="I1221" i="1"/>
  <c r="H1221" i="1"/>
  <c r="AA1213" i="1"/>
  <c r="Z1213" i="1"/>
  <c r="J1213" i="1"/>
  <c r="I1213" i="1"/>
  <c r="H1213" i="1"/>
  <c r="AA1212" i="1"/>
  <c r="Z1212" i="1"/>
  <c r="J1212" i="1"/>
  <c r="I1212" i="1"/>
  <c r="H1212" i="1"/>
  <c r="AA1202" i="1"/>
  <c r="Z1202" i="1"/>
  <c r="J1202" i="1"/>
  <c r="I1202" i="1"/>
  <c r="H1202" i="1"/>
  <c r="AA1220" i="1"/>
  <c r="Z1220" i="1"/>
  <c r="J1220" i="1"/>
  <c r="I1220" i="1"/>
  <c r="H1220" i="1"/>
  <c r="AA1201" i="1"/>
  <c r="Z1201" i="1"/>
  <c r="J1201" i="1"/>
  <c r="I1201" i="1"/>
  <c r="H1201" i="1"/>
  <c r="AA1219" i="1"/>
  <c r="Z1219" i="1"/>
  <c r="J1219" i="1"/>
  <c r="I1219" i="1"/>
  <c r="H1219" i="1"/>
  <c r="AA1200" i="1"/>
  <c r="Z1200" i="1"/>
  <c r="J1200" i="1"/>
  <c r="I1200" i="1"/>
  <c r="H1200" i="1"/>
  <c r="AA1211" i="1"/>
  <c r="Z1211" i="1"/>
  <c r="J1211" i="1"/>
  <c r="I1211" i="1"/>
  <c r="H1211" i="1"/>
  <c r="AA1218" i="1"/>
  <c r="Z1218" i="1"/>
  <c r="J1218" i="1"/>
  <c r="I1218" i="1"/>
  <c r="H1218" i="1"/>
  <c r="AA1210" i="1"/>
  <c r="Z1210" i="1"/>
  <c r="J1210" i="1"/>
  <c r="I1210" i="1"/>
  <c r="H1210" i="1"/>
  <c r="AA1209" i="1"/>
  <c r="Z1209" i="1"/>
  <c r="J1209" i="1"/>
  <c r="I1209" i="1"/>
  <c r="H1209" i="1"/>
  <c r="AA1199" i="1"/>
  <c r="Z1199" i="1"/>
  <c r="J1199" i="1"/>
  <c r="I1199" i="1"/>
  <c r="H1199" i="1"/>
  <c r="AA1208" i="1"/>
  <c r="Z1208" i="1"/>
  <c r="J1208" i="1"/>
  <c r="I1208" i="1"/>
  <c r="H1208" i="1"/>
  <c r="AA1217" i="1"/>
  <c r="Z1217" i="1"/>
  <c r="J1217" i="1"/>
  <c r="I1217" i="1"/>
  <c r="H1217" i="1"/>
  <c r="AA1207" i="1"/>
  <c r="Z1207" i="1"/>
  <c r="J1207" i="1"/>
  <c r="I1207" i="1"/>
  <c r="H1207" i="1"/>
  <c r="AA1198" i="1"/>
  <c r="Z1198" i="1"/>
  <c r="J1198" i="1"/>
  <c r="I1198" i="1"/>
  <c r="H1198" i="1"/>
  <c r="AA1216" i="1"/>
  <c r="Z1216" i="1"/>
  <c r="J1216" i="1"/>
  <c r="I1216" i="1"/>
  <c r="H1216" i="1"/>
  <c r="AA1215" i="1"/>
  <c r="Z1215" i="1"/>
  <c r="J1215" i="1"/>
  <c r="I1215" i="1"/>
  <c r="H1215" i="1"/>
  <c r="AA1206" i="1"/>
  <c r="Z1206" i="1"/>
  <c r="J1206" i="1"/>
  <c r="I1206" i="1"/>
  <c r="H1206" i="1"/>
  <c r="AA1197" i="1"/>
  <c r="Z1197" i="1"/>
  <c r="J1197" i="1"/>
  <c r="I1197" i="1"/>
  <c r="H1197" i="1"/>
  <c r="AA1196" i="1"/>
  <c r="Z1196" i="1"/>
  <c r="J1196" i="1"/>
  <c r="I1196" i="1"/>
  <c r="H1196" i="1"/>
  <c r="AA1214" i="1"/>
  <c r="Z1214" i="1"/>
  <c r="J1214" i="1"/>
  <c r="I1214" i="1"/>
  <c r="H1214" i="1"/>
  <c r="AA1195" i="1"/>
  <c r="Z1195" i="1"/>
  <c r="J1195" i="1"/>
  <c r="I1195" i="1"/>
  <c r="H1195" i="1"/>
  <c r="AA1205" i="1"/>
  <c r="Z1205" i="1"/>
  <c r="J1205" i="1"/>
  <c r="I1205" i="1"/>
  <c r="H1205" i="1"/>
  <c r="AA1194" i="1"/>
  <c r="Z1194" i="1"/>
  <c r="J1194" i="1"/>
  <c r="I1194" i="1"/>
  <c r="H1194" i="1"/>
  <c r="AA1204" i="1"/>
  <c r="Z1204" i="1"/>
  <c r="J1204" i="1"/>
  <c r="I1204" i="1"/>
  <c r="H1204" i="1"/>
  <c r="AA1193" i="1"/>
  <c r="Z1193" i="1"/>
  <c r="J1193" i="1"/>
  <c r="I1193" i="1"/>
  <c r="H1193" i="1"/>
  <c r="AA1192" i="1"/>
  <c r="Z1192" i="1"/>
  <c r="J1192" i="1"/>
  <c r="I1192" i="1"/>
  <c r="H1192" i="1"/>
  <c r="AA1191" i="1"/>
  <c r="Z1191" i="1"/>
  <c r="J1191" i="1"/>
  <c r="I1191" i="1"/>
  <c r="H1191" i="1"/>
  <c r="AA1190" i="1"/>
  <c r="Z1190" i="1"/>
  <c r="J1190" i="1"/>
  <c r="I1190" i="1"/>
  <c r="H1190" i="1"/>
  <c r="AA1189" i="1"/>
  <c r="Z1189" i="1"/>
  <c r="J1189" i="1"/>
  <c r="I1189" i="1"/>
  <c r="H1189" i="1"/>
  <c r="AA1188" i="1"/>
  <c r="Z1188" i="1"/>
  <c r="J1188" i="1"/>
  <c r="I1188" i="1"/>
  <c r="H1188" i="1"/>
  <c r="AA1164" i="1"/>
  <c r="Z1164" i="1"/>
  <c r="J1164" i="1"/>
  <c r="I1164" i="1"/>
  <c r="H1164" i="1"/>
  <c r="AA1163" i="1"/>
  <c r="Z1163" i="1"/>
  <c r="J1163" i="1"/>
  <c r="I1163" i="1"/>
  <c r="H1163" i="1"/>
  <c r="AA1187" i="1"/>
  <c r="Z1187" i="1"/>
  <c r="J1187" i="1"/>
  <c r="I1187" i="1"/>
  <c r="H1187" i="1"/>
  <c r="AA1186" i="1"/>
  <c r="Z1186" i="1"/>
  <c r="J1186" i="1"/>
  <c r="I1186" i="1"/>
  <c r="H1186" i="1"/>
  <c r="AA1185" i="1"/>
  <c r="Z1185" i="1"/>
  <c r="J1185" i="1"/>
  <c r="I1185" i="1"/>
  <c r="H1185" i="1"/>
  <c r="AA1184" i="1"/>
  <c r="Z1184" i="1"/>
  <c r="J1184" i="1"/>
  <c r="I1184" i="1"/>
  <c r="H1184" i="1"/>
  <c r="AA1162" i="1"/>
  <c r="Z1162" i="1"/>
  <c r="J1162" i="1"/>
  <c r="I1162" i="1"/>
  <c r="H1162" i="1"/>
  <c r="AA1161" i="1"/>
  <c r="Z1161" i="1"/>
  <c r="J1161" i="1"/>
  <c r="I1161" i="1"/>
  <c r="H1161" i="1"/>
  <c r="AA1183" i="1"/>
  <c r="Z1183" i="1"/>
  <c r="J1183" i="1"/>
  <c r="I1183" i="1"/>
  <c r="H1183" i="1"/>
  <c r="AA1182" i="1"/>
  <c r="Z1182" i="1"/>
  <c r="J1182" i="1"/>
  <c r="I1182" i="1"/>
  <c r="H1182" i="1"/>
  <c r="AA1181" i="1"/>
  <c r="Z1181" i="1"/>
  <c r="J1181" i="1"/>
  <c r="I1181" i="1"/>
  <c r="H1181" i="1"/>
  <c r="AA1180" i="1"/>
  <c r="Z1180" i="1"/>
  <c r="J1180" i="1"/>
  <c r="I1180" i="1"/>
  <c r="H1180" i="1"/>
  <c r="AA1160" i="1"/>
  <c r="Z1160" i="1"/>
  <c r="J1160" i="1"/>
  <c r="I1160" i="1"/>
  <c r="H1160" i="1"/>
  <c r="AA1159" i="1"/>
  <c r="Z1159" i="1"/>
  <c r="J1159" i="1"/>
  <c r="I1159" i="1"/>
  <c r="H1159" i="1"/>
  <c r="AA1179" i="1"/>
  <c r="Z1179" i="1"/>
  <c r="J1179" i="1"/>
  <c r="I1179" i="1"/>
  <c r="H1179" i="1"/>
  <c r="AA1178" i="1"/>
  <c r="Z1178" i="1"/>
  <c r="J1178" i="1"/>
  <c r="I1178" i="1"/>
  <c r="H1178" i="1"/>
  <c r="AA1177" i="1"/>
  <c r="Z1177" i="1"/>
  <c r="J1177" i="1"/>
  <c r="I1177" i="1"/>
  <c r="H1177" i="1"/>
  <c r="AA1176" i="1"/>
  <c r="Z1176" i="1"/>
  <c r="J1176" i="1"/>
  <c r="I1176" i="1"/>
  <c r="H1176" i="1"/>
  <c r="AA1158" i="1"/>
  <c r="Z1158" i="1"/>
  <c r="J1158" i="1"/>
  <c r="I1158" i="1"/>
  <c r="H1158" i="1"/>
  <c r="AA1175" i="1"/>
  <c r="Z1175" i="1"/>
  <c r="J1175" i="1"/>
  <c r="I1175" i="1"/>
  <c r="H1175" i="1"/>
  <c r="AA1174" i="1"/>
  <c r="Z1174" i="1"/>
  <c r="J1174" i="1"/>
  <c r="I1174" i="1"/>
  <c r="H1174" i="1"/>
  <c r="AA1173" i="1"/>
  <c r="Z1173" i="1"/>
  <c r="J1173" i="1"/>
  <c r="I1173" i="1"/>
  <c r="H1173" i="1"/>
  <c r="AA1157" i="1"/>
  <c r="Z1157" i="1"/>
  <c r="J1157" i="1"/>
  <c r="I1157" i="1"/>
  <c r="H1157" i="1"/>
  <c r="AA1156" i="1"/>
  <c r="Z1156" i="1"/>
  <c r="J1156" i="1"/>
  <c r="I1156" i="1"/>
  <c r="H1156" i="1"/>
  <c r="AA1172" i="1"/>
  <c r="Z1172" i="1"/>
  <c r="J1172" i="1"/>
  <c r="I1172" i="1"/>
  <c r="H1172" i="1"/>
  <c r="AA1171" i="1"/>
  <c r="Z1171" i="1"/>
  <c r="J1171" i="1"/>
  <c r="I1171" i="1"/>
  <c r="H1171" i="1"/>
  <c r="AA1155" i="1"/>
  <c r="Z1155" i="1"/>
  <c r="J1155" i="1"/>
  <c r="I1155" i="1"/>
  <c r="H1155" i="1"/>
  <c r="AA541" i="1"/>
  <c r="Z541" i="1"/>
  <c r="J541" i="1"/>
  <c r="I541" i="1"/>
  <c r="H541" i="1"/>
  <c r="AA1153" i="1"/>
  <c r="Z1153" i="1"/>
  <c r="J1153" i="1"/>
  <c r="I1153" i="1"/>
  <c r="H1153" i="1"/>
  <c r="AA1152" i="1"/>
  <c r="Z1152" i="1"/>
  <c r="J1152" i="1"/>
  <c r="I1152" i="1"/>
  <c r="H1152" i="1"/>
  <c r="AA1170" i="1"/>
  <c r="Z1170" i="1"/>
  <c r="J1170" i="1"/>
  <c r="I1170" i="1"/>
  <c r="H1170" i="1"/>
  <c r="AA1151" i="1"/>
  <c r="Z1151" i="1"/>
  <c r="J1151" i="1"/>
  <c r="I1151" i="1"/>
  <c r="H1151" i="1"/>
  <c r="AA1150" i="1"/>
  <c r="Z1150" i="1"/>
  <c r="J1150" i="1"/>
  <c r="I1150" i="1"/>
  <c r="H1150" i="1"/>
  <c r="AA1169" i="1"/>
  <c r="Z1169" i="1"/>
  <c r="J1169" i="1"/>
  <c r="I1169" i="1"/>
  <c r="H1169" i="1"/>
  <c r="AA1168" i="1"/>
  <c r="Z1168" i="1"/>
  <c r="J1168" i="1"/>
  <c r="I1168" i="1"/>
  <c r="H1168" i="1"/>
  <c r="AA1167" i="1"/>
  <c r="Z1167" i="1"/>
  <c r="J1167" i="1"/>
  <c r="I1167" i="1"/>
  <c r="H1167" i="1"/>
  <c r="AA1141" i="1"/>
  <c r="Z1141" i="1"/>
  <c r="J1141" i="1"/>
  <c r="I1141" i="1"/>
  <c r="H1141" i="1"/>
  <c r="AA1140" i="1"/>
  <c r="Z1140" i="1"/>
  <c r="J1140" i="1"/>
  <c r="I1140" i="1"/>
  <c r="H1140" i="1"/>
  <c r="AA1139" i="1"/>
  <c r="Z1139" i="1"/>
  <c r="J1139" i="1"/>
  <c r="I1139" i="1"/>
  <c r="H1139" i="1"/>
  <c r="AA1138" i="1"/>
  <c r="Z1138" i="1"/>
  <c r="J1138" i="1"/>
  <c r="I1138" i="1"/>
  <c r="H1138" i="1"/>
  <c r="AA1149" i="1"/>
  <c r="Z1149" i="1"/>
  <c r="J1149" i="1"/>
  <c r="I1149" i="1"/>
  <c r="H1149" i="1"/>
  <c r="AA1137" i="1"/>
  <c r="Z1137" i="1"/>
  <c r="J1137" i="1"/>
  <c r="I1137" i="1"/>
  <c r="H1137" i="1"/>
  <c r="AA1148" i="1"/>
  <c r="Z1148" i="1"/>
  <c r="J1148" i="1"/>
  <c r="I1148" i="1"/>
  <c r="H1148" i="1"/>
  <c r="AA1147" i="1"/>
  <c r="Z1147" i="1"/>
  <c r="J1147" i="1"/>
  <c r="I1147" i="1"/>
  <c r="H1147" i="1"/>
  <c r="AA1146" i="1"/>
  <c r="Z1146" i="1"/>
  <c r="J1146" i="1"/>
  <c r="I1146" i="1"/>
  <c r="H1146" i="1"/>
  <c r="AA1136" i="1"/>
  <c r="Z1136" i="1"/>
  <c r="J1136" i="1"/>
  <c r="I1136" i="1"/>
  <c r="H1136" i="1"/>
  <c r="AA1135" i="1"/>
  <c r="Z1135" i="1"/>
  <c r="J1135" i="1"/>
  <c r="I1135" i="1"/>
  <c r="H1135" i="1"/>
  <c r="AA1145" i="1"/>
  <c r="Z1145" i="1"/>
  <c r="J1145" i="1"/>
  <c r="I1145" i="1"/>
  <c r="H1145" i="1"/>
  <c r="AA1144" i="1"/>
  <c r="Z1144" i="1"/>
  <c r="J1144" i="1"/>
  <c r="I1144" i="1"/>
  <c r="H1144" i="1"/>
  <c r="AA1143" i="1"/>
  <c r="Z1143" i="1"/>
  <c r="J1143" i="1"/>
  <c r="I1143" i="1"/>
  <c r="H1143" i="1"/>
  <c r="AA1134" i="1"/>
  <c r="Z1134" i="1"/>
  <c r="J1134" i="1"/>
  <c r="I1134" i="1"/>
  <c r="H1134" i="1"/>
  <c r="AA1142" i="1"/>
  <c r="Z1142" i="1"/>
  <c r="J1142" i="1"/>
  <c r="I1142" i="1"/>
  <c r="H1142" i="1"/>
  <c r="AA1132" i="1"/>
  <c r="Z1132" i="1"/>
  <c r="J1132" i="1"/>
  <c r="I1132" i="1"/>
  <c r="H1132" i="1"/>
  <c r="AA1133" i="1"/>
  <c r="Z1133" i="1"/>
  <c r="J1133" i="1"/>
  <c r="I1133" i="1"/>
  <c r="H1133" i="1"/>
  <c r="AA1116" i="1"/>
  <c r="Z1116" i="1"/>
  <c r="J1116" i="1"/>
  <c r="I1116" i="1"/>
  <c r="H1116" i="1"/>
  <c r="AA1130" i="1"/>
  <c r="Z1130" i="1"/>
  <c r="J1130" i="1"/>
  <c r="I1130" i="1"/>
  <c r="H1130" i="1"/>
  <c r="AA1115" i="1"/>
  <c r="Z1115" i="1"/>
  <c r="J1115" i="1"/>
  <c r="I1115" i="1"/>
  <c r="H1115" i="1"/>
  <c r="AA1129" i="1"/>
  <c r="Z1129" i="1"/>
  <c r="J1129" i="1"/>
  <c r="I1129" i="1"/>
  <c r="H1129" i="1"/>
  <c r="AA1128" i="1"/>
  <c r="Z1128" i="1"/>
  <c r="J1128" i="1"/>
  <c r="I1128" i="1"/>
  <c r="H1128" i="1"/>
  <c r="AA1099" i="1"/>
  <c r="Z1099" i="1"/>
  <c r="J1099" i="1"/>
  <c r="I1099" i="1"/>
  <c r="H1099" i="1"/>
  <c r="AA1127" i="1"/>
  <c r="Z1127" i="1"/>
  <c r="J1127" i="1"/>
  <c r="I1127" i="1"/>
  <c r="H1127" i="1"/>
  <c r="AA1114" i="1"/>
  <c r="Z1114" i="1"/>
  <c r="J1114" i="1"/>
  <c r="I1114" i="1"/>
  <c r="H1114" i="1"/>
  <c r="AA1113" i="1"/>
  <c r="Z1113" i="1"/>
  <c r="J1113" i="1"/>
  <c r="I1113" i="1"/>
  <c r="H1113" i="1"/>
  <c r="AA1112" i="1"/>
  <c r="Z1112" i="1"/>
  <c r="J1112" i="1"/>
  <c r="I1112" i="1"/>
  <c r="H1112" i="1"/>
  <c r="AA1126" i="1"/>
  <c r="Z1126" i="1"/>
  <c r="J1126" i="1"/>
  <c r="I1126" i="1"/>
  <c r="H1126" i="1"/>
  <c r="AA1111" i="1"/>
  <c r="Z1111" i="1"/>
  <c r="J1111" i="1"/>
  <c r="I1111" i="1"/>
  <c r="H1111" i="1"/>
  <c r="AA1125" i="1"/>
  <c r="Z1125" i="1"/>
  <c r="J1125" i="1"/>
  <c r="I1125" i="1"/>
  <c r="H1125" i="1"/>
  <c r="AA1124" i="1"/>
  <c r="Z1124" i="1"/>
  <c r="J1124" i="1"/>
  <c r="I1124" i="1"/>
  <c r="H1124" i="1"/>
  <c r="AA1110" i="1"/>
  <c r="Z1110" i="1"/>
  <c r="J1110" i="1"/>
  <c r="I1110" i="1"/>
  <c r="H1110" i="1"/>
  <c r="AA1098" i="1"/>
  <c r="Z1098" i="1"/>
  <c r="J1098" i="1"/>
  <c r="I1098" i="1"/>
  <c r="H1098" i="1"/>
  <c r="AA1123" i="1"/>
  <c r="Z1123" i="1"/>
  <c r="J1123" i="1"/>
  <c r="I1123" i="1"/>
  <c r="H1123" i="1"/>
  <c r="AB1109" i="1"/>
  <c r="AA1109" i="1"/>
  <c r="Z1109" i="1"/>
  <c r="J1109" i="1"/>
  <c r="I1109" i="1"/>
  <c r="H1109" i="1"/>
  <c r="AA1108" i="1"/>
  <c r="Z1108" i="1"/>
  <c r="J1108" i="1"/>
  <c r="I1108" i="1"/>
  <c r="H1108" i="1"/>
  <c r="AA1122" i="1"/>
  <c r="Z1122" i="1"/>
  <c r="J1122" i="1"/>
  <c r="I1122" i="1"/>
  <c r="H1122" i="1"/>
  <c r="AA1107" i="1"/>
  <c r="Z1107" i="1"/>
  <c r="J1107" i="1"/>
  <c r="I1107" i="1"/>
  <c r="H1107" i="1"/>
  <c r="AA1121" i="1"/>
  <c r="Z1121" i="1"/>
  <c r="J1121" i="1"/>
  <c r="I1121" i="1"/>
  <c r="H1121" i="1"/>
  <c r="AA1106" i="1"/>
  <c r="Z1106" i="1"/>
  <c r="J1106" i="1"/>
  <c r="I1106" i="1"/>
  <c r="H1106" i="1"/>
  <c r="AA1105" i="1"/>
  <c r="Z1105" i="1"/>
  <c r="J1105" i="1"/>
  <c r="I1105" i="1"/>
  <c r="H1105" i="1"/>
  <c r="AA1120" i="1"/>
  <c r="Z1120" i="1"/>
  <c r="J1120" i="1"/>
  <c r="I1120" i="1"/>
  <c r="H1120" i="1"/>
  <c r="AA1119" i="1"/>
  <c r="Z1119" i="1"/>
  <c r="J1119" i="1"/>
  <c r="I1119" i="1"/>
  <c r="H1119" i="1"/>
  <c r="AA1118" i="1"/>
  <c r="Z1118" i="1"/>
  <c r="J1118" i="1"/>
  <c r="I1118" i="1"/>
  <c r="H1118" i="1"/>
  <c r="AA1104" i="1"/>
  <c r="Z1104" i="1"/>
  <c r="J1104" i="1"/>
  <c r="I1104" i="1"/>
  <c r="H1104" i="1"/>
  <c r="AA892" i="1"/>
  <c r="Z892" i="1"/>
  <c r="J892" i="1"/>
  <c r="I892" i="1"/>
  <c r="H892" i="1"/>
  <c r="AA1103" i="1"/>
  <c r="Z1103" i="1"/>
  <c r="J1103" i="1"/>
  <c r="I1103" i="1"/>
  <c r="H1103" i="1"/>
  <c r="AA1102" i="1"/>
  <c r="Z1102" i="1"/>
  <c r="J1102" i="1"/>
  <c r="I1102" i="1"/>
  <c r="H1102" i="1"/>
  <c r="AA1101" i="1"/>
  <c r="Z1101" i="1"/>
  <c r="J1101" i="1"/>
  <c r="I1101" i="1"/>
  <c r="H1101" i="1"/>
  <c r="AA1131" i="1"/>
  <c r="Z1131" i="1"/>
  <c r="J1131" i="1"/>
  <c r="I1131" i="1"/>
  <c r="H1131" i="1"/>
  <c r="AA1100" i="1"/>
  <c r="Z1100" i="1"/>
  <c r="J1100" i="1"/>
  <c r="I1100" i="1"/>
  <c r="H1100" i="1"/>
  <c r="AA1097" i="1"/>
  <c r="Z1097" i="1"/>
  <c r="J1097" i="1"/>
  <c r="I1097" i="1"/>
  <c r="H1097" i="1"/>
  <c r="AA1088" i="1"/>
  <c r="Z1088" i="1"/>
  <c r="J1088" i="1"/>
  <c r="I1088" i="1"/>
  <c r="H1088" i="1"/>
  <c r="AA1096" i="1"/>
  <c r="Z1096" i="1"/>
  <c r="J1096" i="1"/>
  <c r="I1096" i="1"/>
  <c r="H1096" i="1"/>
  <c r="AA1070" i="1"/>
  <c r="Z1070" i="1"/>
  <c r="J1070" i="1"/>
  <c r="I1070" i="1"/>
  <c r="H1070" i="1"/>
  <c r="AA1095" i="1"/>
  <c r="Z1095" i="1"/>
  <c r="J1095" i="1"/>
  <c r="I1095" i="1"/>
  <c r="H1095" i="1"/>
  <c r="AA1094" i="1"/>
  <c r="Z1094" i="1"/>
  <c r="J1094" i="1"/>
  <c r="I1094" i="1"/>
  <c r="H1094" i="1"/>
  <c r="AA1076" i="1"/>
  <c r="Z1076" i="1"/>
  <c r="J1076" i="1"/>
  <c r="I1076" i="1"/>
  <c r="H1076" i="1"/>
  <c r="AA1069" i="1"/>
  <c r="Z1069" i="1"/>
  <c r="J1069" i="1"/>
  <c r="I1069" i="1"/>
  <c r="H1069" i="1"/>
  <c r="AA1075" i="1"/>
  <c r="Z1075" i="1"/>
  <c r="J1075" i="1"/>
  <c r="I1075" i="1"/>
  <c r="H1075" i="1"/>
  <c r="AA1074" i="1"/>
  <c r="Z1074" i="1"/>
  <c r="J1074" i="1"/>
  <c r="I1074" i="1"/>
  <c r="H1074" i="1"/>
  <c r="AA1073" i="1"/>
  <c r="Z1073" i="1"/>
  <c r="J1073" i="1"/>
  <c r="I1073" i="1"/>
  <c r="H1073" i="1"/>
  <c r="AA1087" i="1"/>
  <c r="Z1087" i="1"/>
  <c r="J1087" i="1"/>
  <c r="I1087" i="1"/>
  <c r="H1087" i="1"/>
  <c r="AA1077" i="1"/>
  <c r="Z1077" i="1"/>
  <c r="J1077" i="1"/>
  <c r="I1077" i="1"/>
  <c r="H1077" i="1"/>
  <c r="AA1086" i="1"/>
  <c r="Z1086" i="1"/>
  <c r="J1086" i="1"/>
  <c r="I1086" i="1"/>
  <c r="H1086" i="1"/>
  <c r="AA1068" i="1"/>
  <c r="Z1068" i="1"/>
  <c r="J1068" i="1"/>
  <c r="I1068" i="1"/>
  <c r="H1068" i="1"/>
  <c r="AA1067" i="1"/>
  <c r="Z1067" i="1"/>
  <c r="J1067" i="1"/>
  <c r="I1067" i="1"/>
  <c r="H1067" i="1"/>
  <c r="AA1085" i="1"/>
  <c r="Z1085" i="1"/>
  <c r="J1085" i="1"/>
  <c r="I1085" i="1"/>
  <c r="H1085" i="1"/>
  <c r="AA1066" i="1"/>
  <c r="Z1066" i="1"/>
  <c r="J1066" i="1"/>
  <c r="I1066" i="1"/>
  <c r="H1066" i="1"/>
  <c r="AA1093" i="1"/>
  <c r="Z1093" i="1"/>
  <c r="J1093" i="1"/>
  <c r="I1093" i="1"/>
  <c r="H1093" i="1"/>
  <c r="AA1065" i="1"/>
  <c r="Z1065" i="1"/>
  <c r="J1065" i="1"/>
  <c r="I1065" i="1"/>
  <c r="H1065" i="1"/>
  <c r="AA1084" i="1"/>
  <c r="Z1084" i="1"/>
  <c r="J1084" i="1"/>
  <c r="I1084" i="1"/>
  <c r="H1084" i="1"/>
  <c r="AA1072" i="1"/>
  <c r="Z1072" i="1"/>
  <c r="J1072" i="1"/>
  <c r="I1072" i="1"/>
  <c r="H1072" i="1"/>
  <c r="AA1064" i="1"/>
  <c r="Z1064" i="1"/>
  <c r="J1064" i="1"/>
  <c r="I1064" i="1"/>
  <c r="H1064" i="1"/>
  <c r="AA1089" i="1"/>
  <c r="Z1089" i="1"/>
  <c r="J1089" i="1"/>
  <c r="I1089" i="1"/>
  <c r="H1089" i="1"/>
  <c r="AA1083" i="1"/>
  <c r="Z1083" i="1"/>
  <c r="J1083" i="1"/>
  <c r="I1083" i="1"/>
  <c r="H1083" i="1"/>
  <c r="AA1063" i="1"/>
  <c r="Z1063" i="1"/>
  <c r="J1063" i="1"/>
  <c r="I1063" i="1"/>
  <c r="H1063" i="1"/>
  <c r="AA1092" i="1"/>
  <c r="Z1092" i="1"/>
  <c r="J1092" i="1"/>
  <c r="I1092" i="1"/>
  <c r="H1092" i="1"/>
  <c r="AA1071" i="1"/>
  <c r="Z1071" i="1"/>
  <c r="J1071" i="1"/>
  <c r="I1071" i="1"/>
  <c r="H1071" i="1"/>
  <c r="AA1062" i="1"/>
  <c r="Z1062" i="1"/>
  <c r="J1062" i="1"/>
  <c r="I1062" i="1"/>
  <c r="H1062" i="1"/>
  <c r="AA1061" i="1"/>
  <c r="Z1061" i="1"/>
  <c r="J1061" i="1"/>
  <c r="I1061" i="1"/>
  <c r="H1061" i="1"/>
  <c r="AA1082" i="1"/>
  <c r="Z1082" i="1"/>
  <c r="J1082" i="1"/>
  <c r="I1082" i="1"/>
  <c r="H1082" i="1"/>
  <c r="AA1091" i="1"/>
  <c r="Z1091" i="1"/>
  <c r="J1091" i="1"/>
  <c r="I1091" i="1"/>
  <c r="H1091" i="1"/>
  <c r="AA1081" i="1"/>
  <c r="Z1081" i="1"/>
  <c r="J1081" i="1"/>
  <c r="I1081" i="1"/>
  <c r="H1081" i="1"/>
  <c r="AA1090" i="1"/>
  <c r="Z1090" i="1"/>
  <c r="J1090" i="1"/>
  <c r="I1090" i="1"/>
  <c r="H1090" i="1"/>
  <c r="AA1080" i="1"/>
  <c r="Z1080" i="1"/>
  <c r="J1080" i="1"/>
  <c r="I1080" i="1"/>
  <c r="H1080" i="1"/>
  <c r="AA1079" i="1"/>
  <c r="Z1079" i="1"/>
  <c r="J1079" i="1"/>
  <c r="I1079" i="1"/>
  <c r="H1079" i="1"/>
  <c r="AA1078" i="1"/>
  <c r="Z1078" i="1"/>
  <c r="J1078" i="1"/>
  <c r="I1078" i="1"/>
  <c r="H1078" i="1"/>
  <c r="AA1055" i="1"/>
  <c r="Z1055" i="1"/>
  <c r="J1055" i="1"/>
  <c r="I1055" i="1"/>
  <c r="H1055" i="1"/>
  <c r="AA1059" i="1"/>
  <c r="Z1059" i="1"/>
  <c r="J1059" i="1"/>
  <c r="I1059" i="1"/>
  <c r="H1059" i="1"/>
  <c r="AA1054" i="1"/>
  <c r="Z1054" i="1"/>
  <c r="J1054" i="1"/>
  <c r="I1054" i="1"/>
  <c r="H1054" i="1"/>
  <c r="AA1053" i="1"/>
  <c r="Z1053" i="1"/>
  <c r="J1053" i="1"/>
  <c r="I1053" i="1"/>
  <c r="H1053" i="1"/>
  <c r="AA1052" i="1"/>
  <c r="Z1052" i="1"/>
  <c r="J1052" i="1"/>
  <c r="I1052" i="1"/>
  <c r="H1052" i="1"/>
  <c r="AA1058" i="1"/>
  <c r="Z1058" i="1"/>
  <c r="J1058" i="1"/>
  <c r="I1058" i="1"/>
  <c r="H1058" i="1"/>
  <c r="AA1246" i="1"/>
  <c r="Z1246" i="1"/>
  <c r="J1246" i="1"/>
  <c r="I1246" i="1"/>
  <c r="H1246" i="1"/>
  <c r="AA1051" i="1"/>
  <c r="Z1051" i="1"/>
  <c r="J1051" i="1"/>
  <c r="I1051" i="1"/>
  <c r="H1051" i="1"/>
  <c r="AA1050" i="1"/>
  <c r="Z1050" i="1"/>
  <c r="J1050" i="1"/>
  <c r="I1050" i="1"/>
  <c r="H1050" i="1"/>
  <c r="AA1057" i="1"/>
  <c r="Z1057" i="1"/>
  <c r="J1057" i="1"/>
  <c r="I1057" i="1"/>
  <c r="H1057" i="1"/>
  <c r="AA1056" i="1"/>
  <c r="Z1056" i="1"/>
  <c r="J1056" i="1"/>
  <c r="I1056" i="1"/>
  <c r="H1056" i="1"/>
  <c r="AA1049" i="1"/>
  <c r="Z1049" i="1"/>
  <c r="J1049" i="1"/>
  <c r="I1049" i="1"/>
  <c r="H1049" i="1"/>
  <c r="AA1048" i="1"/>
  <c r="Z1048" i="1"/>
  <c r="J1048" i="1"/>
  <c r="I1048" i="1"/>
  <c r="H1048" i="1"/>
  <c r="AA1047" i="1"/>
  <c r="Z1047" i="1"/>
  <c r="J1047" i="1"/>
  <c r="I1047" i="1"/>
  <c r="H1047" i="1"/>
  <c r="AA1046" i="1"/>
  <c r="Z1046" i="1"/>
  <c r="J1046" i="1"/>
  <c r="I1046" i="1"/>
  <c r="H1046" i="1"/>
  <c r="AA1045" i="1"/>
  <c r="Z1045" i="1"/>
  <c r="J1045" i="1"/>
  <c r="I1045" i="1"/>
  <c r="H1045" i="1"/>
  <c r="AA1044" i="1"/>
  <c r="J1044" i="1"/>
  <c r="I1044" i="1"/>
  <c r="H1044" i="1"/>
  <c r="AA1043" i="1"/>
  <c r="J1043" i="1"/>
  <c r="I1043" i="1"/>
  <c r="H1043" i="1"/>
  <c r="AA515" i="1"/>
  <c r="J515" i="1"/>
  <c r="I515" i="1"/>
  <c r="H515" i="1"/>
  <c r="AA1021" i="1"/>
  <c r="J1021" i="1"/>
  <c r="I1021" i="1"/>
  <c r="H1021" i="1"/>
  <c r="AA1020" i="1"/>
  <c r="J1020" i="1"/>
  <c r="I1020" i="1"/>
  <c r="H1020" i="1"/>
  <c r="AA1019" i="1"/>
  <c r="J1019" i="1"/>
  <c r="I1019" i="1"/>
  <c r="H1019" i="1"/>
  <c r="AA1018" i="1"/>
  <c r="J1018" i="1"/>
  <c r="I1018" i="1"/>
  <c r="H1018" i="1"/>
  <c r="AA1017" i="1"/>
  <c r="J1017" i="1"/>
  <c r="I1017" i="1"/>
  <c r="H1017" i="1"/>
  <c r="AA1016" i="1"/>
  <c r="J1016" i="1"/>
  <c r="I1016" i="1"/>
  <c r="H1016" i="1"/>
  <c r="AA1015" i="1"/>
  <c r="J1015" i="1"/>
  <c r="I1015" i="1"/>
  <c r="H1015" i="1"/>
  <c r="AA1014" i="1"/>
  <c r="J1014" i="1"/>
  <c r="I1014" i="1"/>
  <c r="H1014" i="1"/>
  <c r="AA1013" i="1"/>
  <c r="J1013" i="1"/>
  <c r="I1013" i="1"/>
  <c r="H1013" i="1"/>
  <c r="AA1012" i="1"/>
  <c r="J1012" i="1"/>
  <c r="I1012" i="1"/>
  <c r="H1012" i="1"/>
  <c r="AA1011" i="1"/>
  <c r="J1011" i="1"/>
  <c r="I1011" i="1"/>
  <c r="H1011" i="1"/>
  <c r="AA1010" i="1"/>
  <c r="J1010" i="1"/>
  <c r="I1010" i="1"/>
  <c r="H1010" i="1"/>
  <c r="AA1009" i="1"/>
  <c r="J1009" i="1"/>
  <c r="I1009" i="1"/>
  <c r="H1009" i="1"/>
  <c r="AA1008" i="1"/>
  <c r="J1008" i="1"/>
  <c r="I1008" i="1"/>
  <c r="H1008" i="1"/>
  <c r="AA1007" i="1"/>
  <c r="J1007" i="1"/>
  <c r="I1007" i="1"/>
  <c r="H1007" i="1"/>
  <c r="AA1006" i="1"/>
  <c r="J1006" i="1"/>
  <c r="I1006" i="1"/>
  <c r="H1006" i="1"/>
  <c r="AA1005" i="1"/>
  <c r="J1005" i="1"/>
  <c r="I1005" i="1"/>
  <c r="H1005" i="1"/>
  <c r="AA1004" i="1"/>
  <c r="J1004" i="1"/>
  <c r="I1004" i="1"/>
  <c r="H1004" i="1"/>
  <c r="AA1031" i="1"/>
  <c r="J1031" i="1"/>
  <c r="I1031" i="1"/>
  <c r="H1031" i="1"/>
  <c r="AA1030" i="1"/>
  <c r="J1030" i="1"/>
  <c r="I1030" i="1"/>
  <c r="H1030" i="1"/>
  <c r="AA1029" i="1"/>
  <c r="J1029" i="1"/>
  <c r="I1029" i="1"/>
  <c r="H1029" i="1"/>
  <c r="AA1028" i="1"/>
  <c r="J1028" i="1"/>
  <c r="I1028" i="1"/>
  <c r="H1028" i="1"/>
  <c r="AA1027" i="1"/>
  <c r="J1027" i="1"/>
  <c r="I1027" i="1"/>
  <c r="H1027" i="1"/>
  <c r="AA1026" i="1"/>
  <c r="J1026" i="1"/>
  <c r="I1026" i="1"/>
  <c r="H1026" i="1"/>
  <c r="AA1025" i="1"/>
  <c r="J1025" i="1"/>
  <c r="I1025" i="1"/>
  <c r="H1025" i="1"/>
  <c r="AA1024" i="1"/>
  <c r="J1024" i="1"/>
  <c r="I1024" i="1"/>
  <c r="H1024" i="1"/>
  <c r="AA1023" i="1"/>
  <c r="J1023" i="1"/>
  <c r="I1023" i="1"/>
  <c r="H1023" i="1"/>
  <c r="AA1022" i="1"/>
  <c r="J1022" i="1"/>
  <c r="I1022" i="1"/>
  <c r="H1022" i="1"/>
  <c r="AA1036" i="1"/>
  <c r="J1036" i="1"/>
  <c r="I1036" i="1"/>
  <c r="H1036" i="1"/>
  <c r="AA1035" i="1"/>
  <c r="J1035" i="1"/>
  <c r="I1035" i="1"/>
  <c r="H1035" i="1"/>
  <c r="AA1034" i="1"/>
  <c r="J1034" i="1"/>
  <c r="I1034" i="1"/>
  <c r="H1034" i="1"/>
  <c r="AA1033" i="1"/>
  <c r="J1033" i="1"/>
  <c r="I1033" i="1"/>
  <c r="H1033" i="1"/>
  <c r="AA1032" i="1"/>
  <c r="J1032" i="1"/>
  <c r="I1032" i="1"/>
  <c r="H1032" i="1"/>
  <c r="AA1042" i="1"/>
  <c r="J1042" i="1"/>
  <c r="I1042" i="1"/>
  <c r="H1042" i="1"/>
  <c r="AA1041" i="1"/>
  <c r="J1041" i="1"/>
  <c r="I1041" i="1"/>
  <c r="H1041" i="1"/>
  <c r="AA421" i="1"/>
  <c r="J421" i="1"/>
  <c r="I421" i="1"/>
  <c r="H421" i="1"/>
  <c r="AA259" i="1"/>
  <c r="J259" i="1"/>
  <c r="I259" i="1"/>
  <c r="H259" i="1"/>
  <c r="AA1038" i="1"/>
  <c r="J1038" i="1"/>
  <c r="I1038" i="1"/>
  <c r="H1038" i="1"/>
  <c r="AA1037" i="1"/>
  <c r="J1037" i="1"/>
  <c r="I1037" i="1"/>
  <c r="H1037" i="1"/>
  <c r="AA1434" i="1"/>
  <c r="J1434" i="1"/>
  <c r="I1434" i="1"/>
  <c r="H1434" i="1"/>
  <c r="AA1433" i="1"/>
  <c r="J1433" i="1"/>
  <c r="I1433" i="1"/>
  <c r="H1433" i="1"/>
  <c r="AA1432" i="1"/>
  <c r="J1432" i="1"/>
  <c r="I1432" i="1"/>
  <c r="H1432" i="1"/>
  <c r="AA1431" i="1"/>
  <c r="J1431" i="1"/>
  <c r="I1431" i="1"/>
  <c r="H1431" i="1"/>
  <c r="AA1430" i="1"/>
  <c r="J1430" i="1"/>
  <c r="I1430" i="1"/>
  <c r="H1430" i="1"/>
  <c r="AA1429" i="1"/>
  <c r="J1429" i="1"/>
  <c r="I1429" i="1"/>
  <c r="H1429" i="1"/>
  <c r="AA1428" i="1"/>
  <c r="J1428" i="1"/>
  <c r="I1428" i="1"/>
  <c r="H1428" i="1"/>
  <c r="AA1427" i="1"/>
  <c r="J1427" i="1"/>
  <c r="I1427" i="1"/>
  <c r="H1427" i="1"/>
  <c r="AA1426" i="1"/>
  <c r="J1426" i="1"/>
  <c r="I1426" i="1"/>
  <c r="H1426" i="1"/>
  <c r="AA1425" i="1"/>
  <c r="J1425" i="1"/>
  <c r="I1425" i="1"/>
  <c r="H1425" i="1"/>
  <c r="AA1424" i="1"/>
  <c r="J1424" i="1"/>
  <c r="I1424" i="1"/>
  <c r="H1424" i="1"/>
  <c r="AA1423" i="1"/>
  <c r="J1423" i="1"/>
  <c r="I1423" i="1"/>
  <c r="H1423" i="1"/>
  <c r="AA1422" i="1"/>
  <c r="J1422" i="1"/>
  <c r="I1422" i="1"/>
  <c r="H1422" i="1"/>
  <c r="AA1421" i="1"/>
  <c r="J1421" i="1"/>
  <c r="I1421" i="1"/>
  <c r="H1421" i="1"/>
  <c r="AA1420" i="1"/>
  <c r="J1420" i="1"/>
  <c r="I1420" i="1"/>
  <c r="H1420" i="1"/>
  <c r="AA1419" i="1"/>
  <c r="J1419" i="1"/>
  <c r="I1419" i="1"/>
  <c r="H1419" i="1"/>
  <c r="AA1418" i="1"/>
  <c r="J1418" i="1"/>
  <c r="I1418" i="1"/>
  <c r="H1418" i="1"/>
  <c r="AA1417" i="1"/>
  <c r="J1417" i="1"/>
  <c r="I1417" i="1"/>
  <c r="H1417" i="1"/>
  <c r="AA1416" i="1"/>
  <c r="J1416" i="1"/>
  <c r="I1416" i="1"/>
  <c r="H1416" i="1"/>
  <c r="AA1415" i="1"/>
  <c r="J1415" i="1"/>
  <c r="I1415" i="1"/>
  <c r="H1415" i="1"/>
  <c r="AA1414" i="1"/>
  <c r="J1414" i="1"/>
  <c r="I1414" i="1"/>
  <c r="H1414" i="1"/>
  <c r="AA1413" i="1"/>
  <c r="J1413" i="1"/>
  <c r="I1413" i="1"/>
  <c r="H1413" i="1"/>
  <c r="AA1412" i="1"/>
  <c r="J1412" i="1"/>
  <c r="I1412" i="1"/>
  <c r="H1412" i="1"/>
  <c r="AA1411" i="1"/>
  <c r="J1411" i="1"/>
  <c r="I1411" i="1"/>
  <c r="H1411" i="1"/>
  <c r="AA375" i="1"/>
  <c r="J375" i="1"/>
  <c r="I375" i="1"/>
  <c r="H375" i="1"/>
  <c r="AA374" i="1"/>
  <c r="J374" i="1"/>
  <c r="I374" i="1"/>
  <c r="H374" i="1"/>
  <c r="AA1410" i="1"/>
  <c r="J1410" i="1"/>
  <c r="I1410" i="1"/>
  <c r="H1410" i="1"/>
  <c r="AA1409" i="1"/>
  <c r="J1409" i="1"/>
  <c r="I1409" i="1"/>
  <c r="H1409" i="1"/>
  <c r="AA1408" i="1"/>
  <c r="J1408" i="1"/>
  <c r="I1408" i="1"/>
  <c r="H1408" i="1"/>
  <c r="AA1407" i="1"/>
  <c r="J1407" i="1"/>
  <c r="I1407" i="1"/>
  <c r="H1407" i="1"/>
  <c r="AA1406" i="1"/>
  <c r="J1406" i="1"/>
  <c r="I1406" i="1"/>
  <c r="H1406" i="1"/>
  <c r="AA1405" i="1"/>
  <c r="J1405" i="1"/>
  <c r="I1405" i="1"/>
  <c r="H1405" i="1"/>
  <c r="AA1404" i="1"/>
  <c r="J1404" i="1"/>
  <c r="I1404" i="1"/>
  <c r="H1404" i="1"/>
  <c r="AA1403" i="1"/>
  <c r="J1403" i="1"/>
  <c r="I1403" i="1"/>
  <c r="H1403" i="1"/>
  <c r="AA1402" i="1"/>
  <c r="J1402" i="1"/>
  <c r="I1402" i="1"/>
  <c r="H1402" i="1"/>
  <c r="AA1401" i="1"/>
  <c r="J1401" i="1"/>
  <c r="I1401" i="1"/>
  <c r="H1401" i="1"/>
  <c r="AA1400" i="1"/>
  <c r="J1400" i="1"/>
  <c r="I1400" i="1"/>
  <c r="H1400" i="1"/>
  <c r="AA1399" i="1"/>
  <c r="J1399" i="1"/>
  <c r="I1399" i="1"/>
  <c r="H1399" i="1"/>
  <c r="AA1398" i="1"/>
  <c r="J1398" i="1"/>
  <c r="I1398" i="1"/>
  <c r="H1398" i="1"/>
  <c r="AA1397" i="1"/>
  <c r="J1397" i="1"/>
  <c r="I1397" i="1"/>
  <c r="H1397" i="1"/>
  <c r="AA1396" i="1"/>
  <c r="J1396" i="1"/>
  <c r="I1396" i="1"/>
  <c r="H1396" i="1"/>
  <c r="AA1395" i="1"/>
  <c r="J1395" i="1"/>
  <c r="I1395" i="1"/>
  <c r="H1395" i="1"/>
  <c r="AA1394" i="1"/>
  <c r="J1394" i="1"/>
  <c r="I1394" i="1"/>
  <c r="H1394" i="1"/>
  <c r="AA1393" i="1"/>
  <c r="J1393" i="1"/>
  <c r="I1393" i="1"/>
  <c r="H1393" i="1"/>
  <c r="AA1392" i="1"/>
  <c r="J1392" i="1"/>
  <c r="I1392" i="1"/>
  <c r="H1392" i="1"/>
  <c r="AA1391" i="1"/>
  <c r="J1391" i="1"/>
  <c r="I1391" i="1"/>
  <c r="H1391" i="1"/>
  <c r="AA1390" i="1"/>
  <c r="J1390" i="1"/>
  <c r="I1390" i="1"/>
  <c r="H1390" i="1"/>
  <c r="AA1389" i="1"/>
  <c r="J1389" i="1"/>
  <c r="I1389" i="1"/>
  <c r="H1389" i="1"/>
  <c r="AA1388" i="1"/>
  <c r="J1388" i="1"/>
  <c r="I1388" i="1"/>
  <c r="H1388" i="1"/>
  <c r="AA1387" i="1"/>
  <c r="J1387" i="1"/>
  <c r="I1387" i="1"/>
  <c r="H1387" i="1"/>
  <c r="AA1386" i="1"/>
  <c r="J1386" i="1"/>
  <c r="I1386" i="1"/>
  <c r="H1386" i="1"/>
  <c r="AA1385" i="1"/>
  <c r="J1385" i="1"/>
  <c r="I1385" i="1"/>
  <c r="H1385" i="1"/>
  <c r="AA1384" i="1"/>
  <c r="J1384" i="1"/>
  <c r="I1384" i="1"/>
  <c r="H1384" i="1"/>
  <c r="AA1383" i="1"/>
  <c r="J1383" i="1"/>
  <c r="I1383" i="1"/>
  <c r="H1383" i="1"/>
  <c r="AA1382" i="1"/>
  <c r="J1382" i="1"/>
  <c r="I1382" i="1"/>
  <c r="H1382" i="1"/>
  <c r="AA1381" i="1"/>
  <c r="J1381" i="1"/>
  <c r="I1381" i="1"/>
  <c r="H1381" i="1"/>
  <c r="AA1380" i="1"/>
  <c r="J1380" i="1"/>
  <c r="I1380" i="1"/>
  <c r="H1380" i="1"/>
  <c r="AA1379" i="1"/>
  <c r="J1379" i="1"/>
  <c r="I1379" i="1"/>
  <c r="H1379" i="1"/>
  <c r="AA1378" i="1"/>
  <c r="J1378" i="1"/>
  <c r="I1378" i="1"/>
  <c r="H1378" i="1"/>
  <c r="AA1377" i="1"/>
  <c r="J1377" i="1"/>
  <c r="I1377" i="1"/>
  <c r="H1377" i="1"/>
  <c r="AA679" i="1"/>
  <c r="J679" i="1"/>
  <c r="I679" i="1"/>
  <c r="H679" i="1"/>
  <c r="AA678" i="1"/>
  <c r="J678" i="1"/>
  <c r="I678" i="1"/>
  <c r="H678" i="1"/>
  <c r="AA1376" i="1"/>
  <c r="J1376" i="1"/>
  <c r="I1376" i="1"/>
  <c r="H1376" i="1"/>
  <c r="AA1375" i="1"/>
  <c r="J1375" i="1"/>
  <c r="I1375" i="1"/>
  <c r="H1375" i="1"/>
  <c r="AA1374" i="1"/>
  <c r="J1374" i="1"/>
  <c r="I1374" i="1"/>
  <c r="H1374" i="1"/>
  <c r="AA1373" i="1"/>
  <c r="J1373" i="1"/>
  <c r="I1373" i="1"/>
  <c r="H1373" i="1"/>
  <c r="AA1372" i="1"/>
  <c r="J1372" i="1"/>
  <c r="I1372" i="1"/>
  <c r="H1372" i="1"/>
  <c r="AA1371" i="1"/>
  <c r="J1371" i="1"/>
  <c r="I1371" i="1"/>
  <c r="H1371" i="1"/>
  <c r="AA1370" i="1"/>
  <c r="J1370" i="1"/>
  <c r="I1370" i="1"/>
  <c r="H1370" i="1"/>
  <c r="AA1369" i="1"/>
  <c r="J1369" i="1"/>
  <c r="I1369" i="1"/>
  <c r="H1369" i="1"/>
  <c r="AA1368" i="1"/>
  <c r="J1368" i="1"/>
  <c r="I1368" i="1"/>
  <c r="H1368" i="1"/>
  <c r="AA1367" i="1"/>
  <c r="J1367" i="1"/>
  <c r="I1367" i="1"/>
  <c r="H1367" i="1"/>
  <c r="AA1366" i="1"/>
  <c r="J1366" i="1"/>
  <c r="I1366" i="1"/>
  <c r="H1366" i="1"/>
  <c r="AA1365" i="1"/>
  <c r="J1365" i="1"/>
  <c r="I1365" i="1"/>
  <c r="H1365" i="1"/>
  <c r="AA1364" i="1"/>
  <c r="J1364" i="1"/>
  <c r="I1364" i="1"/>
  <c r="H1364" i="1"/>
  <c r="AA1363" i="1"/>
  <c r="J1363" i="1"/>
  <c r="I1363" i="1"/>
  <c r="H1363" i="1"/>
  <c r="AA1362" i="1"/>
  <c r="J1362" i="1"/>
  <c r="I1362" i="1"/>
  <c r="H1362" i="1"/>
  <c r="AA1361" i="1"/>
  <c r="J1361" i="1"/>
  <c r="I1361" i="1"/>
  <c r="H1361" i="1"/>
  <c r="AA1360" i="1"/>
  <c r="J1360" i="1"/>
  <c r="I1360" i="1"/>
  <c r="H1360" i="1"/>
  <c r="AA1359" i="1"/>
  <c r="J1359" i="1"/>
  <c r="I1359" i="1"/>
  <c r="H1359" i="1"/>
  <c r="AA1166" i="1"/>
  <c r="Z1166" i="1"/>
  <c r="J1166" i="1"/>
  <c r="I1166" i="1"/>
  <c r="H1166" i="1"/>
  <c r="J2" i="1"/>
  <c r="I2" i="1"/>
  <c r="H2" i="1"/>
  <c r="AA1358" i="1"/>
  <c r="J1358" i="1"/>
  <c r="I1358" i="1"/>
  <c r="H1358" i="1"/>
  <c r="AA1357" i="1"/>
  <c r="J1357" i="1"/>
  <c r="I1357" i="1"/>
  <c r="H1357" i="1"/>
  <c r="AA1356" i="1"/>
  <c r="J1356" i="1"/>
  <c r="I1356" i="1"/>
  <c r="H1356" i="1"/>
  <c r="AA1355" i="1"/>
  <c r="J1355" i="1"/>
  <c r="I1355" i="1"/>
  <c r="H1355" i="1"/>
  <c r="AA1354" i="1"/>
  <c r="J1354" i="1"/>
  <c r="I1354" i="1"/>
  <c r="H1354" i="1"/>
  <c r="AB1060" i="1"/>
  <c r="AA1060" i="1"/>
  <c r="Z1060" i="1"/>
  <c r="J1060" i="1"/>
  <c r="I1060" i="1"/>
  <c r="H1060" i="1"/>
  <c r="AA89" i="1"/>
  <c r="J89" i="1"/>
  <c r="I89" i="1"/>
  <c r="H89" i="1"/>
  <c r="AA1353" i="1"/>
  <c r="J1353" i="1"/>
  <c r="I1353" i="1"/>
  <c r="H1353" i="1"/>
  <c r="AA1352" i="1"/>
  <c r="J1352" i="1"/>
  <c r="I1352" i="1"/>
  <c r="H1352" i="1"/>
  <c r="AA1351" i="1"/>
  <c r="J1351" i="1"/>
  <c r="I1351" i="1"/>
  <c r="H1351" i="1"/>
  <c r="AA1350" i="1"/>
  <c r="J1350" i="1"/>
  <c r="I1350" i="1"/>
  <c r="H1350" i="1"/>
  <c r="AA1349" i="1"/>
  <c r="J1349" i="1"/>
  <c r="I1349" i="1"/>
  <c r="H1349" i="1"/>
  <c r="AA1348" i="1"/>
  <c r="J1348" i="1"/>
  <c r="I1348" i="1"/>
  <c r="H1348" i="1"/>
  <c r="AA1347" i="1"/>
  <c r="J1347" i="1"/>
  <c r="I1347" i="1"/>
  <c r="H1347" i="1"/>
  <c r="AA1346" i="1"/>
  <c r="J1346" i="1"/>
  <c r="I1346" i="1"/>
  <c r="H1346" i="1"/>
  <c r="AA563" i="1"/>
  <c r="J563" i="1"/>
  <c r="I563" i="1"/>
  <c r="H563" i="1"/>
  <c r="AA561" i="1"/>
  <c r="J561" i="1"/>
  <c r="I561" i="1"/>
  <c r="H561" i="1"/>
  <c r="AA1345" i="1"/>
  <c r="J1345" i="1"/>
  <c r="I1345" i="1"/>
  <c r="H1345" i="1"/>
  <c r="AA1344" i="1"/>
  <c r="J1344" i="1"/>
  <c r="I1344" i="1"/>
  <c r="H1344" i="1"/>
  <c r="AA1343" i="1"/>
  <c r="J1343" i="1"/>
  <c r="I1343" i="1"/>
  <c r="H1343" i="1"/>
  <c r="AA1342" i="1"/>
  <c r="J1342" i="1"/>
  <c r="I1342" i="1"/>
  <c r="H1342" i="1"/>
  <c r="AA1341" i="1"/>
  <c r="J1341" i="1"/>
  <c r="I1341" i="1"/>
  <c r="H1341" i="1"/>
  <c r="AA1340" i="1"/>
  <c r="J1340" i="1"/>
  <c r="I1340" i="1"/>
  <c r="H1340" i="1"/>
  <c r="AA1339" i="1"/>
  <c r="J1339" i="1"/>
  <c r="I1339" i="1"/>
  <c r="H1339" i="1"/>
  <c r="AA1338" i="1"/>
  <c r="J1338" i="1"/>
  <c r="I1338" i="1"/>
  <c r="H1338" i="1"/>
  <c r="AA1337" i="1"/>
  <c r="J1337" i="1"/>
  <c r="I1337" i="1"/>
  <c r="H1337" i="1"/>
  <c r="AA1336" i="1"/>
  <c r="J1336" i="1"/>
  <c r="I1336" i="1"/>
  <c r="H1336" i="1"/>
  <c r="AA1335" i="1"/>
  <c r="J1335" i="1"/>
  <c r="I1335" i="1"/>
  <c r="H1335" i="1"/>
  <c r="AA1334" i="1"/>
  <c r="J1334" i="1"/>
  <c r="I1334" i="1"/>
  <c r="H1334" i="1"/>
  <c r="AA1333" i="1"/>
  <c r="J1333" i="1"/>
  <c r="I1333" i="1"/>
  <c r="H1333" i="1"/>
  <c r="AA1332" i="1"/>
  <c r="J1332" i="1"/>
  <c r="I1332" i="1"/>
  <c r="H1332" i="1"/>
  <c r="AA1331" i="1"/>
  <c r="J1331" i="1"/>
  <c r="I1331" i="1"/>
  <c r="H1331" i="1"/>
  <c r="AA1330" i="1"/>
  <c r="J1330" i="1"/>
  <c r="I1330" i="1"/>
  <c r="H1330" i="1"/>
  <c r="AA1329" i="1"/>
  <c r="J1329" i="1"/>
  <c r="I1329" i="1"/>
  <c r="H1329" i="1"/>
  <c r="AA274" i="1"/>
  <c r="J274" i="1"/>
  <c r="I274" i="1"/>
  <c r="H274" i="1"/>
  <c r="AA342" i="1"/>
  <c r="J342" i="1"/>
  <c r="I342" i="1"/>
  <c r="H342" i="1"/>
  <c r="AA341" i="1"/>
  <c r="J341" i="1"/>
  <c r="I341" i="1"/>
  <c r="H341" i="1"/>
  <c r="AA492" i="1"/>
  <c r="J492" i="1"/>
  <c r="I492" i="1"/>
  <c r="H492" i="1"/>
  <c r="AA528" i="1"/>
  <c r="J528" i="1"/>
  <c r="I528" i="1"/>
  <c r="H528" i="1"/>
  <c r="AA627" i="1"/>
  <c r="J627" i="1"/>
  <c r="I627" i="1"/>
  <c r="H627" i="1"/>
  <c r="AA873" i="1"/>
  <c r="J873" i="1"/>
  <c r="I873" i="1"/>
  <c r="H873" i="1"/>
  <c r="AA125" i="1"/>
  <c r="J125" i="1"/>
  <c r="I125" i="1"/>
  <c r="H125" i="1"/>
  <c r="AA202" i="1"/>
  <c r="J202" i="1"/>
  <c r="I202" i="1"/>
  <c r="H202" i="1"/>
  <c r="AA124" i="1"/>
  <c r="J124" i="1"/>
  <c r="I124" i="1"/>
  <c r="H124" i="1"/>
  <c r="AA332" i="1"/>
  <c r="J332" i="1"/>
  <c r="I332" i="1"/>
  <c r="H332" i="1"/>
  <c r="AA872" i="1"/>
  <c r="J872" i="1"/>
  <c r="I872" i="1"/>
  <c r="H872" i="1"/>
  <c r="AA742" i="1"/>
  <c r="J742" i="1"/>
  <c r="I742" i="1"/>
  <c r="H742" i="1"/>
  <c r="AA854" i="1"/>
  <c r="J854" i="1"/>
  <c r="I854" i="1"/>
  <c r="H854" i="1"/>
  <c r="AA491" i="1"/>
  <c r="J491" i="1"/>
  <c r="I491" i="1"/>
  <c r="H491" i="1"/>
  <c r="AA490" i="1"/>
  <c r="J490" i="1"/>
  <c r="I490" i="1"/>
  <c r="H490" i="1"/>
  <c r="AA434" i="1"/>
  <c r="J434" i="1"/>
  <c r="I434" i="1"/>
  <c r="H434" i="1"/>
  <c r="AA965" i="1"/>
  <c r="J965" i="1"/>
  <c r="I965" i="1"/>
  <c r="H965" i="1"/>
  <c r="AA663" i="1"/>
  <c r="J663" i="1"/>
  <c r="I663" i="1"/>
  <c r="H663" i="1"/>
  <c r="AA811" i="1"/>
  <c r="J811" i="1"/>
  <c r="I811" i="1"/>
  <c r="H811" i="1"/>
  <c r="AA154" i="1"/>
  <c r="J154" i="1"/>
  <c r="I154" i="1"/>
  <c r="H154" i="1"/>
  <c r="AA473" i="1"/>
  <c r="J473" i="1"/>
  <c r="I473" i="1"/>
  <c r="H473" i="1"/>
  <c r="AA195" i="1"/>
  <c r="J195" i="1"/>
  <c r="I195" i="1"/>
  <c r="H195" i="1"/>
  <c r="AA385" i="1"/>
  <c r="J385" i="1"/>
  <c r="I385" i="1"/>
  <c r="H385" i="1"/>
  <c r="AA210" i="1"/>
  <c r="J210" i="1"/>
  <c r="I210" i="1"/>
  <c r="H210" i="1"/>
  <c r="AA944" i="1"/>
  <c r="J944" i="1"/>
  <c r="I944" i="1"/>
  <c r="H944" i="1"/>
  <c r="AA943" i="1"/>
  <c r="J943" i="1"/>
  <c r="I943" i="1"/>
  <c r="H943" i="1"/>
  <c r="AA1117" i="1"/>
  <c r="J1117" i="1"/>
  <c r="I1117" i="1"/>
  <c r="H1117" i="1"/>
  <c r="AA817" i="1"/>
  <c r="J817" i="1"/>
  <c r="I817" i="1"/>
  <c r="H817" i="1"/>
  <c r="AA886" i="1"/>
  <c r="J886" i="1"/>
  <c r="I886" i="1"/>
  <c r="H886" i="1"/>
  <c r="AA123" i="1"/>
  <c r="J123" i="1"/>
  <c r="I123" i="1"/>
  <c r="H123" i="1"/>
  <c r="AA626" i="1"/>
  <c r="J626" i="1"/>
  <c r="I626" i="1"/>
  <c r="H626" i="1"/>
  <c r="AA292" i="1"/>
  <c r="J292" i="1"/>
  <c r="I292" i="1"/>
  <c r="H292" i="1"/>
  <c r="AA236" i="1"/>
  <c r="J236" i="1"/>
  <c r="I236" i="1"/>
  <c r="H236" i="1"/>
  <c r="AA62" i="1"/>
  <c r="J62" i="1"/>
  <c r="I62" i="1"/>
  <c r="H62" i="1"/>
  <c r="AA373" i="1"/>
  <c r="J373" i="1"/>
  <c r="I373" i="1"/>
  <c r="H373" i="1"/>
  <c r="AA235" i="1"/>
  <c r="J235" i="1"/>
  <c r="I235" i="1"/>
  <c r="H235" i="1"/>
  <c r="AA741" i="1"/>
  <c r="J741" i="1"/>
  <c r="I741" i="1"/>
  <c r="H741" i="1"/>
  <c r="AA794" i="1"/>
  <c r="J794" i="1"/>
  <c r="I794" i="1"/>
  <c r="H794" i="1"/>
  <c r="AA625" i="1"/>
  <c r="J625" i="1"/>
  <c r="I625" i="1"/>
  <c r="H625" i="1"/>
  <c r="AA923" i="1"/>
  <c r="J923" i="1"/>
  <c r="I923" i="1"/>
  <c r="H923" i="1"/>
  <c r="AA570" i="1"/>
  <c r="J570" i="1"/>
  <c r="I570" i="1"/>
  <c r="H570" i="1"/>
  <c r="AA153" i="1"/>
  <c r="J153" i="1"/>
  <c r="I153" i="1"/>
  <c r="H153" i="1"/>
  <c r="AA291" i="1"/>
  <c r="J291" i="1"/>
  <c r="I291" i="1"/>
  <c r="H291" i="1"/>
  <c r="AA714" i="1"/>
  <c r="J714" i="1"/>
  <c r="I714" i="1"/>
  <c r="H714" i="1"/>
  <c r="AA225" i="1"/>
  <c r="J225" i="1"/>
  <c r="I225" i="1"/>
  <c r="H225" i="1"/>
  <c r="AA317" i="1"/>
  <c r="J317" i="1"/>
  <c r="I317" i="1"/>
  <c r="H317" i="1"/>
  <c r="AA201" i="1"/>
  <c r="J201" i="1"/>
  <c r="I201" i="1"/>
  <c r="H201" i="1"/>
  <c r="AA540" i="1"/>
  <c r="J540" i="1"/>
  <c r="I540" i="1"/>
  <c r="H540" i="1"/>
  <c r="AA740" i="1"/>
  <c r="J740" i="1"/>
  <c r="I740" i="1"/>
  <c r="H740" i="1"/>
  <c r="AA514" i="1"/>
  <c r="J514" i="1"/>
  <c r="I514" i="1"/>
  <c r="H514" i="1"/>
  <c r="AA513" i="1"/>
  <c r="J513" i="1"/>
  <c r="I513" i="1"/>
  <c r="H513" i="1"/>
  <c r="AA252" i="1"/>
  <c r="J252" i="1"/>
  <c r="I252" i="1"/>
  <c r="H252" i="1"/>
  <c r="AA813" i="1"/>
  <c r="J813" i="1"/>
  <c r="I813" i="1"/>
  <c r="H813" i="1"/>
  <c r="AA739" i="1"/>
  <c r="J739" i="1"/>
  <c r="I739" i="1"/>
  <c r="H739" i="1"/>
  <c r="AA220" i="1"/>
  <c r="J220" i="1"/>
  <c r="I220" i="1"/>
  <c r="H220" i="1"/>
  <c r="AA243" i="1"/>
  <c r="J243" i="1"/>
  <c r="I243" i="1"/>
  <c r="H243" i="1"/>
  <c r="AA15" i="1"/>
  <c r="J15" i="1"/>
  <c r="I15" i="1"/>
  <c r="H15" i="1"/>
  <c r="AA776" i="1"/>
  <c r="J776" i="1"/>
  <c r="I776" i="1"/>
  <c r="H776" i="1"/>
  <c r="AA922" i="1"/>
  <c r="J922" i="1"/>
  <c r="I922" i="1"/>
  <c r="H922" i="1"/>
  <c r="AA444" i="1"/>
  <c r="J444" i="1"/>
  <c r="I444" i="1"/>
  <c r="H444" i="1"/>
  <c r="AA921" i="1"/>
  <c r="J921" i="1"/>
  <c r="I921" i="1"/>
  <c r="H921" i="1"/>
  <c r="AA512" i="1"/>
  <c r="J512" i="1"/>
  <c r="I512" i="1"/>
  <c r="H512" i="1"/>
  <c r="AA25" i="1"/>
  <c r="J25" i="1"/>
  <c r="I25" i="1"/>
  <c r="H25" i="1"/>
  <c r="AA88" i="1"/>
  <c r="J88" i="1"/>
  <c r="I88" i="1"/>
  <c r="H88" i="1"/>
  <c r="AA87" i="1"/>
  <c r="J87" i="1"/>
  <c r="I87" i="1"/>
  <c r="H87" i="1"/>
  <c r="AA538" i="1"/>
  <c r="J538" i="1"/>
  <c r="I538" i="1"/>
  <c r="H538" i="1"/>
  <c r="AA316" i="1"/>
  <c r="J316" i="1"/>
  <c r="I316" i="1"/>
  <c r="H316" i="1"/>
  <c r="AA737" i="1"/>
  <c r="J737" i="1"/>
  <c r="I737" i="1"/>
  <c r="H737" i="1"/>
  <c r="AA430" i="1"/>
  <c r="J430" i="1"/>
  <c r="I430" i="1"/>
  <c r="H430" i="1"/>
  <c r="AA472" i="1"/>
  <c r="J472" i="1"/>
  <c r="I472" i="1"/>
  <c r="H472" i="1"/>
  <c r="AA467" i="1"/>
  <c r="J467" i="1"/>
  <c r="I467" i="1"/>
  <c r="H467" i="1"/>
  <c r="AA372" i="1"/>
  <c r="J372" i="1"/>
  <c r="I372" i="1"/>
  <c r="H372" i="1"/>
  <c r="AA868" i="1"/>
  <c r="J868" i="1"/>
  <c r="I868" i="1"/>
  <c r="H868" i="1"/>
  <c r="AA585" i="1"/>
  <c r="J585" i="1"/>
  <c r="I585" i="1"/>
  <c r="H585" i="1"/>
  <c r="AA57" i="1"/>
  <c r="J57" i="1"/>
  <c r="I57" i="1"/>
  <c r="H57" i="1"/>
  <c r="AA288" i="1"/>
  <c r="J288" i="1"/>
  <c r="I288" i="1"/>
  <c r="H288" i="1"/>
  <c r="AA914" i="1"/>
  <c r="J914" i="1"/>
  <c r="I914" i="1"/>
  <c r="H914" i="1"/>
  <c r="AA951" i="1"/>
  <c r="J951" i="1"/>
  <c r="I951" i="1"/>
  <c r="H951" i="1"/>
  <c r="AA443" i="1"/>
  <c r="J443" i="1"/>
  <c r="I443" i="1"/>
  <c r="H443" i="1"/>
  <c r="AA463" i="1"/>
  <c r="J463" i="1"/>
  <c r="I463" i="1"/>
  <c r="H463" i="1"/>
  <c r="AA145" i="1"/>
  <c r="J145" i="1"/>
  <c r="I145" i="1"/>
  <c r="H145" i="1"/>
  <c r="AA903" i="1"/>
  <c r="J903" i="1"/>
  <c r="I903" i="1"/>
  <c r="H903" i="1"/>
  <c r="AA511" i="1"/>
  <c r="J511" i="1"/>
  <c r="I511" i="1"/>
  <c r="H511" i="1"/>
  <c r="AA847" i="1"/>
  <c r="J847" i="1"/>
  <c r="I847" i="1"/>
  <c r="H847" i="1"/>
  <c r="AA712" i="1"/>
  <c r="J712" i="1"/>
  <c r="I712" i="1"/>
  <c r="H712" i="1"/>
  <c r="AA651" i="1"/>
  <c r="J651" i="1"/>
  <c r="I651" i="1"/>
  <c r="H651" i="1"/>
  <c r="AA413" i="1"/>
  <c r="J413" i="1"/>
  <c r="I413" i="1"/>
  <c r="H413" i="1"/>
  <c r="AA315" i="1"/>
  <c r="J315" i="1"/>
  <c r="I315" i="1"/>
  <c r="H315" i="1"/>
  <c r="AA331" i="1"/>
  <c r="J331" i="1"/>
  <c r="I331" i="1"/>
  <c r="H331" i="1"/>
  <c r="AA330" i="1"/>
  <c r="J330" i="1"/>
  <c r="I330" i="1"/>
  <c r="H330" i="1"/>
  <c r="AA284" i="1"/>
  <c r="J284" i="1"/>
  <c r="I284" i="1"/>
  <c r="H284" i="1"/>
  <c r="AA624" i="1"/>
  <c r="J624" i="1"/>
  <c r="I624" i="1"/>
  <c r="H624" i="1"/>
  <c r="AA56" i="1"/>
  <c r="J56" i="1"/>
  <c r="I56" i="1"/>
  <c r="H56" i="1"/>
  <c r="AA285" i="1"/>
  <c r="J285" i="1"/>
  <c r="I285" i="1"/>
  <c r="H285" i="1"/>
  <c r="AA846" i="1"/>
  <c r="J846" i="1"/>
  <c r="I846" i="1"/>
  <c r="H846" i="1"/>
  <c r="AA845" i="1"/>
  <c r="J845" i="1"/>
  <c r="I845" i="1"/>
  <c r="H845" i="1"/>
  <c r="AA964" i="1"/>
  <c r="J964" i="1"/>
  <c r="I964" i="1"/>
  <c r="H964" i="1"/>
  <c r="AA571" i="1"/>
  <c r="J571" i="1"/>
  <c r="I571" i="1"/>
  <c r="H571" i="1"/>
  <c r="AA766" i="1"/>
  <c r="J766" i="1"/>
  <c r="I766" i="1"/>
  <c r="H766" i="1"/>
  <c r="AA233" i="1"/>
  <c r="J233" i="1"/>
  <c r="I233" i="1"/>
  <c r="H233" i="1"/>
  <c r="AA489" i="1"/>
  <c r="J489" i="1"/>
  <c r="I489" i="1"/>
  <c r="H489" i="1"/>
  <c r="AA86" i="1"/>
  <c r="J86" i="1"/>
  <c r="I86" i="1"/>
  <c r="H86" i="1"/>
  <c r="AA466" i="1"/>
  <c r="J466" i="1"/>
  <c r="I466" i="1"/>
  <c r="H466" i="1"/>
  <c r="AA392" i="1"/>
  <c r="J392" i="1"/>
  <c r="I392" i="1"/>
  <c r="H392" i="1"/>
  <c r="AA584" i="1"/>
  <c r="J584" i="1"/>
  <c r="I584" i="1"/>
  <c r="H584" i="1"/>
  <c r="AA462" i="1"/>
  <c r="J462" i="1"/>
  <c r="I462" i="1"/>
  <c r="H462" i="1"/>
  <c r="AA677" i="1"/>
  <c r="J677" i="1"/>
  <c r="I677" i="1"/>
  <c r="H677" i="1"/>
  <c r="AA569" i="1"/>
  <c r="J569" i="1"/>
  <c r="I569" i="1"/>
  <c r="H569" i="1"/>
  <c r="AA510" i="1"/>
  <c r="J510" i="1"/>
  <c r="I510" i="1"/>
  <c r="H510" i="1"/>
  <c r="AA405" i="1"/>
  <c r="J405" i="1"/>
  <c r="I405" i="1"/>
  <c r="H405" i="1"/>
  <c r="AA950" i="1"/>
  <c r="J950" i="1"/>
  <c r="I950" i="1"/>
  <c r="H950" i="1"/>
  <c r="AA583" i="1"/>
  <c r="J583" i="1"/>
  <c r="I583" i="1"/>
  <c r="H583" i="1"/>
  <c r="AA176" i="1"/>
  <c r="J176" i="1"/>
  <c r="I176" i="1"/>
  <c r="H176" i="1"/>
  <c r="AA976" i="1"/>
  <c r="J976" i="1"/>
  <c r="I976" i="1"/>
  <c r="H976" i="1"/>
  <c r="AA283" i="1"/>
  <c r="J283" i="1"/>
  <c r="I283" i="1"/>
  <c r="H283" i="1"/>
  <c r="AA711" i="1"/>
  <c r="J711" i="1"/>
  <c r="I711" i="1"/>
  <c r="H711" i="1"/>
  <c r="AA175" i="1"/>
  <c r="J175" i="1"/>
  <c r="I175" i="1"/>
  <c r="H175" i="1"/>
  <c r="AA938" i="1"/>
  <c r="J938" i="1"/>
  <c r="I938" i="1"/>
  <c r="H938" i="1"/>
  <c r="AA676" i="1"/>
  <c r="J676" i="1"/>
  <c r="I676" i="1"/>
  <c r="H676" i="1"/>
  <c r="AA623" i="1"/>
  <c r="J623" i="1"/>
  <c r="I623" i="1"/>
  <c r="H623" i="1"/>
  <c r="AA665" i="1"/>
  <c r="J665" i="1"/>
  <c r="I665" i="1"/>
  <c r="H665" i="1"/>
  <c r="AA45" i="1"/>
  <c r="J45" i="1"/>
  <c r="I45" i="1"/>
  <c r="H45" i="1"/>
  <c r="AA582" i="1"/>
  <c r="J582" i="1"/>
  <c r="I582" i="1"/>
  <c r="H582" i="1"/>
  <c r="AA481" i="1"/>
  <c r="J481" i="1"/>
  <c r="I481" i="1"/>
  <c r="H481" i="1"/>
  <c r="AA536" i="1"/>
  <c r="J536" i="1"/>
  <c r="I536" i="1"/>
  <c r="H536" i="1"/>
  <c r="AA85" i="1"/>
  <c r="J85" i="1"/>
  <c r="I85" i="1"/>
  <c r="H85" i="1"/>
  <c r="AA329" i="1"/>
  <c r="J329" i="1"/>
  <c r="I329" i="1"/>
  <c r="H329" i="1"/>
  <c r="AA937" i="1"/>
  <c r="J937" i="1"/>
  <c r="I937" i="1"/>
  <c r="H937" i="1"/>
  <c r="AA256" i="1"/>
  <c r="J256" i="1"/>
  <c r="I256" i="1"/>
  <c r="H256" i="1"/>
  <c r="AA535" i="1"/>
  <c r="J535" i="1"/>
  <c r="I535" i="1"/>
  <c r="H535" i="1"/>
  <c r="AA509" i="1"/>
  <c r="J509" i="1"/>
  <c r="I509" i="1"/>
  <c r="H509" i="1"/>
  <c r="AA436" i="1"/>
  <c r="J436" i="1"/>
  <c r="I436" i="1"/>
  <c r="H436" i="1"/>
  <c r="AA234" i="1"/>
  <c r="J234" i="1"/>
  <c r="I234" i="1"/>
  <c r="H234" i="1"/>
  <c r="AA851" i="1"/>
  <c r="J851" i="1"/>
  <c r="I851" i="1"/>
  <c r="H851" i="1"/>
  <c r="AA775" i="1"/>
  <c r="J775" i="1"/>
  <c r="I775" i="1"/>
  <c r="H775" i="1"/>
  <c r="AA844" i="1"/>
  <c r="J844" i="1"/>
  <c r="I844" i="1"/>
  <c r="H844" i="1"/>
  <c r="AA581" i="1"/>
  <c r="J581" i="1"/>
  <c r="I581" i="1"/>
  <c r="H581" i="1"/>
  <c r="AA371" i="1"/>
  <c r="J371" i="1"/>
  <c r="I371" i="1"/>
  <c r="H371" i="1"/>
  <c r="AA762" i="1"/>
  <c r="J762" i="1"/>
  <c r="I762" i="1"/>
  <c r="H762" i="1"/>
  <c r="AA719" i="1"/>
  <c r="J719" i="1"/>
  <c r="I719" i="1"/>
  <c r="H719" i="1"/>
  <c r="AA774" i="1"/>
  <c r="J774" i="1"/>
  <c r="I774" i="1"/>
  <c r="H774" i="1"/>
  <c r="AA843" i="1"/>
  <c r="J843" i="1"/>
  <c r="I843" i="1"/>
  <c r="H843" i="1"/>
  <c r="AA281" i="1"/>
  <c r="J281" i="1"/>
  <c r="I281" i="1"/>
  <c r="H281" i="1"/>
  <c r="AA44" i="1"/>
  <c r="J44" i="1"/>
  <c r="I44" i="1"/>
  <c r="H44" i="1"/>
  <c r="AA117" i="1"/>
  <c r="J117" i="1"/>
  <c r="I117" i="1"/>
  <c r="H117" i="1"/>
  <c r="AA553" i="1"/>
  <c r="J553" i="1"/>
  <c r="I553" i="1"/>
  <c r="H553" i="1"/>
  <c r="AA842" i="1"/>
  <c r="J842" i="1"/>
  <c r="I842" i="1"/>
  <c r="H842" i="1"/>
  <c r="AA435" i="1"/>
  <c r="J435" i="1"/>
  <c r="I435" i="1"/>
  <c r="H435" i="1"/>
  <c r="AA100" i="1"/>
  <c r="J100" i="1"/>
  <c r="I100" i="1"/>
  <c r="H100" i="1"/>
  <c r="AA280" i="1"/>
  <c r="J280" i="1"/>
  <c r="I280" i="1"/>
  <c r="H280" i="1"/>
  <c r="AA403" i="1"/>
  <c r="J403" i="1"/>
  <c r="I403" i="1"/>
  <c r="H403" i="1"/>
  <c r="AA84" i="1"/>
  <c r="J84" i="1"/>
  <c r="I84" i="1"/>
  <c r="H84" i="1"/>
  <c r="AA885" i="1"/>
  <c r="J885" i="1"/>
  <c r="I885" i="1"/>
  <c r="H885" i="1"/>
  <c r="AA759" i="1"/>
  <c r="J759" i="1"/>
  <c r="I759" i="1"/>
  <c r="H759" i="1"/>
  <c r="AA979" i="1"/>
  <c r="J979" i="1"/>
  <c r="I979" i="1"/>
  <c r="H979" i="1"/>
  <c r="AA174" i="1"/>
  <c r="J174" i="1"/>
  <c r="I174" i="1"/>
  <c r="H174" i="1"/>
  <c r="AA825" i="1"/>
  <c r="J825" i="1"/>
  <c r="I825" i="1"/>
  <c r="H825" i="1"/>
  <c r="AA199" i="1"/>
  <c r="AA806" i="1"/>
  <c r="J806" i="1"/>
  <c r="I806" i="1"/>
  <c r="H806" i="1"/>
  <c r="AA967" i="1"/>
  <c r="J967" i="1"/>
  <c r="I967" i="1"/>
  <c r="H967" i="1"/>
  <c r="AA650" i="1"/>
  <c r="J650" i="1"/>
  <c r="I650" i="1"/>
  <c r="H650" i="1"/>
  <c r="AA622" i="1"/>
  <c r="J622" i="1"/>
  <c r="I622" i="1"/>
  <c r="H622" i="1"/>
  <c r="AA621" i="1"/>
  <c r="J621" i="1"/>
  <c r="I621" i="1"/>
  <c r="H621" i="1"/>
  <c r="AA620" i="1"/>
  <c r="J620" i="1"/>
  <c r="I620" i="1"/>
  <c r="H620" i="1"/>
  <c r="AA773" i="1"/>
  <c r="J773" i="1"/>
  <c r="I773" i="1"/>
  <c r="H773" i="1"/>
  <c r="AA785" i="1"/>
  <c r="J785" i="1"/>
  <c r="I785" i="1"/>
  <c r="H785" i="1"/>
  <c r="AA314" i="1"/>
  <c r="J314" i="1"/>
  <c r="I314" i="1"/>
  <c r="H314" i="1"/>
  <c r="AA700" i="1"/>
  <c r="J700" i="1"/>
  <c r="I700" i="1"/>
  <c r="H700" i="1"/>
  <c r="AA942" i="1"/>
  <c r="J942" i="1"/>
  <c r="I942" i="1"/>
  <c r="H942" i="1"/>
  <c r="AA429" i="1"/>
  <c r="J429" i="1"/>
  <c r="I429" i="1"/>
  <c r="H429" i="1"/>
  <c r="AA279" i="1"/>
  <c r="J279" i="1"/>
  <c r="I279" i="1"/>
  <c r="H279" i="1"/>
  <c r="AA75" i="1"/>
  <c r="J75" i="1"/>
  <c r="I75" i="1"/>
  <c r="H75" i="1"/>
  <c r="AA784" i="1"/>
  <c r="J784" i="1"/>
  <c r="I784" i="1"/>
  <c r="H784" i="1"/>
  <c r="AA223" i="1"/>
  <c r="J223" i="1"/>
  <c r="I223" i="1"/>
  <c r="H223" i="1"/>
  <c r="AA660" i="1"/>
  <c r="J660" i="1"/>
  <c r="I660" i="1"/>
  <c r="H660" i="1"/>
  <c r="AA428" i="1"/>
  <c r="J428" i="1"/>
  <c r="I428" i="1"/>
  <c r="H428" i="1"/>
  <c r="AA619" i="1"/>
  <c r="J619" i="1"/>
  <c r="I619" i="1"/>
  <c r="H619" i="1"/>
  <c r="AA368" i="1"/>
  <c r="J368" i="1"/>
  <c r="I368" i="1"/>
  <c r="H368" i="1"/>
  <c r="AA14" i="1"/>
  <c r="J14" i="1"/>
  <c r="I14" i="1"/>
  <c r="H14" i="1"/>
  <c r="AA270" i="1"/>
  <c r="J270" i="1"/>
  <c r="I270" i="1"/>
  <c r="H270" i="1"/>
  <c r="AA508" i="1"/>
  <c r="J508" i="1"/>
  <c r="I508" i="1"/>
  <c r="H508" i="1"/>
  <c r="AA42" i="1"/>
  <c r="J42" i="1"/>
  <c r="I42" i="1"/>
  <c r="H42" i="1"/>
  <c r="AA975" i="1"/>
  <c r="J975" i="1"/>
  <c r="I975" i="1"/>
  <c r="H975" i="1"/>
  <c r="AA1296" i="1"/>
  <c r="J1296" i="1"/>
  <c r="I1296" i="1"/>
  <c r="H1296" i="1"/>
  <c r="AA427" i="1"/>
  <c r="J427" i="1"/>
  <c r="I427" i="1"/>
  <c r="H427" i="1"/>
  <c r="AA99" i="1"/>
  <c r="J99" i="1"/>
  <c r="I99" i="1"/>
  <c r="H99" i="1"/>
  <c r="AA488" i="1"/>
  <c r="J488" i="1"/>
  <c r="I488" i="1"/>
  <c r="H488" i="1"/>
  <c r="AA675" i="1"/>
  <c r="J675" i="1"/>
  <c r="I675" i="1"/>
  <c r="H675" i="1"/>
  <c r="AA618" i="1"/>
  <c r="J618" i="1"/>
  <c r="I618" i="1"/>
  <c r="H618" i="1"/>
  <c r="AA13" i="1"/>
  <c r="J13" i="1"/>
  <c r="I13" i="1"/>
  <c r="H13" i="1"/>
  <c r="AA328" i="1"/>
  <c r="J328" i="1"/>
  <c r="I328" i="1"/>
  <c r="H328" i="1"/>
  <c r="AA871" i="1"/>
  <c r="J871" i="1"/>
  <c r="I871" i="1"/>
  <c r="H871" i="1"/>
  <c r="AA908" i="1"/>
  <c r="J908" i="1"/>
  <c r="I908" i="1"/>
  <c r="H908" i="1"/>
  <c r="AA313" i="1"/>
  <c r="AA523" i="1"/>
  <c r="J523" i="1"/>
  <c r="I523" i="1"/>
  <c r="H523" i="1"/>
  <c r="AA935" i="1"/>
  <c r="J935" i="1"/>
  <c r="I935" i="1"/>
  <c r="H935" i="1"/>
  <c r="AA658" i="1"/>
  <c r="J658" i="1"/>
  <c r="I658" i="1"/>
  <c r="H658" i="1"/>
  <c r="AA312" i="1"/>
  <c r="AA138" i="1"/>
  <c r="J138" i="1"/>
  <c r="I138" i="1"/>
  <c r="H138" i="1"/>
  <c r="AA173" i="1"/>
  <c r="J173" i="1"/>
  <c r="I173" i="1"/>
  <c r="H173" i="1"/>
  <c r="AA487" i="1"/>
  <c r="J487" i="1"/>
  <c r="I487" i="1"/>
  <c r="H487" i="1"/>
  <c r="AA340" i="1"/>
  <c r="J340" i="1"/>
  <c r="I340" i="1"/>
  <c r="H340" i="1"/>
  <c r="AA426" i="1"/>
  <c r="J426" i="1"/>
  <c r="I426" i="1"/>
  <c r="H426" i="1"/>
  <c r="AA507" i="1"/>
  <c r="J507" i="1"/>
  <c r="I507" i="1"/>
  <c r="H507" i="1"/>
  <c r="AA840" i="1"/>
  <c r="J840" i="1"/>
  <c r="I840" i="1"/>
  <c r="H840" i="1"/>
  <c r="AA735" i="1"/>
  <c r="J735" i="1"/>
  <c r="I735" i="1"/>
  <c r="H735" i="1"/>
  <c r="AA617" i="1"/>
  <c r="J617" i="1"/>
  <c r="I617" i="1"/>
  <c r="H617" i="1"/>
  <c r="AA586" i="1"/>
  <c r="J586" i="1"/>
  <c r="I586" i="1"/>
  <c r="H586" i="1"/>
  <c r="AA91" i="1"/>
  <c r="J91" i="1"/>
  <c r="I91" i="1"/>
  <c r="H91" i="1"/>
  <c r="AA461" i="1"/>
  <c r="J461" i="1"/>
  <c r="I461" i="1"/>
  <c r="H461" i="1"/>
  <c r="AA993" i="1"/>
  <c r="J993" i="1"/>
  <c r="I993" i="1"/>
  <c r="H993" i="1"/>
  <c r="AA262" i="1"/>
  <c r="J262" i="1"/>
  <c r="I262" i="1"/>
  <c r="H262" i="1"/>
  <c r="AA370" i="1"/>
  <c r="J370" i="1"/>
  <c r="I370" i="1"/>
  <c r="H370" i="1"/>
  <c r="AA616" i="1"/>
  <c r="J616" i="1"/>
  <c r="I616" i="1"/>
  <c r="H616" i="1"/>
  <c r="AA865" i="1"/>
  <c r="J865" i="1"/>
  <c r="I865" i="1"/>
  <c r="H865" i="1"/>
  <c r="AA805" i="1"/>
  <c r="J805" i="1"/>
  <c r="I805" i="1"/>
  <c r="H805" i="1"/>
  <c r="AA754" i="1"/>
  <c r="J754" i="1"/>
  <c r="I754" i="1"/>
  <c r="H754" i="1"/>
  <c r="AA61" i="1"/>
  <c r="J61" i="1"/>
  <c r="I61" i="1"/>
  <c r="H61" i="1"/>
  <c r="AA772" i="1"/>
  <c r="J772" i="1"/>
  <c r="I772" i="1"/>
  <c r="H772" i="1"/>
  <c r="AA655" i="1"/>
  <c r="J655" i="1"/>
  <c r="I655" i="1"/>
  <c r="H655" i="1"/>
  <c r="AA55" i="1"/>
  <c r="J55" i="1"/>
  <c r="I55" i="1"/>
  <c r="H55" i="1"/>
  <c r="AA900" i="1"/>
  <c r="J900" i="1"/>
  <c r="I900" i="1"/>
  <c r="H900" i="1"/>
  <c r="AA771" i="1"/>
  <c r="J771" i="1"/>
  <c r="I771" i="1"/>
  <c r="H771" i="1"/>
  <c r="AA486" i="1"/>
  <c r="J486" i="1"/>
  <c r="I486" i="1"/>
  <c r="H486" i="1"/>
  <c r="AA864" i="1"/>
  <c r="J864" i="1"/>
  <c r="I864" i="1"/>
  <c r="H864" i="1"/>
  <c r="AA867" i="1"/>
  <c r="J867" i="1"/>
  <c r="I867" i="1"/>
  <c r="H867" i="1"/>
  <c r="AA953" i="1"/>
  <c r="J953" i="1"/>
  <c r="I953" i="1"/>
  <c r="H953" i="1"/>
  <c r="AA952" i="1"/>
  <c r="J952" i="1"/>
  <c r="I952" i="1"/>
  <c r="H952" i="1"/>
  <c r="AA311" i="1"/>
  <c r="J311" i="1"/>
  <c r="I311" i="1"/>
  <c r="H311" i="1"/>
  <c r="AA74" i="1"/>
  <c r="J74" i="1"/>
  <c r="I74" i="1"/>
  <c r="H74" i="1"/>
  <c r="AA733" i="1"/>
  <c r="J733" i="1"/>
  <c r="I733" i="1"/>
  <c r="H733" i="1"/>
  <c r="AA404" i="1"/>
  <c r="J404" i="1"/>
  <c r="I404" i="1"/>
  <c r="H404" i="1"/>
  <c r="AA899" i="1"/>
  <c r="J899" i="1"/>
  <c r="I899" i="1"/>
  <c r="H899" i="1"/>
  <c r="AA433" i="1"/>
  <c r="J433" i="1"/>
  <c r="I433" i="1"/>
  <c r="H433" i="1"/>
  <c r="AA527" i="1"/>
  <c r="J527" i="1"/>
  <c r="I527" i="1"/>
  <c r="H527" i="1"/>
  <c r="AA391" i="1"/>
  <c r="J391" i="1"/>
  <c r="I391" i="1"/>
  <c r="H391" i="1"/>
  <c r="AA699" i="1"/>
  <c r="J699" i="1"/>
  <c r="I699" i="1"/>
  <c r="H699" i="1"/>
  <c r="AA534" i="1"/>
  <c r="J534" i="1"/>
  <c r="I534" i="1"/>
  <c r="H534" i="1"/>
  <c r="AA683" i="1"/>
  <c r="J683" i="1"/>
  <c r="I683" i="1"/>
  <c r="H683" i="1"/>
  <c r="AA310" i="1"/>
  <c r="J310" i="1"/>
  <c r="I310" i="1"/>
  <c r="H310" i="1"/>
  <c r="AA54" i="1"/>
  <c r="J54" i="1"/>
  <c r="I54" i="1"/>
  <c r="H54" i="1"/>
  <c r="AA136" i="1"/>
  <c r="J136" i="1"/>
  <c r="I136" i="1"/>
  <c r="H136" i="1"/>
  <c r="AA894" i="1"/>
  <c r="J894" i="1"/>
  <c r="I894" i="1"/>
  <c r="H894" i="1"/>
  <c r="AA273" i="1"/>
  <c r="J273" i="1"/>
  <c r="I273" i="1"/>
  <c r="H273" i="1"/>
  <c r="AA810" i="1"/>
  <c r="J810" i="1"/>
  <c r="I810" i="1"/>
  <c r="H810" i="1"/>
  <c r="AA367" i="1"/>
  <c r="J367" i="1"/>
  <c r="I367" i="1"/>
  <c r="H367" i="1"/>
  <c r="AA753" i="1"/>
  <c r="J753" i="1"/>
  <c r="I753" i="1"/>
  <c r="H753" i="1"/>
  <c r="AA142" i="1"/>
  <c r="J142" i="1"/>
  <c r="I142" i="1"/>
  <c r="H142" i="1"/>
  <c r="AA366" i="1"/>
  <c r="J366" i="1"/>
  <c r="I366" i="1"/>
  <c r="H366" i="1"/>
  <c r="AA959" i="1"/>
  <c r="J959" i="1"/>
  <c r="I959" i="1"/>
  <c r="H959" i="1"/>
  <c r="AA635" i="1"/>
  <c r="J635" i="1"/>
  <c r="I635" i="1"/>
  <c r="H635" i="1"/>
  <c r="AA637" i="1"/>
  <c r="J637" i="1"/>
  <c r="I637" i="1"/>
  <c r="H637" i="1"/>
  <c r="AA896" i="1"/>
  <c r="J896" i="1"/>
  <c r="I896" i="1"/>
  <c r="H896" i="1"/>
  <c r="AA327" i="1"/>
  <c r="J327" i="1"/>
  <c r="I327" i="1"/>
  <c r="H327" i="1"/>
  <c r="AA82" i="1"/>
  <c r="J82" i="1"/>
  <c r="I82" i="1"/>
  <c r="H82" i="1"/>
  <c r="AA460" i="1"/>
  <c r="J460" i="1"/>
  <c r="I460" i="1"/>
  <c r="H460" i="1"/>
  <c r="AA441" i="1"/>
  <c r="J441" i="1"/>
  <c r="I441" i="1"/>
  <c r="H441" i="1"/>
  <c r="AA698" i="1"/>
  <c r="J698" i="1"/>
  <c r="I698" i="1"/>
  <c r="H698" i="1"/>
  <c r="AA920" i="1"/>
  <c r="J920" i="1"/>
  <c r="I920" i="1"/>
  <c r="H920" i="1"/>
  <c r="AA963" i="1"/>
  <c r="J963" i="1"/>
  <c r="I963" i="1"/>
  <c r="H963" i="1"/>
  <c r="AA809" i="1"/>
  <c r="J809" i="1"/>
  <c r="I809" i="1"/>
  <c r="H809" i="1"/>
  <c r="AA506" i="1"/>
  <c r="J506" i="1"/>
  <c r="I506" i="1"/>
  <c r="H506" i="1"/>
  <c r="AA505" i="1"/>
  <c r="J505" i="1"/>
  <c r="I505" i="1"/>
  <c r="H505" i="1"/>
  <c r="AA757" i="1"/>
  <c r="J757" i="1"/>
  <c r="I757" i="1"/>
  <c r="H757" i="1"/>
  <c r="AA326" i="1"/>
  <c r="J326" i="1"/>
  <c r="I326" i="1"/>
  <c r="H326" i="1"/>
  <c r="AA365" i="1"/>
  <c r="J365" i="1"/>
  <c r="I365" i="1"/>
  <c r="H365" i="1"/>
  <c r="AA730" i="1"/>
  <c r="J730" i="1"/>
  <c r="I730" i="1"/>
  <c r="H730" i="1"/>
  <c r="AA615" i="1"/>
  <c r="J615" i="1"/>
  <c r="I615" i="1"/>
  <c r="H615" i="1"/>
  <c r="AA364" i="1"/>
  <c r="J364" i="1"/>
  <c r="I364" i="1"/>
  <c r="H364" i="1"/>
  <c r="AA172" i="1"/>
  <c r="J172" i="1"/>
  <c r="I172" i="1"/>
  <c r="H172" i="1"/>
  <c r="AA122" i="1"/>
  <c r="J122" i="1"/>
  <c r="I122" i="1"/>
  <c r="H122" i="1"/>
  <c r="AA24" i="1"/>
  <c r="J24" i="1"/>
  <c r="I24" i="1"/>
  <c r="H24" i="1"/>
  <c r="AA729" i="1"/>
  <c r="J729" i="1"/>
  <c r="I729" i="1"/>
  <c r="H729" i="1"/>
  <c r="AA459" i="1"/>
  <c r="J459" i="1"/>
  <c r="I459" i="1"/>
  <c r="H459" i="1"/>
  <c r="AA23" i="1"/>
  <c r="J23" i="1"/>
  <c r="I23" i="1"/>
  <c r="H23" i="1"/>
  <c r="AA866" i="1"/>
  <c r="J866" i="1"/>
  <c r="I866" i="1"/>
  <c r="H866" i="1"/>
  <c r="AA919" i="1"/>
  <c r="J919" i="1"/>
  <c r="I919" i="1"/>
  <c r="H919" i="1"/>
  <c r="AA221" i="1"/>
  <c r="J221" i="1"/>
  <c r="I221" i="1"/>
  <c r="H221" i="1"/>
  <c r="AA850" i="1"/>
  <c r="J850" i="1"/>
  <c r="I850" i="1"/>
  <c r="H850" i="1"/>
  <c r="AA674" i="1"/>
  <c r="J674" i="1"/>
  <c r="I674" i="1"/>
  <c r="H674" i="1"/>
  <c r="AA783" i="1"/>
  <c r="J783" i="1"/>
  <c r="I783" i="1"/>
  <c r="H783" i="1"/>
  <c r="AA614" i="1"/>
  <c r="J614" i="1"/>
  <c r="I614" i="1"/>
  <c r="H614" i="1"/>
  <c r="AA198" i="1"/>
  <c r="J198" i="1"/>
  <c r="I198" i="1"/>
  <c r="H198" i="1"/>
  <c r="AA992" i="1"/>
  <c r="J992" i="1"/>
  <c r="I992" i="1"/>
  <c r="H992" i="1"/>
  <c r="AA419" i="1"/>
  <c r="J419" i="1"/>
  <c r="I419" i="1"/>
  <c r="H419" i="1"/>
  <c r="AA808" i="1"/>
  <c r="J808" i="1"/>
  <c r="I808" i="1"/>
  <c r="H808" i="1"/>
  <c r="AA127" i="1"/>
  <c r="J127" i="1"/>
  <c r="I127" i="1"/>
  <c r="H127" i="1"/>
  <c r="AA807" i="1"/>
  <c r="J807" i="1"/>
  <c r="I807" i="1"/>
  <c r="H807" i="1"/>
  <c r="AA652" i="1"/>
  <c r="J652" i="1"/>
  <c r="I652" i="1"/>
  <c r="H652" i="1"/>
  <c r="AA485" i="1"/>
  <c r="J485" i="1"/>
  <c r="I485" i="1"/>
  <c r="H485" i="1"/>
  <c r="AA572" i="1"/>
  <c r="J572" i="1"/>
  <c r="I572" i="1"/>
  <c r="H572" i="1"/>
  <c r="AA412" i="1"/>
  <c r="J412" i="1"/>
  <c r="I412" i="1"/>
  <c r="H412" i="1"/>
  <c r="AA532" i="1"/>
  <c r="J532" i="1"/>
  <c r="I532" i="1"/>
  <c r="H532" i="1"/>
  <c r="AA73" i="1"/>
  <c r="J73" i="1"/>
  <c r="I73" i="1"/>
  <c r="H73" i="1"/>
  <c r="AA727" i="1"/>
  <c r="J727" i="1"/>
  <c r="I727" i="1"/>
  <c r="H727" i="1"/>
  <c r="AA197" i="1"/>
  <c r="J197" i="1"/>
  <c r="I197" i="1"/>
  <c r="H197" i="1"/>
  <c r="AA654" i="1"/>
  <c r="J654" i="1"/>
  <c r="I654" i="1"/>
  <c r="H654" i="1"/>
  <c r="AA402" i="1"/>
  <c r="J402" i="1"/>
  <c r="I402" i="1"/>
  <c r="H402" i="1"/>
  <c r="AA752" i="1"/>
  <c r="J752" i="1"/>
  <c r="I752" i="1"/>
  <c r="H752" i="1"/>
  <c r="AA504" i="1"/>
  <c r="J504" i="1"/>
  <c r="I504" i="1"/>
  <c r="H504" i="1"/>
  <c r="AA870" i="1"/>
  <c r="J870" i="1"/>
  <c r="I870" i="1"/>
  <c r="H870" i="1"/>
  <c r="AA171" i="1"/>
  <c r="J171" i="1"/>
  <c r="I171" i="1"/>
  <c r="H171" i="1"/>
  <c r="AA458" i="1"/>
  <c r="J458" i="1"/>
  <c r="I458" i="1"/>
  <c r="H458" i="1"/>
  <c r="AA196" i="1"/>
  <c r="J196" i="1"/>
  <c r="I196" i="1"/>
  <c r="H196" i="1"/>
  <c r="AA170" i="1"/>
  <c r="J170" i="1"/>
  <c r="I170" i="1"/>
  <c r="H170" i="1"/>
  <c r="AA169" i="1"/>
  <c r="J169" i="1"/>
  <c r="I169" i="1"/>
  <c r="H169" i="1"/>
  <c r="AA90" i="1"/>
  <c r="J90" i="1"/>
  <c r="I90" i="1"/>
  <c r="H90" i="1"/>
  <c r="AA362" i="1"/>
  <c r="J362" i="1"/>
  <c r="I362" i="1"/>
  <c r="H362" i="1"/>
  <c r="AA526" i="1"/>
  <c r="J526" i="1"/>
  <c r="I526" i="1"/>
  <c r="H526" i="1"/>
  <c r="AA457" i="1"/>
  <c r="J457" i="1"/>
  <c r="I457" i="1"/>
  <c r="H457" i="1"/>
  <c r="AA152" i="1"/>
  <c r="J152" i="1"/>
  <c r="I152" i="1"/>
  <c r="H152" i="1"/>
  <c r="AA41" i="1"/>
  <c r="J41" i="1"/>
  <c r="I41" i="1"/>
  <c r="H41" i="1"/>
  <c r="AA339" i="1"/>
  <c r="J339" i="1"/>
  <c r="I339" i="1"/>
  <c r="H339" i="1"/>
  <c r="AA697" i="1"/>
  <c r="J697" i="1"/>
  <c r="I697" i="1"/>
  <c r="H697" i="1"/>
  <c r="AA121" i="1"/>
  <c r="J121" i="1"/>
  <c r="I121" i="1"/>
  <c r="H121" i="1"/>
  <c r="AA525" i="1"/>
  <c r="J525" i="1"/>
  <c r="I525" i="1"/>
  <c r="H525" i="1"/>
  <c r="AA522" i="1"/>
  <c r="J522" i="1"/>
  <c r="I522" i="1"/>
  <c r="H522" i="1"/>
  <c r="AA40" i="1"/>
  <c r="J40" i="1"/>
  <c r="I40" i="1"/>
  <c r="H40" i="1"/>
  <c r="AA432" i="1"/>
  <c r="J432" i="1"/>
  <c r="I432" i="1"/>
  <c r="H432" i="1"/>
  <c r="AA692" i="1"/>
  <c r="J692" i="1"/>
  <c r="I692" i="1"/>
  <c r="H692" i="1"/>
  <c r="AA770" i="1"/>
  <c r="J770" i="1"/>
  <c r="I770" i="1"/>
  <c r="H770" i="1"/>
  <c r="AA869" i="1"/>
  <c r="J869" i="1"/>
  <c r="I869" i="1"/>
  <c r="H869" i="1"/>
  <c r="AA53" i="1"/>
  <c r="J53" i="1"/>
  <c r="I53" i="1"/>
  <c r="H53" i="1"/>
  <c r="AA120" i="1"/>
  <c r="J120" i="1"/>
  <c r="I120" i="1"/>
  <c r="H120" i="1"/>
  <c r="AA222" i="1"/>
  <c r="J222" i="1"/>
  <c r="I222" i="1"/>
  <c r="H222" i="1"/>
  <c r="AA194" i="1"/>
  <c r="J194" i="1"/>
  <c r="I194" i="1"/>
  <c r="H194" i="1"/>
  <c r="AA503" i="1"/>
  <c r="J503" i="1"/>
  <c r="I503" i="1"/>
  <c r="H503" i="1"/>
  <c r="AA653" i="1"/>
  <c r="AA219" i="1"/>
  <c r="J219" i="1"/>
  <c r="I219" i="1"/>
  <c r="H219" i="1"/>
  <c r="AA217" i="1"/>
  <c r="J217" i="1"/>
  <c r="I217" i="1"/>
  <c r="H217" i="1"/>
  <c r="AA941" i="1"/>
  <c r="J941" i="1"/>
  <c r="I941" i="1"/>
  <c r="H941" i="1"/>
  <c r="AA940" i="1"/>
  <c r="J940" i="1"/>
  <c r="I940" i="1"/>
  <c r="H940" i="1"/>
  <c r="AA849" i="1"/>
  <c r="J849" i="1"/>
  <c r="I849" i="1"/>
  <c r="H849" i="1"/>
  <c r="AA115" i="1"/>
  <c r="J115" i="1"/>
  <c r="I115" i="1"/>
  <c r="H115" i="1"/>
  <c r="AA241" i="1"/>
  <c r="J241" i="1"/>
  <c r="I241" i="1"/>
  <c r="H241" i="1"/>
  <c r="AA738" i="1"/>
  <c r="J738" i="1"/>
  <c r="I738" i="1"/>
  <c r="H738" i="1"/>
  <c r="AA958" i="1"/>
  <c r="J958" i="1"/>
  <c r="I958" i="1"/>
  <c r="H958" i="1"/>
  <c r="AA119" i="1"/>
  <c r="J119" i="1"/>
  <c r="I119" i="1"/>
  <c r="H119" i="1"/>
  <c r="AA696" i="1"/>
  <c r="J696" i="1"/>
  <c r="I696" i="1"/>
  <c r="H696" i="1"/>
  <c r="AA957" i="1"/>
  <c r="J957" i="1"/>
  <c r="I957" i="1"/>
  <c r="H957" i="1"/>
  <c r="AA272" i="1"/>
  <c r="J272" i="1"/>
  <c r="I272" i="1"/>
  <c r="H272" i="1"/>
  <c r="AA848" i="1"/>
  <c r="J848" i="1"/>
  <c r="I848" i="1"/>
  <c r="H848" i="1"/>
  <c r="AA484" i="1"/>
  <c r="J484" i="1"/>
  <c r="I484" i="1"/>
  <c r="H484" i="1"/>
  <c r="AA271" i="1"/>
  <c r="J271" i="1"/>
  <c r="I271" i="1"/>
  <c r="H271" i="1"/>
  <c r="AA649" i="1"/>
  <c r="AA137" i="1"/>
  <c r="J137" i="1"/>
  <c r="I137" i="1"/>
  <c r="H137" i="1"/>
  <c r="AA562" i="1"/>
  <c r="J562" i="1"/>
  <c r="I562" i="1"/>
  <c r="H562" i="1"/>
  <c r="AA325" i="1"/>
  <c r="J325" i="1"/>
  <c r="I325" i="1"/>
  <c r="H325" i="1"/>
  <c r="AA118" i="1"/>
  <c r="J118" i="1"/>
  <c r="I118" i="1"/>
  <c r="H118" i="1"/>
  <c r="AA751" i="1"/>
  <c r="J751" i="1"/>
  <c r="I751" i="1"/>
  <c r="H751" i="1"/>
  <c r="AA800" i="1"/>
  <c r="J800" i="1"/>
  <c r="I800" i="1"/>
  <c r="H800" i="1"/>
  <c r="AA613" i="1"/>
  <c r="J613" i="1"/>
  <c r="I613" i="1"/>
  <c r="H613" i="1"/>
  <c r="AA39" i="1"/>
  <c r="J39" i="1"/>
  <c r="I39" i="1"/>
  <c r="H39" i="1"/>
  <c r="AA286" i="1"/>
  <c r="J286" i="1"/>
  <c r="I286" i="1"/>
  <c r="H286" i="1"/>
  <c r="AA415" i="1"/>
  <c r="J415" i="1"/>
  <c r="I415" i="1"/>
  <c r="H415" i="1"/>
  <c r="AA860" i="1"/>
  <c r="J860" i="1"/>
  <c r="I860" i="1"/>
  <c r="H860" i="1"/>
  <c r="AA839" i="1"/>
  <c r="J839" i="1"/>
  <c r="I839" i="1"/>
  <c r="H839" i="1"/>
  <c r="AA309" i="1"/>
  <c r="J309" i="1"/>
  <c r="I309" i="1"/>
  <c r="H309" i="1"/>
  <c r="AA859" i="1"/>
  <c r="J859" i="1"/>
  <c r="I859" i="1"/>
  <c r="H859" i="1"/>
  <c r="AA384" i="1"/>
  <c r="J384" i="1"/>
  <c r="I384" i="1"/>
  <c r="H384" i="1"/>
  <c r="AA250" i="1"/>
  <c r="J250" i="1"/>
  <c r="I250" i="1"/>
  <c r="H250" i="1"/>
  <c r="AA111" i="1"/>
  <c r="J111" i="1"/>
  <c r="I111" i="1"/>
  <c r="H111" i="1"/>
  <c r="AA456" i="1"/>
  <c r="J456" i="1"/>
  <c r="I456" i="1"/>
  <c r="H456" i="1"/>
  <c r="AA247" i="1"/>
  <c r="J247" i="1"/>
  <c r="I247" i="1"/>
  <c r="H247" i="1"/>
  <c r="AA455" i="1"/>
  <c r="AA140" i="1"/>
  <c r="J140" i="1"/>
  <c r="I140" i="1"/>
  <c r="H140" i="1"/>
  <c r="AA308" i="1"/>
  <c r="J308" i="1"/>
  <c r="I308" i="1"/>
  <c r="H308" i="1"/>
  <c r="AA359" i="1"/>
  <c r="J359" i="1"/>
  <c r="I359" i="1"/>
  <c r="H359" i="1"/>
  <c r="AA282" i="1"/>
  <c r="J282" i="1"/>
  <c r="I282" i="1"/>
  <c r="H282" i="1"/>
  <c r="AA358" i="1"/>
  <c r="J358" i="1"/>
  <c r="I358" i="1"/>
  <c r="H358" i="1"/>
  <c r="AA695" i="1"/>
  <c r="J695" i="1"/>
  <c r="I695" i="1"/>
  <c r="H695" i="1"/>
  <c r="AA547" i="1"/>
  <c r="J547" i="1"/>
  <c r="I547" i="1"/>
  <c r="H547" i="1"/>
  <c r="AA694" i="1"/>
  <c r="J694" i="1"/>
  <c r="I694" i="1"/>
  <c r="H694" i="1"/>
  <c r="AA269" i="1"/>
  <c r="J269" i="1"/>
  <c r="I269" i="1"/>
  <c r="H269" i="1"/>
  <c r="AA858" i="1"/>
  <c r="J858" i="1"/>
  <c r="I858" i="1"/>
  <c r="H858" i="1"/>
  <c r="AA888" i="1"/>
  <c r="J888" i="1"/>
  <c r="I888" i="1"/>
  <c r="H888" i="1"/>
  <c r="AA268" i="1"/>
  <c r="J268" i="1"/>
  <c r="I268" i="1"/>
  <c r="H268" i="1"/>
  <c r="AA502" i="1"/>
  <c r="J502" i="1"/>
  <c r="I502" i="1"/>
  <c r="H502" i="1"/>
  <c r="AA736" i="1"/>
  <c r="J736" i="1"/>
  <c r="I736" i="1"/>
  <c r="H736" i="1"/>
  <c r="AA734" i="1"/>
  <c r="J734" i="1"/>
  <c r="I734" i="1"/>
  <c r="H734" i="1"/>
  <c r="AA725" i="1"/>
  <c r="J725" i="1"/>
  <c r="I725" i="1"/>
  <c r="H725" i="1"/>
  <c r="AA200" i="1"/>
  <c r="J200" i="1"/>
  <c r="I200" i="1"/>
  <c r="H200" i="1"/>
  <c r="AA664" i="1"/>
  <c r="J664" i="1"/>
  <c r="I664" i="1"/>
  <c r="H664" i="1"/>
  <c r="AA884" i="1"/>
  <c r="J884" i="1"/>
  <c r="I884" i="1"/>
  <c r="H884" i="1"/>
  <c r="AA237" i="1"/>
  <c r="J237" i="1"/>
  <c r="I237" i="1"/>
  <c r="H237" i="1"/>
  <c r="AA249" i="1"/>
  <c r="J249" i="1"/>
  <c r="I249" i="1"/>
  <c r="H249" i="1"/>
  <c r="AA454" i="1"/>
  <c r="J454" i="1"/>
  <c r="I454" i="1"/>
  <c r="H454" i="1"/>
  <c r="AA824" i="1"/>
  <c r="J824" i="1"/>
  <c r="I824" i="1"/>
  <c r="H824" i="1"/>
  <c r="AA81" i="1"/>
  <c r="J81" i="1"/>
  <c r="I81" i="1"/>
  <c r="H81" i="1"/>
  <c r="AA804" i="1"/>
  <c r="J804" i="1"/>
  <c r="I804" i="1"/>
  <c r="H804" i="1"/>
  <c r="AA218" i="1"/>
  <c r="J218" i="1"/>
  <c r="I218" i="1"/>
  <c r="H218" i="1"/>
  <c r="AA267" i="1"/>
  <c r="J267" i="1"/>
  <c r="I267" i="1"/>
  <c r="H267" i="1"/>
  <c r="AA521" i="1"/>
  <c r="J521" i="1"/>
  <c r="I521" i="1"/>
  <c r="H521" i="1"/>
  <c r="AA612" i="1"/>
  <c r="J612" i="1"/>
  <c r="I612" i="1"/>
  <c r="H612" i="1"/>
  <c r="AA611" i="1"/>
  <c r="J611" i="1"/>
  <c r="I611" i="1"/>
  <c r="H611" i="1"/>
  <c r="AA565" i="1"/>
  <c r="J565" i="1"/>
  <c r="I565" i="1"/>
  <c r="H565" i="1"/>
  <c r="AA643" i="1"/>
  <c r="J643" i="1"/>
  <c r="I643" i="1"/>
  <c r="H643" i="1"/>
  <c r="AA648" i="1"/>
  <c r="J648" i="1"/>
  <c r="I648" i="1"/>
  <c r="H648" i="1"/>
  <c r="AA657" i="1"/>
  <c r="J657" i="1"/>
  <c r="I657" i="1"/>
  <c r="H657" i="1"/>
  <c r="AA68" i="1"/>
  <c r="J68" i="1"/>
  <c r="I68" i="1"/>
  <c r="H68" i="1"/>
  <c r="AA319" i="1"/>
  <c r="J319" i="1"/>
  <c r="I319" i="1"/>
  <c r="H319" i="1"/>
  <c r="AA769" i="1"/>
  <c r="J769" i="1"/>
  <c r="I769" i="1"/>
  <c r="H769" i="1"/>
  <c r="AA307" i="1"/>
  <c r="J307" i="1"/>
  <c r="I307" i="1"/>
  <c r="H307" i="1"/>
  <c r="AA131" i="1"/>
  <c r="J131" i="1"/>
  <c r="I131" i="1"/>
  <c r="H131" i="1"/>
  <c r="AA151" i="1"/>
  <c r="J151" i="1"/>
  <c r="I151" i="1"/>
  <c r="H151" i="1"/>
  <c r="AA168" i="1"/>
  <c r="J168" i="1"/>
  <c r="I168" i="1"/>
  <c r="H168" i="1"/>
  <c r="AA551" i="1"/>
  <c r="J551" i="1"/>
  <c r="I551" i="1"/>
  <c r="H551" i="1"/>
  <c r="AA897" i="1"/>
  <c r="J897" i="1"/>
  <c r="I897" i="1"/>
  <c r="H897" i="1"/>
  <c r="AA823" i="1"/>
  <c r="J823" i="1"/>
  <c r="I823" i="1"/>
  <c r="H823" i="1"/>
  <c r="AA401" i="1"/>
  <c r="J401" i="1"/>
  <c r="I401" i="1"/>
  <c r="H401" i="1"/>
  <c r="AA693" i="1"/>
  <c r="J693" i="1"/>
  <c r="I693" i="1"/>
  <c r="H693" i="1"/>
  <c r="AA227" i="1"/>
  <c r="J227" i="1"/>
  <c r="I227" i="1"/>
  <c r="H227" i="1"/>
  <c r="AA410" i="1"/>
  <c r="J410" i="1"/>
  <c r="I410" i="1"/>
  <c r="H410" i="1"/>
  <c r="AA338" i="1"/>
  <c r="J338" i="1"/>
  <c r="I338" i="1"/>
  <c r="H338" i="1"/>
  <c r="AA564" i="1"/>
  <c r="J564" i="1"/>
  <c r="I564" i="1"/>
  <c r="H564" i="1"/>
  <c r="AA369" i="1"/>
  <c r="J369" i="1"/>
  <c r="I369" i="1"/>
  <c r="H369" i="1"/>
  <c r="AA72" i="1"/>
  <c r="J72" i="1"/>
  <c r="I72" i="1"/>
  <c r="H72" i="1"/>
  <c r="AA447" i="1"/>
  <c r="J447" i="1"/>
  <c r="I447" i="1"/>
  <c r="H447" i="1"/>
  <c r="AA238" i="1"/>
  <c r="J238" i="1"/>
  <c r="I238" i="1"/>
  <c r="H238" i="1"/>
  <c r="AA337" i="1"/>
  <c r="J337" i="1"/>
  <c r="I337" i="1"/>
  <c r="H337" i="1"/>
  <c r="AA750" i="1"/>
  <c r="J750" i="1"/>
  <c r="I750" i="1"/>
  <c r="H750" i="1"/>
  <c r="AA193" i="1"/>
  <c r="J193" i="1"/>
  <c r="I193" i="1"/>
  <c r="H193" i="1"/>
  <c r="AA636" i="1"/>
  <c r="J636" i="1"/>
  <c r="I636" i="1"/>
  <c r="H636" i="1"/>
  <c r="AA431" i="1"/>
  <c r="J431" i="1"/>
  <c r="I431" i="1"/>
  <c r="H431" i="1"/>
  <c r="AA71" i="1"/>
  <c r="J71" i="1"/>
  <c r="I71" i="1"/>
  <c r="H71" i="1"/>
  <c r="AA918" i="1"/>
  <c r="J918" i="1"/>
  <c r="I918" i="1"/>
  <c r="H918" i="1"/>
  <c r="AA838" i="1"/>
  <c r="J838" i="1"/>
  <c r="I838" i="1"/>
  <c r="H838" i="1"/>
  <c r="AA732" i="1"/>
  <c r="J732" i="1"/>
  <c r="I732" i="1"/>
  <c r="H732" i="1"/>
  <c r="AA139" i="1"/>
  <c r="J139" i="1"/>
  <c r="I139" i="1"/>
  <c r="H139" i="1"/>
  <c r="AA70" i="1"/>
  <c r="AA610" i="1"/>
  <c r="J610" i="1"/>
  <c r="I610" i="1"/>
  <c r="H610" i="1"/>
  <c r="AA756" i="1"/>
  <c r="J756" i="1"/>
  <c r="I756" i="1"/>
  <c r="H756" i="1"/>
  <c r="AA192" i="1"/>
  <c r="J192" i="1"/>
  <c r="I192" i="1"/>
  <c r="H192" i="1"/>
  <c r="AA855" i="1"/>
  <c r="J855" i="1"/>
  <c r="I855" i="1"/>
  <c r="H855" i="1"/>
  <c r="AA609" i="1"/>
  <c r="J609" i="1"/>
  <c r="I609" i="1"/>
  <c r="H609" i="1"/>
  <c r="AA803" i="1"/>
  <c r="J803" i="1"/>
  <c r="I803" i="1"/>
  <c r="H803" i="1"/>
  <c r="AA557" i="1"/>
  <c r="J557" i="1"/>
  <c r="I557" i="1"/>
  <c r="H557" i="1"/>
  <c r="AA407" i="1"/>
  <c r="J407" i="1"/>
  <c r="I407" i="1"/>
  <c r="H407" i="1"/>
  <c r="AA363" i="1"/>
  <c r="J363" i="1"/>
  <c r="I363" i="1"/>
  <c r="H363" i="1"/>
  <c r="AA837" i="1"/>
  <c r="J837" i="1"/>
  <c r="I837" i="1"/>
  <c r="H837" i="1"/>
  <c r="AA822" i="1"/>
  <c r="J822" i="1"/>
  <c r="I822" i="1"/>
  <c r="H822" i="1"/>
  <c r="AA411" i="1"/>
  <c r="J411" i="1"/>
  <c r="I411" i="1"/>
  <c r="H411" i="1"/>
  <c r="AA722" i="1"/>
  <c r="J722" i="1"/>
  <c r="I722" i="1"/>
  <c r="H722" i="1"/>
  <c r="AA148" i="1"/>
  <c r="J148" i="1"/>
  <c r="I148" i="1"/>
  <c r="H148" i="1"/>
  <c r="AA1154" i="1"/>
  <c r="J1154" i="1"/>
  <c r="I1154" i="1"/>
  <c r="H1154" i="1"/>
  <c r="AA357" i="1"/>
  <c r="J357" i="1"/>
  <c r="I357" i="1"/>
  <c r="H357" i="1"/>
  <c r="AA802" i="1"/>
  <c r="J802" i="1"/>
  <c r="I802" i="1"/>
  <c r="H802" i="1"/>
  <c r="AA69" i="1"/>
  <c r="J69" i="1"/>
  <c r="I69" i="1"/>
  <c r="H69" i="1"/>
  <c r="AA857" i="1"/>
  <c r="J857" i="1"/>
  <c r="I857" i="1"/>
  <c r="H857" i="1"/>
  <c r="AA691" i="1"/>
  <c r="J691" i="1"/>
  <c r="I691" i="1"/>
  <c r="H691" i="1"/>
  <c r="AA690" i="1"/>
  <c r="J690" i="1"/>
  <c r="I690" i="1"/>
  <c r="H690" i="1"/>
  <c r="AA400" i="1"/>
  <c r="J400" i="1"/>
  <c r="I400" i="1"/>
  <c r="H400" i="1"/>
  <c r="AA264" i="1"/>
  <c r="J264" i="1"/>
  <c r="I264" i="1"/>
  <c r="H264" i="1"/>
  <c r="AA206" i="1"/>
  <c r="J206" i="1"/>
  <c r="I206" i="1"/>
  <c r="H206" i="1"/>
  <c r="AA673" i="1"/>
  <c r="J673" i="1"/>
  <c r="I673" i="1"/>
  <c r="H673" i="1"/>
  <c r="AA306" i="1"/>
  <c r="J306" i="1"/>
  <c r="I306" i="1"/>
  <c r="H306" i="1"/>
  <c r="AA913" i="1"/>
  <c r="J913" i="1"/>
  <c r="I913" i="1"/>
  <c r="H913" i="1"/>
  <c r="AA560" i="1"/>
  <c r="J560" i="1"/>
  <c r="I560" i="1"/>
  <c r="H560" i="1"/>
  <c r="AA356" i="1"/>
  <c r="J356" i="1"/>
  <c r="I356" i="1"/>
  <c r="H356" i="1"/>
  <c r="AA382" i="1"/>
  <c r="J382" i="1"/>
  <c r="I382" i="1"/>
  <c r="H382" i="1"/>
  <c r="AA801" i="1"/>
  <c r="J801" i="1"/>
  <c r="I801" i="1"/>
  <c r="H801" i="1"/>
  <c r="AA555" i="1"/>
  <c r="J555" i="1"/>
  <c r="I555" i="1"/>
  <c r="H555" i="1"/>
  <c r="AA902" i="1"/>
  <c r="J902" i="1"/>
  <c r="I902" i="1"/>
  <c r="H902" i="1"/>
  <c r="AA440" i="1"/>
  <c r="J440" i="1"/>
  <c r="I440" i="1"/>
  <c r="H440" i="1"/>
  <c r="AA710" i="1"/>
  <c r="J710" i="1"/>
  <c r="I710" i="1"/>
  <c r="H710" i="1"/>
  <c r="AA116" i="1"/>
  <c r="J116" i="1"/>
  <c r="I116" i="1"/>
  <c r="H116" i="1"/>
  <c r="AA934" i="1"/>
  <c r="J934" i="1"/>
  <c r="I934" i="1"/>
  <c r="H934" i="1"/>
  <c r="AA336" i="1"/>
  <c r="J336" i="1"/>
  <c r="I336" i="1"/>
  <c r="H336" i="1"/>
  <c r="AA768" i="1"/>
  <c r="J768" i="1"/>
  <c r="I768" i="1"/>
  <c r="H768" i="1"/>
  <c r="AA554" i="1"/>
  <c r="J554" i="1"/>
  <c r="I554" i="1"/>
  <c r="H554" i="1"/>
  <c r="AA355" i="1"/>
  <c r="J355" i="1"/>
  <c r="I355" i="1"/>
  <c r="H355" i="1"/>
  <c r="AA501" i="1"/>
  <c r="J501" i="1"/>
  <c r="I501" i="1"/>
  <c r="H501" i="1"/>
  <c r="AA399" i="1"/>
  <c r="J399" i="1"/>
  <c r="I399" i="1"/>
  <c r="H399" i="1"/>
  <c r="AA361" i="1"/>
  <c r="J361" i="1"/>
  <c r="I361" i="1"/>
  <c r="H361" i="1"/>
  <c r="AA390" i="1"/>
  <c r="J390" i="1"/>
  <c r="I390" i="1"/>
  <c r="H390" i="1"/>
  <c r="AA893" i="1"/>
  <c r="J893" i="1"/>
  <c r="I893" i="1"/>
  <c r="H893" i="1"/>
  <c r="AA360" i="1"/>
  <c r="J360" i="1"/>
  <c r="I360" i="1"/>
  <c r="H360" i="1"/>
  <c r="AA409" i="1"/>
  <c r="J409" i="1"/>
  <c r="I409" i="1"/>
  <c r="H409" i="1"/>
  <c r="AA782" i="1"/>
  <c r="J782" i="1"/>
  <c r="I782" i="1"/>
  <c r="H782" i="1"/>
  <c r="AA799" i="1"/>
  <c r="J799" i="1"/>
  <c r="I799" i="1"/>
  <c r="H799" i="1"/>
  <c r="AA689" i="1"/>
  <c r="J689" i="1"/>
  <c r="I689" i="1"/>
  <c r="H689" i="1"/>
  <c r="AA305" i="1"/>
  <c r="J305" i="1"/>
  <c r="I305" i="1"/>
  <c r="H305" i="1"/>
  <c r="AA167" i="1"/>
  <c r="J167" i="1"/>
  <c r="I167" i="1"/>
  <c r="H167" i="1"/>
  <c r="AA191" i="1"/>
  <c r="J191" i="1"/>
  <c r="I191" i="1"/>
  <c r="H191" i="1"/>
  <c r="AA446" i="1"/>
  <c r="J446" i="1"/>
  <c r="I446" i="1"/>
  <c r="H446" i="1"/>
  <c r="AA445" i="1"/>
  <c r="J445" i="1"/>
  <c r="I445" i="1"/>
  <c r="H445" i="1"/>
  <c r="AA214" i="1"/>
  <c r="J214" i="1"/>
  <c r="I214" i="1"/>
  <c r="H214" i="1"/>
  <c r="AA144" i="1"/>
  <c r="J144" i="1"/>
  <c r="I144" i="1"/>
  <c r="H144" i="1"/>
  <c r="AA354" i="1"/>
  <c r="J354" i="1"/>
  <c r="I354" i="1"/>
  <c r="H354" i="1"/>
  <c r="AA4" i="1"/>
  <c r="J4" i="1"/>
  <c r="I4" i="1"/>
  <c r="H4" i="1"/>
  <c r="AA548" i="1"/>
  <c r="J548" i="1"/>
  <c r="I548" i="1"/>
  <c r="H548" i="1"/>
  <c r="AA608" i="1"/>
  <c r="J608" i="1"/>
  <c r="I608" i="1"/>
  <c r="H608" i="1"/>
  <c r="AA246" i="1"/>
  <c r="J246" i="1"/>
  <c r="I246" i="1"/>
  <c r="H246" i="1"/>
  <c r="AA662" i="1"/>
  <c r="J662" i="1"/>
  <c r="I662" i="1"/>
  <c r="H662" i="1"/>
  <c r="AA244" i="1"/>
  <c r="J244" i="1"/>
  <c r="I244" i="1"/>
  <c r="H244" i="1"/>
  <c r="AA645" i="1"/>
  <c r="J645" i="1"/>
  <c r="I645" i="1"/>
  <c r="H645" i="1"/>
  <c r="AA353" i="1"/>
  <c r="J353" i="1"/>
  <c r="I353" i="1"/>
  <c r="H353" i="1"/>
  <c r="AA190" i="1"/>
  <c r="J190" i="1"/>
  <c r="I190" i="1"/>
  <c r="H190" i="1"/>
  <c r="AA114" i="1"/>
  <c r="J114" i="1"/>
  <c r="I114" i="1"/>
  <c r="H114" i="1"/>
  <c r="AA767" i="1"/>
  <c r="J767" i="1"/>
  <c r="I767" i="1"/>
  <c r="H767" i="1"/>
  <c r="AA242" i="1"/>
  <c r="J242" i="1"/>
  <c r="I242" i="1"/>
  <c r="H242" i="1"/>
  <c r="AA335" i="1"/>
  <c r="J335" i="1"/>
  <c r="I335" i="1"/>
  <c r="H335" i="1"/>
  <c r="AA278" i="1"/>
  <c r="J278" i="1"/>
  <c r="I278" i="1"/>
  <c r="H278" i="1"/>
  <c r="AA836" i="1"/>
  <c r="J836" i="1"/>
  <c r="I836" i="1"/>
  <c r="H836" i="1"/>
  <c r="AA816" i="1"/>
  <c r="J816" i="1"/>
  <c r="I816" i="1"/>
  <c r="H816" i="1"/>
  <c r="AA189" i="1"/>
  <c r="J189" i="1"/>
  <c r="I189" i="1"/>
  <c r="H189" i="1"/>
  <c r="AA688" i="1"/>
  <c r="J688" i="1"/>
  <c r="I688" i="1"/>
  <c r="H688" i="1"/>
  <c r="AA483" i="1"/>
  <c r="J483" i="1"/>
  <c r="I483" i="1"/>
  <c r="H483" i="1"/>
  <c r="AA933" i="1"/>
  <c r="J933" i="1"/>
  <c r="I933" i="1"/>
  <c r="H933" i="1"/>
  <c r="AA932" i="1"/>
  <c r="J932" i="1"/>
  <c r="I932" i="1"/>
  <c r="H932" i="1"/>
  <c r="AA686" i="1"/>
  <c r="J686" i="1"/>
  <c r="I686" i="1"/>
  <c r="H686" i="1"/>
  <c r="AA12" i="1"/>
  <c r="J12" i="1"/>
  <c r="I12" i="1"/>
  <c r="H12" i="1"/>
  <c r="AA552" i="1"/>
  <c r="J552" i="1"/>
  <c r="I552" i="1"/>
  <c r="H552" i="1"/>
  <c r="AA482" i="1"/>
  <c r="J482" i="1"/>
  <c r="I482" i="1"/>
  <c r="H482" i="1"/>
  <c r="AA556" i="1"/>
  <c r="J556" i="1"/>
  <c r="I556" i="1"/>
  <c r="H556" i="1"/>
  <c r="AA718" i="1"/>
  <c r="J718" i="1"/>
  <c r="I718" i="1"/>
  <c r="H718" i="1"/>
  <c r="AA226" i="1"/>
  <c r="J226" i="1"/>
  <c r="I226" i="1"/>
  <c r="H226" i="1"/>
  <c r="AA862" i="1"/>
  <c r="J862" i="1"/>
  <c r="I862" i="1"/>
  <c r="H862" i="1"/>
  <c r="AA37" i="1"/>
  <c r="J37" i="1"/>
  <c r="I37" i="1"/>
  <c r="H37" i="1"/>
  <c r="AA644" i="1"/>
  <c r="J644" i="1"/>
  <c r="I644" i="1"/>
  <c r="H644" i="1"/>
  <c r="AA232" i="1"/>
  <c r="J232" i="1"/>
  <c r="I232" i="1"/>
  <c r="H232" i="1"/>
  <c r="AA668" i="1"/>
  <c r="J668" i="1"/>
  <c r="I668" i="1"/>
  <c r="H668" i="1"/>
  <c r="AA352" i="1"/>
  <c r="J352" i="1"/>
  <c r="I352" i="1"/>
  <c r="H352" i="1"/>
  <c r="AA520" i="1"/>
  <c r="J520" i="1"/>
  <c r="I520" i="1"/>
  <c r="H520" i="1"/>
  <c r="AA266" i="1"/>
  <c r="J266" i="1"/>
  <c r="I266" i="1"/>
  <c r="H266" i="1"/>
  <c r="AA629" i="1"/>
  <c r="J629" i="1"/>
  <c r="I629" i="1"/>
  <c r="H629" i="1"/>
  <c r="AA52" i="1"/>
  <c r="J52" i="1"/>
  <c r="I52" i="1"/>
  <c r="H52" i="1"/>
  <c r="AA984" i="1"/>
  <c r="J984" i="1"/>
  <c r="I984" i="1"/>
  <c r="H984" i="1"/>
  <c r="AA607" i="1"/>
  <c r="J607" i="1"/>
  <c r="I607" i="1"/>
  <c r="H607" i="1"/>
  <c r="AA439" i="1"/>
  <c r="J439" i="1"/>
  <c r="I439" i="1"/>
  <c r="H439" i="1"/>
  <c r="AA80" i="1"/>
  <c r="J80" i="1"/>
  <c r="I80" i="1"/>
  <c r="H80" i="1"/>
  <c r="AA424" i="1"/>
  <c r="AA423" i="1"/>
  <c r="J423" i="1"/>
  <c r="I423" i="1"/>
  <c r="H423" i="1"/>
  <c r="AA113" i="1"/>
  <c r="J113" i="1"/>
  <c r="I113" i="1"/>
  <c r="H113" i="1"/>
  <c r="AA166" i="1"/>
  <c r="J166" i="1"/>
  <c r="I166" i="1"/>
  <c r="H166" i="1"/>
  <c r="AA580" i="1"/>
  <c r="J580" i="1"/>
  <c r="I580" i="1"/>
  <c r="H580" i="1"/>
  <c r="AA98" i="1"/>
  <c r="J98" i="1"/>
  <c r="I98" i="1"/>
  <c r="H98" i="1"/>
  <c r="AA143" i="1"/>
  <c r="J143" i="1"/>
  <c r="I143" i="1"/>
  <c r="H143" i="1"/>
  <c r="AA781" i="1"/>
  <c r="J781" i="1"/>
  <c r="I781" i="1"/>
  <c r="H781" i="1"/>
  <c r="AA917" i="1"/>
  <c r="J917" i="1"/>
  <c r="I917" i="1"/>
  <c r="H917" i="1"/>
  <c r="AA261" i="1"/>
  <c r="J261" i="1"/>
  <c r="I261" i="1"/>
  <c r="H261" i="1"/>
  <c r="AA79" i="1"/>
  <c r="J79" i="1"/>
  <c r="I79" i="1"/>
  <c r="H79" i="1"/>
  <c r="AA418" i="1"/>
  <c r="J418" i="1"/>
  <c r="I418" i="1"/>
  <c r="H418" i="1"/>
  <c r="AA968" i="1"/>
  <c r="J968" i="1"/>
  <c r="I968" i="1"/>
  <c r="H968" i="1"/>
  <c r="AA417" i="1"/>
  <c r="J417" i="1"/>
  <c r="I417" i="1"/>
  <c r="H417" i="1"/>
  <c r="AA978" i="1"/>
  <c r="J978" i="1"/>
  <c r="I978" i="1"/>
  <c r="H978" i="1"/>
  <c r="AA977" i="1"/>
  <c r="J977" i="1"/>
  <c r="I977" i="1"/>
  <c r="H977" i="1"/>
  <c r="AA1003" i="1"/>
  <c r="J1003" i="1"/>
  <c r="I1003" i="1"/>
  <c r="H1003" i="1"/>
  <c r="AA891" i="1"/>
  <c r="J891" i="1"/>
  <c r="I891" i="1"/>
  <c r="H891" i="1"/>
  <c r="AA1002" i="1"/>
  <c r="J1002" i="1"/>
  <c r="I1002" i="1"/>
  <c r="H1002" i="1"/>
  <c r="AA416" i="1"/>
  <c r="J416" i="1"/>
  <c r="I416" i="1"/>
  <c r="H416" i="1"/>
  <c r="AA188" i="1"/>
  <c r="J188" i="1"/>
  <c r="I188" i="1"/>
  <c r="H188" i="1"/>
  <c r="AA414" i="1"/>
  <c r="J414" i="1"/>
  <c r="I414" i="1"/>
  <c r="H414" i="1"/>
  <c r="AA966" i="1"/>
  <c r="J966" i="1"/>
  <c r="I966" i="1"/>
  <c r="H966" i="1"/>
  <c r="AA179" i="1"/>
  <c r="J179" i="1"/>
  <c r="I179" i="1"/>
  <c r="H179" i="1"/>
  <c r="AA889" i="1"/>
  <c r="J889" i="1"/>
  <c r="I889" i="1"/>
  <c r="H889" i="1"/>
  <c r="AA973" i="1"/>
  <c r="J973" i="1"/>
  <c r="I973" i="1"/>
  <c r="H973" i="1"/>
  <c r="AA972" i="1"/>
  <c r="J972" i="1"/>
  <c r="I972" i="1"/>
  <c r="H972" i="1"/>
  <c r="AA971" i="1"/>
  <c r="J971" i="1"/>
  <c r="I971" i="1"/>
  <c r="H971" i="1"/>
  <c r="AA257" i="1"/>
  <c r="J257" i="1"/>
  <c r="I257" i="1"/>
  <c r="H257" i="1"/>
  <c r="AA970" i="1"/>
  <c r="J970" i="1"/>
  <c r="I970" i="1"/>
  <c r="H970" i="1"/>
  <c r="AA890" i="1"/>
  <c r="J890" i="1"/>
  <c r="I890" i="1"/>
  <c r="H890" i="1"/>
  <c r="AA420" i="1"/>
  <c r="J420" i="1"/>
  <c r="I420" i="1"/>
  <c r="H420" i="1"/>
  <c r="AA981" i="1"/>
  <c r="J981" i="1"/>
  <c r="I981" i="1"/>
  <c r="H981" i="1"/>
  <c r="AA980" i="1"/>
  <c r="J980" i="1"/>
  <c r="I980" i="1"/>
  <c r="H980" i="1"/>
  <c r="AA987" i="1"/>
  <c r="J987" i="1"/>
  <c r="I987" i="1"/>
  <c r="H987" i="1"/>
  <c r="AA986" i="1"/>
  <c r="J986" i="1"/>
  <c r="I986" i="1"/>
  <c r="H986" i="1"/>
  <c r="AA985" i="1"/>
  <c r="J985" i="1"/>
  <c r="I985" i="1"/>
  <c r="H985" i="1"/>
  <c r="AA988" i="1"/>
  <c r="J988" i="1"/>
  <c r="I988" i="1"/>
  <c r="H988" i="1"/>
  <c r="AA991" i="1"/>
  <c r="J991" i="1"/>
  <c r="I991" i="1"/>
  <c r="H991" i="1"/>
  <c r="AA990" i="1"/>
  <c r="J990" i="1"/>
  <c r="I990" i="1"/>
  <c r="H990" i="1"/>
  <c r="AA989" i="1"/>
  <c r="J989" i="1"/>
  <c r="I989" i="1"/>
  <c r="H989" i="1"/>
  <c r="AA1001" i="1"/>
  <c r="J1001" i="1"/>
  <c r="I1001" i="1"/>
  <c r="H1001" i="1"/>
  <c r="AA1000" i="1"/>
  <c r="J1000" i="1"/>
  <c r="I1000" i="1"/>
  <c r="H1000" i="1"/>
  <c r="AA999" i="1"/>
  <c r="J999" i="1"/>
  <c r="I999" i="1"/>
  <c r="H999" i="1"/>
  <c r="AA998" i="1"/>
  <c r="J998" i="1"/>
  <c r="I998" i="1"/>
  <c r="H998" i="1"/>
  <c r="AA997" i="1"/>
  <c r="J997" i="1"/>
  <c r="I997" i="1"/>
  <c r="H997" i="1"/>
  <c r="AA996" i="1"/>
  <c r="J996" i="1"/>
  <c r="I996" i="1"/>
  <c r="H996" i="1"/>
  <c r="AA995" i="1"/>
  <c r="J995" i="1"/>
  <c r="I995" i="1"/>
  <c r="H995" i="1"/>
  <c r="AA969" i="1"/>
  <c r="J969" i="1"/>
  <c r="I969" i="1"/>
  <c r="H969" i="1"/>
  <c r="AA946" i="1"/>
  <c r="J946" i="1"/>
  <c r="I946" i="1"/>
  <c r="H946" i="1"/>
  <c r="AA524" i="1"/>
  <c r="J524" i="1"/>
  <c r="I524" i="1"/>
  <c r="H524" i="1"/>
  <c r="AA389" i="1"/>
  <c r="J389" i="1"/>
  <c r="I389" i="1"/>
  <c r="H389" i="1"/>
  <c r="AA931" i="1"/>
  <c r="J931" i="1"/>
  <c r="I931" i="1"/>
  <c r="H931" i="1"/>
  <c r="AA519" i="1"/>
  <c r="J519" i="1"/>
  <c r="I519" i="1"/>
  <c r="H519" i="1"/>
  <c r="AA780" i="1"/>
  <c r="J780" i="1"/>
  <c r="I780" i="1"/>
  <c r="H780" i="1"/>
  <c r="AA1039" i="1"/>
  <c r="J1039" i="1"/>
  <c r="I1039" i="1"/>
  <c r="H1039" i="1"/>
  <c r="AA11" i="1"/>
  <c r="J11" i="1"/>
  <c r="I11" i="1"/>
  <c r="H11" i="1"/>
  <c r="AA606" i="1"/>
  <c r="J606" i="1"/>
  <c r="I606" i="1"/>
  <c r="H606" i="1"/>
  <c r="AA304" i="1"/>
  <c r="J304" i="1"/>
  <c r="I304" i="1"/>
  <c r="H304" i="1"/>
  <c r="AA887" i="1"/>
  <c r="J887" i="1"/>
  <c r="I887" i="1"/>
  <c r="H887" i="1"/>
  <c r="AA659" i="1"/>
  <c r="J659" i="1"/>
  <c r="I659" i="1"/>
  <c r="H659" i="1"/>
  <c r="AA672" i="1"/>
  <c r="J672" i="1"/>
  <c r="I672" i="1"/>
  <c r="H672" i="1"/>
  <c r="AA765" i="1"/>
  <c r="J765" i="1"/>
  <c r="I765" i="1"/>
  <c r="H765" i="1"/>
  <c r="AA671" i="1"/>
  <c r="J671" i="1"/>
  <c r="I671" i="1"/>
  <c r="H671" i="1"/>
  <c r="AA961" i="1"/>
  <c r="J961" i="1"/>
  <c r="I961" i="1"/>
  <c r="H961" i="1"/>
  <c r="AA550" i="1"/>
  <c r="J550" i="1"/>
  <c r="I550" i="1"/>
  <c r="H550" i="1"/>
  <c r="AA605" i="1"/>
  <c r="J605" i="1"/>
  <c r="I605" i="1"/>
  <c r="H605" i="1"/>
  <c r="AA471" i="1"/>
  <c r="J471" i="1"/>
  <c r="I471" i="1"/>
  <c r="H471" i="1"/>
  <c r="AA470" i="1"/>
  <c r="J470" i="1"/>
  <c r="I470" i="1"/>
  <c r="H470" i="1"/>
  <c r="AA604" i="1"/>
  <c r="J604" i="1"/>
  <c r="I604" i="1"/>
  <c r="H604" i="1"/>
  <c r="AA318" i="1"/>
  <c r="J318" i="1"/>
  <c r="I318" i="1"/>
  <c r="H318" i="1"/>
  <c r="AA213" i="1"/>
  <c r="J213" i="1"/>
  <c r="I213" i="1"/>
  <c r="H213" i="1"/>
  <c r="AA212" i="1"/>
  <c r="J212" i="1"/>
  <c r="I212" i="1"/>
  <c r="H212" i="1"/>
  <c r="AA303" i="1"/>
  <c r="J303" i="1"/>
  <c r="I303" i="1"/>
  <c r="H303" i="1"/>
  <c r="AA10" i="1"/>
  <c r="J10" i="1"/>
  <c r="I10" i="1"/>
  <c r="H10" i="1"/>
  <c r="AA260" i="1"/>
  <c r="J260" i="1"/>
  <c r="I260" i="1"/>
  <c r="H260" i="1"/>
  <c r="AA642" i="1"/>
  <c r="J642" i="1"/>
  <c r="I642" i="1"/>
  <c r="H642" i="1"/>
  <c r="AA795" i="1"/>
  <c r="J795" i="1"/>
  <c r="I795" i="1"/>
  <c r="H795" i="1"/>
  <c r="AA211" i="1"/>
  <c r="J211" i="1"/>
  <c r="I211" i="1"/>
  <c r="H211" i="1"/>
  <c r="AA34" i="1"/>
  <c r="J34" i="1"/>
  <c r="I34" i="1"/>
  <c r="H34" i="1"/>
  <c r="AA641" i="1"/>
  <c r="J641" i="1"/>
  <c r="I641" i="1"/>
  <c r="H641" i="1"/>
  <c r="AA48" i="1"/>
  <c r="J48" i="1"/>
  <c r="I48" i="1"/>
  <c r="H48" i="1"/>
  <c r="AA841" i="1"/>
  <c r="J841" i="1"/>
  <c r="I841" i="1"/>
  <c r="H841" i="1"/>
  <c r="AA578" i="1"/>
  <c r="J578" i="1"/>
  <c r="I578" i="1"/>
  <c r="H578" i="1"/>
  <c r="AA577" i="1"/>
  <c r="J577" i="1"/>
  <c r="I577" i="1"/>
  <c r="H577" i="1"/>
  <c r="AA351" i="1"/>
  <c r="J351" i="1"/>
  <c r="I351" i="1"/>
  <c r="H351" i="1"/>
  <c r="AA835" i="1"/>
  <c r="J835" i="1"/>
  <c r="I835" i="1"/>
  <c r="H835" i="1"/>
  <c r="AA141" i="1"/>
  <c r="J141" i="1"/>
  <c r="I141" i="1"/>
  <c r="H141" i="1"/>
  <c r="AA670" i="1"/>
  <c r="J670" i="1"/>
  <c r="I670" i="1"/>
  <c r="H670" i="1"/>
  <c r="AA255" i="1"/>
  <c r="J255" i="1"/>
  <c r="I255" i="1"/>
  <c r="H255" i="1"/>
  <c r="AA22" i="1"/>
  <c r="J22" i="1"/>
  <c r="I22" i="1"/>
  <c r="H22" i="1"/>
  <c r="AA939" i="1"/>
  <c r="J939" i="1"/>
  <c r="I939" i="1"/>
  <c r="H939" i="1"/>
  <c r="AA129" i="1"/>
  <c r="J129" i="1"/>
  <c r="I129" i="1"/>
  <c r="H129" i="1"/>
  <c r="AA549" i="1"/>
  <c r="J549" i="1"/>
  <c r="I549" i="1"/>
  <c r="H549" i="1"/>
  <c r="AA895" i="1"/>
  <c r="J895" i="1"/>
  <c r="I895" i="1"/>
  <c r="H895" i="1"/>
  <c r="AA533" i="1"/>
  <c r="J533" i="1"/>
  <c r="I533" i="1"/>
  <c r="H533" i="1"/>
  <c r="AA916" i="1"/>
  <c r="J916" i="1"/>
  <c r="I916" i="1"/>
  <c r="H916" i="1"/>
  <c r="AA60" i="1"/>
  <c r="J60" i="1"/>
  <c r="I60" i="1"/>
  <c r="H60" i="1"/>
  <c r="AA112" i="1"/>
  <c r="J112" i="1"/>
  <c r="I112" i="1"/>
  <c r="H112" i="1"/>
  <c r="AA544" i="1"/>
  <c r="J544" i="1"/>
  <c r="I544" i="1"/>
  <c r="H544" i="1"/>
  <c r="AA258" i="1"/>
  <c r="J258" i="1"/>
  <c r="I258" i="1"/>
  <c r="H258" i="1"/>
  <c r="AA277" i="1"/>
  <c r="J277" i="1"/>
  <c r="I277" i="1"/>
  <c r="H277" i="1"/>
  <c r="AA603" i="1"/>
  <c r="J603" i="1"/>
  <c r="I603" i="1"/>
  <c r="H603" i="1"/>
  <c r="AA324" i="1"/>
  <c r="J324" i="1"/>
  <c r="I324" i="1"/>
  <c r="H324" i="1"/>
  <c r="AA579" i="1"/>
  <c r="J579" i="1"/>
  <c r="I579" i="1"/>
  <c r="H579" i="1"/>
  <c r="AA165" i="1"/>
  <c r="J165" i="1"/>
  <c r="I165" i="1"/>
  <c r="H165" i="1"/>
  <c r="AA602" i="1"/>
  <c r="J602" i="1"/>
  <c r="I602" i="1"/>
  <c r="H602" i="1"/>
  <c r="AA661" i="1"/>
  <c r="J661" i="1"/>
  <c r="I661" i="1"/>
  <c r="H661" i="1"/>
  <c r="AA78" i="1"/>
  <c r="J78" i="1"/>
  <c r="I78" i="1"/>
  <c r="H78" i="1"/>
  <c r="AA231" i="1"/>
  <c r="J231" i="1"/>
  <c r="I231" i="1"/>
  <c r="H231" i="1"/>
  <c r="AA1300" i="1"/>
  <c r="Z1300" i="1"/>
  <c r="J1300" i="1"/>
  <c r="I1300" i="1"/>
  <c r="H1300" i="1"/>
  <c r="AA834" i="1"/>
  <c r="J834" i="1"/>
  <c r="I834" i="1"/>
  <c r="H834" i="1"/>
  <c r="AA21" i="1"/>
  <c r="J21" i="1"/>
  <c r="I21" i="1"/>
  <c r="H21" i="1"/>
  <c r="AA47" i="1"/>
  <c r="J47" i="1"/>
  <c r="I47" i="1"/>
  <c r="H47" i="1"/>
  <c r="AA480" i="1"/>
  <c r="J480" i="1"/>
  <c r="I480" i="1"/>
  <c r="H480" i="1"/>
  <c r="AA33" i="1"/>
  <c r="J33" i="1"/>
  <c r="I33" i="1"/>
  <c r="H33" i="1"/>
  <c r="AA150" i="1"/>
  <c r="J150" i="1"/>
  <c r="I150" i="1"/>
  <c r="H150" i="1"/>
  <c r="AA877" i="1"/>
  <c r="J877" i="1"/>
  <c r="I877" i="1"/>
  <c r="H877" i="1"/>
  <c r="AA500" i="1"/>
  <c r="J500" i="1"/>
  <c r="I500" i="1"/>
  <c r="H500" i="1"/>
  <c r="AA126" i="1"/>
  <c r="J126" i="1"/>
  <c r="I126" i="1"/>
  <c r="H126" i="1"/>
  <c r="AA453" i="1"/>
  <c r="J453" i="1"/>
  <c r="I453" i="1"/>
  <c r="H453" i="1"/>
  <c r="AA779" i="1"/>
  <c r="J779" i="1"/>
  <c r="I779" i="1"/>
  <c r="H779" i="1"/>
  <c r="AA716" i="1"/>
  <c r="J716" i="1"/>
  <c r="I716" i="1"/>
  <c r="H716" i="1"/>
  <c r="AA187" i="1"/>
  <c r="J187" i="1"/>
  <c r="I187" i="1"/>
  <c r="H187" i="1"/>
  <c r="AA164" i="1"/>
  <c r="J164" i="1"/>
  <c r="I164" i="1"/>
  <c r="H164" i="1"/>
  <c r="AA452" i="1"/>
  <c r="J452" i="1"/>
  <c r="I452" i="1"/>
  <c r="H452" i="1"/>
  <c r="AA20" i="1"/>
  <c r="J20" i="1"/>
  <c r="I20" i="1"/>
  <c r="H20" i="1"/>
  <c r="AA518" i="1"/>
  <c r="J518" i="1"/>
  <c r="I518" i="1"/>
  <c r="H518" i="1"/>
  <c r="AA149" i="1"/>
  <c r="J149" i="1"/>
  <c r="I149" i="1"/>
  <c r="H149" i="1"/>
  <c r="AA905" i="1"/>
  <c r="J905" i="1"/>
  <c r="I905" i="1"/>
  <c r="H905" i="1"/>
  <c r="AA947" i="1"/>
  <c r="J947" i="1"/>
  <c r="I947" i="1"/>
  <c r="H947" i="1"/>
  <c r="AA962" i="1"/>
  <c r="J962" i="1"/>
  <c r="I962" i="1"/>
  <c r="H962" i="1"/>
  <c r="AA749" i="1"/>
  <c r="J749" i="1"/>
  <c r="I749" i="1"/>
  <c r="H749" i="1"/>
  <c r="AA469" i="1"/>
  <c r="J469" i="1"/>
  <c r="I469" i="1"/>
  <c r="H469" i="1"/>
  <c r="AA715" i="1"/>
  <c r="J715" i="1"/>
  <c r="I715" i="1"/>
  <c r="H715" i="1"/>
  <c r="AA833" i="1"/>
  <c r="J833" i="1"/>
  <c r="I833" i="1"/>
  <c r="H833" i="1"/>
  <c r="AA907" i="1"/>
  <c r="J907" i="1"/>
  <c r="I907" i="1"/>
  <c r="H907" i="1"/>
  <c r="AA793" i="1"/>
  <c r="J793" i="1"/>
  <c r="I793" i="1"/>
  <c r="H793" i="1"/>
  <c r="AA5" i="1"/>
  <c r="J5" i="1"/>
  <c r="I5" i="1"/>
  <c r="H5" i="1"/>
  <c r="AA499" i="1"/>
  <c r="J499" i="1"/>
  <c r="I499" i="1"/>
  <c r="H499" i="1"/>
  <c r="AA546" i="1"/>
  <c r="J546" i="1"/>
  <c r="I546" i="1"/>
  <c r="H546" i="1"/>
  <c r="AA576" i="1"/>
  <c r="AA545" i="1"/>
  <c r="J545" i="1"/>
  <c r="I545" i="1"/>
  <c r="H545" i="1"/>
  <c r="AA203" i="1"/>
  <c r="J203" i="1"/>
  <c r="I203" i="1"/>
  <c r="H203" i="1"/>
  <c r="AA731" i="1"/>
  <c r="J731" i="1"/>
  <c r="I731" i="1"/>
  <c r="H731" i="1"/>
  <c r="AA748" i="1"/>
  <c r="J748" i="1"/>
  <c r="I748" i="1"/>
  <c r="H748" i="1"/>
  <c r="AA728" i="1"/>
  <c r="J728" i="1"/>
  <c r="I728" i="1"/>
  <c r="H728" i="1"/>
  <c r="AA798" i="1"/>
  <c r="J798" i="1"/>
  <c r="I798" i="1"/>
  <c r="H798" i="1"/>
  <c r="AA451" i="1"/>
  <c r="J451" i="1"/>
  <c r="I451" i="1"/>
  <c r="H451" i="1"/>
  <c r="AA26" i="1"/>
  <c r="J26" i="1"/>
  <c r="I26" i="1"/>
  <c r="H26" i="1"/>
  <c r="AA46" i="1"/>
  <c r="J46" i="1"/>
  <c r="I46" i="1"/>
  <c r="H46" i="1"/>
  <c r="AA110" i="1"/>
  <c r="J110" i="1"/>
  <c r="I110" i="1"/>
  <c r="H110" i="1"/>
  <c r="AA43" i="1"/>
  <c r="J43" i="1"/>
  <c r="I43" i="1"/>
  <c r="H43" i="1"/>
  <c r="AA83" i="1"/>
  <c r="J83" i="1"/>
  <c r="I83" i="1"/>
  <c r="H83" i="1"/>
  <c r="AA388" i="1"/>
  <c r="J388" i="1"/>
  <c r="I388" i="1"/>
  <c r="H388" i="1"/>
  <c r="AA906" i="1"/>
  <c r="J906" i="1"/>
  <c r="I906" i="1"/>
  <c r="H906" i="1"/>
  <c r="AA59" i="1"/>
  <c r="J59" i="1"/>
  <c r="I59" i="1"/>
  <c r="H59" i="1"/>
  <c r="AA186" i="1"/>
  <c r="J186" i="1"/>
  <c r="I186" i="1"/>
  <c r="H186" i="1"/>
  <c r="AA792" i="1"/>
  <c r="J792" i="1"/>
  <c r="I792" i="1"/>
  <c r="H792" i="1"/>
  <c r="AA705" i="1"/>
  <c r="J705" i="1"/>
  <c r="I705" i="1"/>
  <c r="H705" i="1"/>
  <c r="AA163" i="1"/>
  <c r="J163" i="1"/>
  <c r="I163" i="1"/>
  <c r="H163" i="1"/>
  <c r="AA253" i="1"/>
  <c r="J253" i="1"/>
  <c r="I253" i="1"/>
  <c r="H253" i="1"/>
  <c r="AA821" i="1"/>
  <c r="J821" i="1"/>
  <c r="I821" i="1"/>
  <c r="H821" i="1"/>
  <c r="AA832" i="1"/>
  <c r="J832" i="1"/>
  <c r="I832" i="1"/>
  <c r="H832" i="1"/>
  <c r="AA395" i="1"/>
  <c r="J395" i="1"/>
  <c r="I395" i="1"/>
  <c r="H395" i="1"/>
  <c r="AA791" i="1"/>
  <c r="AA747" i="1"/>
  <c r="J747" i="1"/>
  <c r="I747" i="1"/>
  <c r="H747" i="1"/>
  <c r="AA930" i="1"/>
  <c r="J930" i="1"/>
  <c r="I930" i="1"/>
  <c r="H930" i="1"/>
  <c r="AA302" i="1"/>
  <c r="J302" i="1"/>
  <c r="I302" i="1"/>
  <c r="H302" i="1"/>
  <c r="AA32" i="1"/>
  <c r="J32" i="1"/>
  <c r="I32" i="1"/>
  <c r="H32" i="1"/>
  <c r="AA350" i="1"/>
  <c r="J350" i="1"/>
  <c r="I350" i="1"/>
  <c r="H350" i="1"/>
  <c r="AA109" i="1"/>
  <c r="J109" i="1"/>
  <c r="I109" i="1"/>
  <c r="H109" i="1"/>
  <c r="AA394" i="1"/>
  <c r="J394" i="1"/>
  <c r="I394" i="1"/>
  <c r="H394" i="1"/>
  <c r="AA601" i="1"/>
  <c r="J601" i="1"/>
  <c r="I601" i="1"/>
  <c r="H601" i="1"/>
  <c r="AA709" i="1"/>
  <c r="J709" i="1"/>
  <c r="I709" i="1"/>
  <c r="H709" i="1"/>
  <c r="AA67" i="1"/>
  <c r="J67" i="1"/>
  <c r="I67" i="1"/>
  <c r="H67" i="1"/>
  <c r="AA575" i="1"/>
  <c r="J575" i="1"/>
  <c r="I575" i="1"/>
  <c r="H575" i="1"/>
  <c r="AA883" i="1"/>
  <c r="J883" i="1"/>
  <c r="I883" i="1"/>
  <c r="H883" i="1"/>
  <c r="AA51" i="1"/>
  <c r="J51" i="1"/>
  <c r="I51" i="1"/>
  <c r="H51" i="1"/>
  <c r="AA301" i="1"/>
  <c r="J301" i="1"/>
  <c r="I301" i="1"/>
  <c r="H301" i="1"/>
  <c r="AA640" i="1"/>
  <c r="J640" i="1"/>
  <c r="I640" i="1"/>
  <c r="H640" i="1"/>
  <c r="AA31" i="1"/>
  <c r="J31" i="1"/>
  <c r="I31" i="1"/>
  <c r="H31" i="1"/>
  <c r="AA468" i="1"/>
  <c r="J468" i="1"/>
  <c r="I468" i="1"/>
  <c r="H468" i="1"/>
  <c r="AA687" i="1"/>
  <c r="J687" i="1"/>
  <c r="I687" i="1"/>
  <c r="H687" i="1"/>
  <c r="AA209" i="1"/>
  <c r="J209" i="1"/>
  <c r="I209" i="1"/>
  <c r="H209" i="1"/>
  <c r="AA300" i="1"/>
  <c r="J300" i="1"/>
  <c r="I300" i="1"/>
  <c r="H300" i="1"/>
  <c r="AA667" i="1"/>
  <c r="J667" i="1"/>
  <c r="I667" i="1"/>
  <c r="H667" i="1"/>
  <c r="AA334" i="1"/>
  <c r="J334" i="1"/>
  <c r="I334" i="1"/>
  <c r="H334" i="1"/>
  <c r="AA349" i="1"/>
  <c r="J349" i="1"/>
  <c r="I349" i="1"/>
  <c r="H349" i="1"/>
  <c r="AA251" i="1"/>
  <c r="J251" i="1"/>
  <c r="I251" i="1"/>
  <c r="H251" i="1"/>
  <c r="AA393" i="1"/>
  <c r="J393" i="1"/>
  <c r="I393" i="1"/>
  <c r="H393" i="1"/>
  <c r="AA713" i="1"/>
  <c r="J713" i="1"/>
  <c r="I713" i="1"/>
  <c r="H713" i="1"/>
  <c r="AA1165" i="1"/>
  <c r="Z1165" i="1"/>
  <c r="J1165" i="1"/>
  <c r="I1165" i="1"/>
  <c r="H1165" i="1"/>
  <c r="AA185" i="1"/>
  <c r="J185" i="1"/>
  <c r="I185" i="1"/>
  <c r="H185" i="1"/>
  <c r="AA856" i="1"/>
  <c r="J856" i="1"/>
  <c r="I856" i="1"/>
  <c r="H856" i="1"/>
  <c r="AA929" i="1"/>
  <c r="J929" i="1"/>
  <c r="I929" i="1"/>
  <c r="H929" i="1"/>
  <c r="AA882" i="1"/>
  <c r="AA915" i="1"/>
  <c r="J915" i="1"/>
  <c r="I915" i="1"/>
  <c r="H915" i="1"/>
  <c r="AA347" i="1"/>
  <c r="J347" i="1"/>
  <c r="I347" i="1"/>
  <c r="H347" i="1"/>
  <c r="AA132" i="1"/>
  <c r="J132" i="1"/>
  <c r="I132" i="1"/>
  <c r="H132" i="1"/>
  <c r="AA66" i="1"/>
  <c r="J66" i="1"/>
  <c r="I66" i="1"/>
  <c r="H66" i="1"/>
  <c r="AA184" i="1"/>
  <c r="J184" i="1"/>
  <c r="I184" i="1"/>
  <c r="H184" i="1"/>
  <c r="AA135" i="1"/>
  <c r="J135" i="1"/>
  <c r="I135" i="1"/>
  <c r="H135" i="1"/>
  <c r="AA35" i="1"/>
  <c r="J35" i="1"/>
  <c r="I35" i="1"/>
  <c r="H35" i="1"/>
  <c r="J647" i="1"/>
  <c r="I647" i="1"/>
  <c r="H647" i="1"/>
  <c r="AA398" i="1"/>
  <c r="J398" i="1"/>
  <c r="I398" i="1"/>
  <c r="H398" i="1"/>
  <c r="AA425" i="1"/>
  <c r="J425" i="1"/>
  <c r="I425" i="1"/>
  <c r="H425" i="1"/>
  <c r="AA162" i="1"/>
  <c r="J162" i="1"/>
  <c r="I162" i="1"/>
  <c r="H162" i="1"/>
  <c r="AA543" i="1"/>
  <c r="J543" i="1"/>
  <c r="I543" i="1"/>
  <c r="H543" i="1"/>
  <c r="AA498" i="1"/>
  <c r="J498" i="1"/>
  <c r="I498" i="1"/>
  <c r="H498" i="1"/>
  <c r="AA600" i="1"/>
  <c r="J600" i="1"/>
  <c r="I600" i="1"/>
  <c r="H600" i="1"/>
  <c r="AA161" i="1"/>
  <c r="J161" i="1"/>
  <c r="I161" i="1"/>
  <c r="H161" i="1"/>
  <c r="AA960" i="1"/>
  <c r="J960" i="1"/>
  <c r="I960" i="1"/>
  <c r="H960" i="1"/>
  <c r="AA134" i="1"/>
  <c r="J134" i="1"/>
  <c r="I134" i="1"/>
  <c r="H134" i="1"/>
  <c r="AA790" i="1"/>
  <c r="J790" i="1"/>
  <c r="I790" i="1"/>
  <c r="H790" i="1"/>
  <c r="AA9" i="1"/>
  <c r="J9" i="1"/>
  <c r="I9" i="1"/>
  <c r="H9" i="1"/>
  <c r="AA108" i="1"/>
  <c r="J108" i="1"/>
  <c r="I108" i="1"/>
  <c r="H108" i="1"/>
  <c r="AA299" i="1"/>
  <c r="J299" i="1"/>
  <c r="I299" i="1"/>
  <c r="H299" i="1"/>
  <c r="AA983" i="1"/>
  <c r="J983" i="1"/>
  <c r="I983" i="1"/>
  <c r="H983" i="1"/>
  <c r="AA788" i="1"/>
  <c r="J788" i="1"/>
  <c r="I788" i="1"/>
  <c r="H788" i="1"/>
  <c r="AA786" i="1"/>
  <c r="J786" i="1"/>
  <c r="I786" i="1"/>
  <c r="H786" i="1"/>
  <c r="AA574" i="1"/>
  <c r="J574" i="1"/>
  <c r="I574" i="1"/>
  <c r="H574" i="1"/>
  <c r="AA639" i="1"/>
  <c r="J639" i="1"/>
  <c r="I639" i="1"/>
  <c r="H639" i="1"/>
  <c r="AA726" i="1"/>
  <c r="J726" i="1"/>
  <c r="I726" i="1"/>
  <c r="H726" i="1"/>
  <c r="AA497" i="1"/>
  <c r="J497" i="1"/>
  <c r="I497" i="1"/>
  <c r="H497" i="1"/>
  <c r="AA323" i="1"/>
  <c r="J323" i="1"/>
  <c r="I323" i="1"/>
  <c r="H323" i="1"/>
  <c r="AA224" i="1"/>
  <c r="J224" i="1"/>
  <c r="I224" i="1"/>
  <c r="H224" i="1"/>
  <c r="AA107" i="1"/>
  <c r="J107" i="1"/>
  <c r="I107" i="1"/>
  <c r="H107" i="1"/>
  <c r="AA97" i="1"/>
  <c r="J97" i="1"/>
  <c r="I97" i="1"/>
  <c r="H97" i="1"/>
  <c r="AA831" i="1"/>
  <c r="J831" i="1"/>
  <c r="I831" i="1"/>
  <c r="H831" i="1"/>
  <c r="AA531" i="1"/>
  <c r="J531" i="1"/>
  <c r="I531" i="1"/>
  <c r="H531" i="1"/>
  <c r="AA945" i="1"/>
  <c r="J945" i="1"/>
  <c r="I945" i="1"/>
  <c r="H945" i="1"/>
  <c r="AA599" i="1"/>
  <c r="J599" i="1"/>
  <c r="I599" i="1"/>
  <c r="H599" i="1"/>
  <c r="AA881" i="1"/>
  <c r="J881" i="1"/>
  <c r="I881" i="1"/>
  <c r="H881" i="1"/>
  <c r="AA797" i="1"/>
  <c r="J797" i="1"/>
  <c r="I797" i="1"/>
  <c r="H797" i="1"/>
  <c r="AA248" i="1"/>
  <c r="J248" i="1"/>
  <c r="I248" i="1"/>
  <c r="H248" i="1"/>
  <c r="AA8" i="1"/>
  <c r="J8" i="1"/>
  <c r="I8" i="1"/>
  <c r="H8" i="1"/>
  <c r="AA65" i="1"/>
  <c r="J65" i="1"/>
  <c r="I65" i="1"/>
  <c r="H65" i="1"/>
  <c r="AA764" i="1"/>
  <c r="J764" i="1"/>
  <c r="I764" i="1"/>
  <c r="H764" i="1"/>
  <c r="AA633" i="1"/>
  <c r="J633" i="1"/>
  <c r="I633" i="1"/>
  <c r="H633" i="1"/>
  <c r="AA96" i="1"/>
  <c r="J96" i="1"/>
  <c r="I96" i="1"/>
  <c r="H96" i="1"/>
  <c r="AA77" i="1"/>
  <c r="J77" i="1"/>
  <c r="I77" i="1"/>
  <c r="H77" i="1"/>
  <c r="AA322" i="1"/>
  <c r="J322" i="1"/>
  <c r="I322" i="1"/>
  <c r="H322" i="1"/>
  <c r="AA558" i="1"/>
  <c r="J558" i="1"/>
  <c r="I558" i="1"/>
  <c r="H558" i="1"/>
  <c r="AA830" i="1"/>
  <c r="J830" i="1"/>
  <c r="I830" i="1"/>
  <c r="H830" i="1"/>
  <c r="AA208" i="1"/>
  <c r="J208" i="1"/>
  <c r="I208" i="1"/>
  <c r="H208" i="1"/>
  <c r="AA298" i="1"/>
  <c r="J298" i="1"/>
  <c r="I298" i="1"/>
  <c r="H298" i="1"/>
  <c r="AA598" i="1"/>
  <c r="J598" i="1"/>
  <c r="I598" i="1"/>
  <c r="H598" i="1"/>
  <c r="AA746" i="1"/>
  <c r="J746" i="1"/>
  <c r="I746" i="1"/>
  <c r="H746" i="1"/>
  <c r="AA479" i="1"/>
  <c r="J479" i="1"/>
  <c r="I479" i="1"/>
  <c r="H479" i="1"/>
  <c r="AA297" i="1"/>
  <c r="J297" i="1"/>
  <c r="I297" i="1"/>
  <c r="H297" i="1"/>
  <c r="AA708" i="1"/>
  <c r="J708" i="1"/>
  <c r="I708" i="1"/>
  <c r="H708" i="1"/>
  <c r="AA380" i="1"/>
  <c r="J380" i="1"/>
  <c r="I380" i="1"/>
  <c r="H380" i="1"/>
  <c r="AA478" i="1"/>
  <c r="J478" i="1"/>
  <c r="I478" i="1"/>
  <c r="H478" i="1"/>
  <c r="AA30" i="1"/>
  <c r="J30" i="1"/>
  <c r="I30" i="1"/>
  <c r="H30" i="1"/>
  <c r="AA982" i="1"/>
  <c r="J982" i="1"/>
  <c r="I982" i="1"/>
  <c r="H982" i="1"/>
  <c r="AA465" i="1"/>
  <c r="J465" i="1"/>
  <c r="I465" i="1"/>
  <c r="H465" i="1"/>
  <c r="AA147" i="1"/>
  <c r="J147" i="1"/>
  <c r="I147" i="1"/>
  <c r="H147" i="1"/>
  <c r="AA106" i="1"/>
  <c r="J106" i="1"/>
  <c r="I106" i="1"/>
  <c r="H106" i="1"/>
  <c r="AA763" i="1"/>
  <c r="J763" i="1"/>
  <c r="I763" i="1"/>
  <c r="H763" i="1"/>
  <c r="AA477" i="1"/>
  <c r="J477" i="1"/>
  <c r="I477" i="1"/>
  <c r="H477" i="1"/>
  <c r="AA7" i="1"/>
  <c r="J7" i="1"/>
  <c r="I7" i="1"/>
  <c r="H7" i="1"/>
  <c r="AA290" i="1"/>
  <c r="J290" i="1"/>
  <c r="I290" i="1"/>
  <c r="H290" i="1"/>
  <c r="AA254" i="1"/>
  <c r="J254" i="1"/>
  <c r="I254" i="1"/>
  <c r="H254" i="1"/>
  <c r="AA853" i="1"/>
  <c r="J853" i="1"/>
  <c r="I853" i="1"/>
  <c r="H853" i="1"/>
  <c r="AA974" i="1"/>
  <c r="J974" i="1"/>
  <c r="I974" i="1"/>
  <c r="H974" i="1"/>
  <c r="AA289" i="1"/>
  <c r="J289" i="1"/>
  <c r="I289" i="1"/>
  <c r="H289" i="1"/>
  <c r="AA265" i="1"/>
  <c r="J265" i="1"/>
  <c r="I265" i="1"/>
  <c r="H265" i="1"/>
  <c r="AA878" i="1"/>
  <c r="J878" i="1"/>
  <c r="I878" i="1"/>
  <c r="H878" i="1"/>
  <c r="AA387" i="1"/>
  <c r="J387" i="1"/>
  <c r="I387" i="1"/>
  <c r="H387" i="1"/>
  <c r="AA105" i="1"/>
  <c r="J105" i="1"/>
  <c r="I105" i="1"/>
  <c r="H105" i="1"/>
  <c r="AA631" i="1"/>
  <c r="J631" i="1"/>
  <c r="I631" i="1"/>
  <c r="H631" i="1"/>
  <c r="AA58" i="1"/>
  <c r="J58" i="1"/>
  <c r="I58" i="1"/>
  <c r="H58" i="1"/>
  <c r="AA321" i="1"/>
  <c r="J321" i="1"/>
  <c r="I321" i="1"/>
  <c r="H321" i="1"/>
  <c r="AA861" i="1"/>
  <c r="J861" i="1"/>
  <c r="I861" i="1"/>
  <c r="H861" i="1"/>
  <c r="AA296" i="1"/>
  <c r="J296" i="1"/>
  <c r="I296" i="1"/>
  <c r="H296" i="1"/>
  <c r="AA464" i="1"/>
  <c r="J464" i="1"/>
  <c r="I464" i="1"/>
  <c r="H464" i="1"/>
  <c r="AA530" i="1"/>
  <c r="J530" i="1"/>
  <c r="I530" i="1"/>
  <c r="H530" i="1"/>
  <c r="AA820" i="1"/>
  <c r="J820" i="1"/>
  <c r="I820" i="1"/>
  <c r="H820" i="1"/>
  <c r="AA295" i="1"/>
  <c r="J295" i="1"/>
  <c r="I295" i="1"/>
  <c r="H295" i="1"/>
  <c r="AA183" i="1"/>
  <c r="J183" i="1"/>
  <c r="I183" i="1"/>
  <c r="H183" i="1"/>
  <c r="AA928" i="1"/>
  <c r="J928" i="1"/>
  <c r="I928" i="1"/>
  <c r="H928" i="1"/>
  <c r="AA876" i="1"/>
  <c r="J876" i="1"/>
  <c r="I876" i="1"/>
  <c r="H876" i="1"/>
  <c r="AA568" i="1"/>
  <c r="J568" i="1"/>
  <c r="I568" i="1"/>
  <c r="H568" i="1"/>
  <c r="AA852" i="1"/>
  <c r="J852" i="1"/>
  <c r="I852" i="1"/>
  <c r="H852" i="1"/>
  <c r="AA875" i="1"/>
  <c r="J875" i="1"/>
  <c r="I875" i="1"/>
  <c r="H875" i="1"/>
  <c r="AA539" i="1"/>
  <c r="J539" i="1"/>
  <c r="I539" i="1"/>
  <c r="H539" i="1"/>
  <c r="AA724" i="1"/>
  <c r="J724" i="1"/>
  <c r="I724" i="1"/>
  <c r="H724" i="1"/>
  <c r="AA956" i="1"/>
  <c r="J956" i="1"/>
  <c r="I956" i="1"/>
  <c r="H956" i="1"/>
  <c r="AA874" i="1"/>
  <c r="J874" i="1"/>
  <c r="I874" i="1"/>
  <c r="H874" i="1"/>
  <c r="AA597" i="1"/>
  <c r="J597" i="1"/>
  <c r="I597" i="1"/>
  <c r="H597" i="1"/>
  <c r="AA634" i="1"/>
  <c r="J634" i="1"/>
  <c r="I634" i="1"/>
  <c r="H634" i="1"/>
  <c r="AA104" i="1"/>
  <c r="J104" i="1"/>
  <c r="I104" i="1"/>
  <c r="H104" i="1"/>
  <c r="AA38" i="1"/>
  <c r="J38" i="1"/>
  <c r="I38" i="1"/>
  <c r="H38" i="1"/>
  <c r="AA669" i="1"/>
  <c r="J669" i="1"/>
  <c r="I669" i="1"/>
  <c r="H669" i="1"/>
  <c r="AA216" i="1"/>
  <c r="J216" i="1"/>
  <c r="I216" i="1"/>
  <c r="H216" i="1"/>
  <c r="AA146" i="1"/>
  <c r="J146" i="1"/>
  <c r="I146" i="1"/>
  <c r="H146" i="1"/>
  <c r="AA133" i="1"/>
  <c r="J133" i="1"/>
  <c r="I133" i="1"/>
  <c r="H133" i="1"/>
  <c r="AA379" i="1"/>
  <c r="J379" i="1"/>
  <c r="I379" i="1"/>
  <c r="H379" i="1"/>
  <c r="AA6" i="1"/>
  <c r="J6" i="1"/>
  <c r="I6" i="1"/>
  <c r="H6" i="1"/>
  <c r="AA745" i="1"/>
  <c r="J745" i="1"/>
  <c r="I745" i="1"/>
  <c r="H745" i="1"/>
  <c r="AA130" i="1"/>
  <c r="J130" i="1"/>
  <c r="I130" i="1"/>
  <c r="H130" i="1"/>
  <c r="AA182" i="1"/>
  <c r="J182" i="1"/>
  <c r="I182" i="1"/>
  <c r="H182" i="1"/>
  <c r="AA927" i="1"/>
  <c r="J927" i="1"/>
  <c r="I927" i="1"/>
  <c r="H927" i="1"/>
  <c r="AA408" i="1"/>
  <c r="J408" i="1"/>
  <c r="I408" i="1"/>
  <c r="H408" i="1"/>
  <c r="AA406" i="1"/>
  <c r="J406" i="1"/>
  <c r="I406" i="1"/>
  <c r="H406" i="1"/>
  <c r="AA517" i="1"/>
  <c r="J517" i="1"/>
  <c r="I517" i="1"/>
  <c r="H517" i="1"/>
  <c r="AA926" i="1"/>
  <c r="J926" i="1"/>
  <c r="I926" i="1"/>
  <c r="H926" i="1"/>
  <c r="AA707" i="1"/>
  <c r="J707" i="1"/>
  <c r="I707" i="1"/>
  <c r="H707" i="1"/>
  <c r="AA245" i="1"/>
  <c r="J245" i="1"/>
  <c r="I245" i="1"/>
  <c r="H245" i="1"/>
  <c r="AA438" i="1"/>
  <c r="J438" i="1"/>
  <c r="I438" i="1"/>
  <c r="H438" i="1"/>
  <c r="AA64" i="1"/>
  <c r="J64" i="1"/>
  <c r="I64" i="1"/>
  <c r="H64" i="1"/>
  <c r="AA596" i="1"/>
  <c r="J596" i="1"/>
  <c r="I596" i="1"/>
  <c r="H596" i="1"/>
  <c r="AA819" i="1"/>
  <c r="J819" i="1"/>
  <c r="I819" i="1"/>
  <c r="H819" i="1"/>
  <c r="AA778" i="1"/>
  <c r="J778" i="1"/>
  <c r="I778" i="1"/>
  <c r="H778" i="1"/>
  <c r="AA595" i="1"/>
  <c r="J595" i="1"/>
  <c r="I595" i="1"/>
  <c r="H595" i="1"/>
  <c r="AA207" i="1"/>
  <c r="J207" i="1"/>
  <c r="I207" i="1"/>
  <c r="H207" i="1"/>
  <c r="AA320" i="1"/>
  <c r="J320" i="1"/>
  <c r="I320" i="1"/>
  <c r="H320" i="1"/>
  <c r="AA537" i="1"/>
  <c r="J537" i="1"/>
  <c r="I537" i="1"/>
  <c r="H537" i="1"/>
  <c r="AA594" i="1"/>
  <c r="J594" i="1"/>
  <c r="I594" i="1"/>
  <c r="H594" i="1"/>
  <c r="AA818" i="1"/>
  <c r="J818" i="1"/>
  <c r="I818" i="1"/>
  <c r="H818" i="1"/>
  <c r="AA761" i="1"/>
  <c r="J761" i="1"/>
  <c r="I761" i="1"/>
  <c r="H761" i="1"/>
  <c r="AA646" i="1"/>
  <c r="J646" i="1"/>
  <c r="I646" i="1"/>
  <c r="H646" i="1"/>
  <c r="AA128" i="1"/>
  <c r="J128" i="1"/>
  <c r="I128" i="1"/>
  <c r="H128" i="1"/>
  <c r="AA955" i="1"/>
  <c r="J955" i="1"/>
  <c r="I955" i="1"/>
  <c r="H955" i="1"/>
  <c r="AA348" i="1"/>
  <c r="J348" i="1"/>
  <c r="I348" i="1"/>
  <c r="H348" i="1"/>
  <c r="AA666" i="1"/>
  <c r="J666" i="1"/>
  <c r="I666" i="1"/>
  <c r="H666" i="1"/>
  <c r="AA717" i="1"/>
  <c r="J717" i="1"/>
  <c r="I717" i="1"/>
  <c r="H717" i="1"/>
  <c r="AA476" i="1"/>
  <c r="J476" i="1"/>
  <c r="I476" i="1"/>
  <c r="H476" i="1"/>
  <c r="AA383" i="1"/>
  <c r="J383" i="1"/>
  <c r="I383" i="1"/>
  <c r="H383" i="1"/>
  <c r="AA796" i="1"/>
  <c r="J796" i="1"/>
  <c r="I796" i="1"/>
  <c r="H796" i="1"/>
  <c r="AA103" i="1"/>
  <c r="J103" i="1"/>
  <c r="I103" i="1"/>
  <c r="H103" i="1"/>
  <c r="AA160" i="1"/>
  <c r="J160" i="1"/>
  <c r="I160" i="1"/>
  <c r="H160" i="1"/>
  <c r="AA880" i="1"/>
  <c r="J880" i="1"/>
  <c r="I880" i="1"/>
  <c r="H880" i="1"/>
  <c r="AA1258" i="1"/>
  <c r="Z1258" i="1"/>
  <c r="J1258" i="1"/>
  <c r="I1258" i="1"/>
  <c r="H1258" i="1"/>
  <c r="AA95" i="1"/>
  <c r="J95" i="1"/>
  <c r="I95" i="1"/>
  <c r="H95" i="1"/>
  <c r="AA94" i="1"/>
  <c r="J94" i="1"/>
  <c r="I94" i="1"/>
  <c r="H94" i="1"/>
  <c r="AA378" i="1"/>
  <c r="J378" i="1"/>
  <c r="I378" i="1"/>
  <c r="H378" i="1"/>
  <c r="AA760" i="1"/>
  <c r="J760" i="1"/>
  <c r="I760" i="1"/>
  <c r="H760" i="1"/>
  <c r="AA63" i="1"/>
  <c r="J63" i="1"/>
  <c r="I63" i="1"/>
  <c r="H63" i="1"/>
  <c r="AA3" i="1"/>
  <c r="J3" i="1"/>
  <c r="I3" i="1"/>
  <c r="H3" i="1"/>
  <c r="AA102" i="1"/>
  <c r="J102" i="1"/>
  <c r="I102" i="1"/>
  <c r="H102" i="1"/>
  <c r="AA230" i="1"/>
  <c r="J230" i="1"/>
  <c r="I230" i="1"/>
  <c r="H230" i="1"/>
  <c r="AA496" i="1"/>
  <c r="J496" i="1"/>
  <c r="I496" i="1"/>
  <c r="H496" i="1"/>
  <c r="AA744" i="1"/>
  <c r="J744" i="1"/>
  <c r="I744" i="1"/>
  <c r="H744" i="1"/>
  <c r="AA495" i="1"/>
  <c r="J495" i="1"/>
  <c r="I495" i="1"/>
  <c r="H495" i="1"/>
  <c r="AA559" i="1"/>
  <c r="J559" i="1"/>
  <c r="I559" i="1"/>
  <c r="H559" i="1"/>
  <c r="AA755" i="1"/>
  <c r="J755" i="1"/>
  <c r="I755" i="1"/>
  <c r="H755" i="1"/>
  <c r="AA19" i="1"/>
  <c r="J19" i="1"/>
  <c r="I19" i="1"/>
  <c r="H19" i="1"/>
  <c r="AA704" i="1"/>
  <c r="J704" i="1"/>
  <c r="I704" i="1"/>
  <c r="H704" i="1"/>
  <c r="AA949" i="1"/>
  <c r="J949" i="1"/>
  <c r="I949" i="1"/>
  <c r="H949" i="1"/>
  <c r="AA450" i="1"/>
  <c r="J450" i="1"/>
  <c r="I450" i="1"/>
  <c r="H450" i="1"/>
  <c r="AA229" i="1"/>
  <c r="J229" i="1"/>
  <c r="I229" i="1"/>
  <c r="H229" i="1"/>
  <c r="AA333" i="1"/>
  <c r="J333" i="1"/>
  <c r="I333" i="1"/>
  <c r="H333" i="1"/>
  <c r="AA215" i="1"/>
  <c r="J215" i="1"/>
  <c r="I215" i="1"/>
  <c r="H215" i="1"/>
  <c r="AA593" i="1"/>
  <c r="J593" i="1"/>
  <c r="I593" i="1"/>
  <c r="H593" i="1"/>
  <c r="AA723" i="1"/>
  <c r="J723" i="1"/>
  <c r="I723" i="1"/>
  <c r="H723" i="1"/>
  <c r="AA494" i="1"/>
  <c r="J494" i="1"/>
  <c r="I494" i="1"/>
  <c r="H494" i="1"/>
  <c r="AA1040" i="1"/>
  <c r="J1040" i="1"/>
  <c r="I1040" i="1"/>
  <c r="H1040" i="1"/>
  <c r="AA181" i="1"/>
  <c r="J181" i="1"/>
  <c r="I181" i="1"/>
  <c r="H181" i="1"/>
  <c r="AA449" i="1"/>
  <c r="J449" i="1"/>
  <c r="I449" i="1"/>
  <c r="H449" i="1"/>
  <c r="AA276" i="1"/>
  <c r="J276" i="1"/>
  <c r="I276" i="1"/>
  <c r="H276" i="1"/>
  <c r="AA159" i="1"/>
  <c r="J159" i="1"/>
  <c r="I159" i="1"/>
  <c r="H159" i="1"/>
  <c r="AA158" i="1"/>
  <c r="J158" i="1"/>
  <c r="I158" i="1"/>
  <c r="H158" i="1"/>
  <c r="AA157" i="1"/>
  <c r="J157" i="1"/>
  <c r="I157" i="1"/>
  <c r="H157" i="1"/>
  <c r="AA592" i="1"/>
  <c r="J592" i="1"/>
  <c r="I592" i="1"/>
  <c r="H592" i="1"/>
  <c r="AA516" i="1"/>
  <c r="J516" i="1"/>
  <c r="I516" i="1"/>
  <c r="H516" i="1"/>
  <c r="AA156" i="1"/>
  <c r="J156" i="1"/>
  <c r="I156" i="1"/>
  <c r="H156" i="1"/>
  <c r="AA437" i="1"/>
  <c r="J437" i="1"/>
  <c r="I437" i="1"/>
  <c r="H437" i="1"/>
  <c r="AA29" i="1"/>
  <c r="J29" i="1"/>
  <c r="I29" i="1"/>
  <c r="H29" i="1"/>
  <c r="AA910" i="1"/>
  <c r="J910" i="1"/>
  <c r="I910" i="1"/>
  <c r="H910" i="1"/>
  <c r="AA381" i="1"/>
  <c r="J381" i="1"/>
  <c r="I381" i="1"/>
  <c r="H381" i="1"/>
  <c r="AA591" i="1"/>
  <c r="J591" i="1"/>
  <c r="I591" i="1"/>
  <c r="H591" i="1"/>
  <c r="AA706" i="1"/>
  <c r="J706" i="1"/>
  <c r="I706" i="1"/>
  <c r="H706" i="1"/>
  <c r="AA685" i="1"/>
  <c r="J685" i="1"/>
  <c r="I685" i="1"/>
  <c r="H685" i="1"/>
  <c r="AA743" i="1"/>
  <c r="J743" i="1"/>
  <c r="I743" i="1"/>
  <c r="H743" i="1"/>
  <c r="AA474" i="1"/>
  <c r="J474" i="1"/>
  <c r="I474" i="1"/>
  <c r="H474" i="1"/>
  <c r="AA789" i="1"/>
  <c r="J789" i="1"/>
  <c r="I789" i="1"/>
  <c r="H789" i="1"/>
  <c r="AA721" i="1"/>
  <c r="J721" i="1"/>
  <c r="I721" i="1"/>
  <c r="H721" i="1"/>
  <c r="AA925" i="1"/>
  <c r="J925" i="1"/>
  <c r="I925" i="1"/>
  <c r="H925" i="1"/>
  <c r="AA898" i="1"/>
  <c r="J898" i="1"/>
  <c r="I898" i="1"/>
  <c r="H898" i="1"/>
  <c r="AA912" i="1"/>
  <c r="J912" i="1"/>
  <c r="I912" i="1"/>
  <c r="H912" i="1"/>
  <c r="AA448" i="1"/>
  <c r="J448" i="1"/>
  <c r="I448" i="1"/>
  <c r="H448" i="1"/>
  <c r="AA948" i="1"/>
  <c r="J948" i="1"/>
  <c r="I948" i="1"/>
  <c r="H948" i="1"/>
  <c r="AA901" i="1"/>
  <c r="J901" i="1"/>
  <c r="I901" i="1"/>
  <c r="H901" i="1"/>
  <c r="AA475" i="1"/>
  <c r="J475" i="1"/>
  <c r="I475" i="1"/>
  <c r="H475" i="1"/>
  <c r="AA684" i="1"/>
  <c r="J684" i="1"/>
  <c r="I684" i="1"/>
  <c r="H684" i="1"/>
  <c r="AA101" i="1"/>
  <c r="J101" i="1"/>
  <c r="I101" i="1"/>
  <c r="H101" i="1"/>
  <c r="AA76" i="1"/>
  <c r="J76" i="1"/>
  <c r="I76" i="1"/>
  <c r="H76" i="1"/>
  <c r="AA18" i="1"/>
  <c r="J18" i="1"/>
  <c r="I18" i="1"/>
  <c r="H18" i="1"/>
  <c r="AA377" i="1"/>
  <c r="J377" i="1"/>
  <c r="I377" i="1"/>
  <c r="H377" i="1"/>
  <c r="AA909" i="1"/>
  <c r="J909" i="1"/>
  <c r="I909" i="1"/>
  <c r="H909" i="1"/>
  <c r="AA396" i="1"/>
  <c r="J396" i="1"/>
  <c r="I396" i="1"/>
  <c r="H396" i="1"/>
  <c r="AA180" i="1"/>
  <c r="J180" i="1"/>
  <c r="I180" i="1"/>
  <c r="H180" i="1"/>
  <c r="AA828" i="1"/>
  <c r="J828" i="1"/>
  <c r="I828" i="1"/>
  <c r="H828" i="1"/>
  <c r="AA275" i="1"/>
  <c r="J275" i="1"/>
  <c r="I275" i="1"/>
  <c r="H275" i="1"/>
  <c r="AA590" i="1"/>
  <c r="J590" i="1"/>
  <c r="I590" i="1"/>
  <c r="H590" i="1"/>
  <c r="AA720" i="1"/>
  <c r="J720" i="1"/>
  <c r="I720" i="1"/>
  <c r="H720" i="1"/>
  <c r="AA28" i="1"/>
  <c r="J28" i="1"/>
  <c r="I28" i="1"/>
  <c r="H28" i="1"/>
  <c r="AA936" i="1"/>
  <c r="J936" i="1"/>
  <c r="I936" i="1"/>
  <c r="H936" i="1"/>
  <c r="AA589" i="1"/>
  <c r="J589" i="1"/>
  <c r="I589" i="1"/>
  <c r="H589" i="1"/>
  <c r="AA397" i="1"/>
  <c r="J397" i="1"/>
  <c r="I397" i="1"/>
  <c r="H397" i="1"/>
  <c r="AA682" i="1"/>
  <c r="J682" i="1"/>
  <c r="I682" i="1"/>
  <c r="H682" i="1"/>
  <c r="AA638" i="1"/>
  <c r="J638" i="1"/>
  <c r="I638" i="1"/>
  <c r="H638" i="1"/>
  <c r="AA204" i="1"/>
  <c r="J204" i="1"/>
  <c r="I204" i="1"/>
  <c r="H204" i="1"/>
  <c r="AA787" i="1"/>
  <c r="J787" i="1"/>
  <c r="I787" i="1"/>
  <c r="H787" i="1"/>
  <c r="AA493" i="1"/>
  <c r="J493" i="1"/>
  <c r="I493" i="1"/>
  <c r="H493" i="1"/>
  <c r="AA863" i="1"/>
  <c r="J863" i="1"/>
  <c r="I863" i="1"/>
  <c r="H863" i="1"/>
  <c r="AA93" i="1"/>
  <c r="J93" i="1"/>
  <c r="I93" i="1"/>
  <c r="H93" i="1"/>
  <c r="AA92" i="1"/>
  <c r="J92" i="1"/>
  <c r="I92" i="1"/>
  <c r="H92" i="1"/>
  <c r="AA263" i="1"/>
  <c r="J263" i="1"/>
  <c r="I263" i="1"/>
  <c r="H263" i="1"/>
  <c r="AA346" i="1"/>
  <c r="J346" i="1"/>
  <c r="I346" i="1"/>
  <c r="H346" i="1"/>
  <c r="AA632" i="1"/>
  <c r="J632" i="1"/>
  <c r="I632" i="1"/>
  <c r="H632" i="1"/>
  <c r="AA294" i="1"/>
  <c r="J294" i="1"/>
  <c r="I294" i="1"/>
  <c r="H294" i="1"/>
  <c r="AA376" i="1"/>
  <c r="J376" i="1"/>
  <c r="I376" i="1"/>
  <c r="H376" i="1"/>
  <c r="AA829" i="1"/>
  <c r="J829" i="1"/>
  <c r="I829" i="1"/>
  <c r="H829" i="1"/>
  <c r="AA701" i="1"/>
  <c r="J701" i="1"/>
  <c r="I701" i="1"/>
  <c r="H701" i="1"/>
  <c r="AA879" i="1"/>
  <c r="J879" i="1"/>
  <c r="I879" i="1"/>
  <c r="H879" i="1"/>
  <c r="AA703" i="1"/>
  <c r="J703" i="1"/>
  <c r="I703" i="1"/>
  <c r="H703" i="1"/>
  <c r="AA27" i="1"/>
  <c r="J27" i="1"/>
  <c r="I27" i="1"/>
  <c r="H27" i="1"/>
  <c r="AA345" i="1"/>
  <c r="J345" i="1"/>
  <c r="I345" i="1"/>
  <c r="H345" i="1"/>
  <c r="AA567" i="1"/>
  <c r="J567" i="1"/>
  <c r="I567" i="1"/>
  <c r="H567" i="1"/>
  <c r="AA681" i="1"/>
  <c r="AA344" i="1"/>
  <c r="J344" i="1"/>
  <c r="I344" i="1"/>
  <c r="H344" i="1"/>
  <c r="AA954" i="1"/>
  <c r="J954" i="1"/>
  <c r="I954" i="1"/>
  <c r="H954" i="1"/>
  <c r="AA994" i="1"/>
  <c r="J994" i="1"/>
  <c r="I994" i="1"/>
  <c r="H994" i="1"/>
  <c r="AA588" i="1"/>
  <c r="J588" i="1"/>
  <c r="I588" i="1"/>
  <c r="H588" i="1"/>
  <c r="AA155" i="1"/>
  <c r="J155" i="1"/>
  <c r="I155" i="1"/>
  <c r="H155" i="1"/>
  <c r="AA680" i="1"/>
  <c r="J680" i="1"/>
  <c r="I680" i="1"/>
  <c r="H680" i="1"/>
  <c r="AA815" i="1"/>
  <c r="J815" i="1"/>
  <c r="I815" i="1"/>
  <c r="H815" i="1"/>
  <c r="AA343" i="1"/>
  <c r="J343" i="1"/>
  <c r="I343" i="1"/>
  <c r="H343" i="1"/>
  <c r="AA924" i="1"/>
  <c r="J924" i="1"/>
  <c r="I924" i="1"/>
  <c r="H924" i="1"/>
  <c r="AA205" i="1"/>
  <c r="J205" i="1"/>
  <c r="I205" i="1"/>
  <c r="H205" i="1"/>
  <c r="AA702" i="1"/>
  <c r="J702" i="1"/>
  <c r="I702" i="1"/>
  <c r="H702" i="1"/>
  <c r="AA812" i="1"/>
  <c r="J812" i="1"/>
  <c r="I812" i="1"/>
  <c r="H812" i="1"/>
  <c r="AA656" i="1"/>
  <c r="J656" i="1"/>
  <c r="I656" i="1"/>
  <c r="H656" i="1"/>
  <c r="AA777" i="1"/>
  <c r="J777" i="1"/>
  <c r="I777" i="1"/>
  <c r="H777" i="1"/>
  <c r="AA50" i="1"/>
  <c r="J50" i="1"/>
  <c r="I50" i="1"/>
  <c r="H50" i="1"/>
  <c r="AA827" i="1"/>
  <c r="J827" i="1"/>
  <c r="I827" i="1"/>
  <c r="H827" i="1"/>
  <c r="AA228" i="1"/>
  <c r="J228" i="1"/>
  <c r="I228" i="1"/>
  <c r="H228" i="1"/>
  <c r="AA386" i="1"/>
  <c r="J386" i="1"/>
  <c r="I386" i="1"/>
  <c r="H386" i="1"/>
  <c r="AA422" i="1"/>
  <c r="J422" i="1"/>
  <c r="I422" i="1"/>
  <c r="H422" i="1"/>
  <c r="AA587" i="1"/>
  <c r="J587" i="1"/>
  <c r="I587" i="1"/>
  <c r="H587" i="1"/>
  <c r="AA178" i="1"/>
  <c r="J178" i="1"/>
  <c r="I178" i="1"/>
  <c r="H178" i="1"/>
  <c r="AA240" i="1"/>
  <c r="J240" i="1"/>
  <c r="I240" i="1"/>
  <c r="H240" i="1"/>
  <c r="AA826" i="1"/>
  <c r="J826" i="1"/>
  <c r="I826" i="1"/>
  <c r="H826" i="1"/>
  <c r="AA17" i="1"/>
  <c r="J17" i="1"/>
  <c r="I17" i="1"/>
  <c r="H17" i="1"/>
  <c r="AA239" i="1"/>
  <c r="J239" i="1"/>
  <c r="I239" i="1"/>
  <c r="H239" i="1"/>
  <c r="AA814" i="1"/>
  <c r="J814" i="1"/>
  <c r="I814" i="1"/>
  <c r="H814" i="1"/>
  <c r="AA630" i="1"/>
  <c r="J630" i="1"/>
  <c r="I630" i="1"/>
  <c r="H630" i="1"/>
  <c r="AA904" i="1"/>
  <c r="J904" i="1"/>
  <c r="I904" i="1"/>
  <c r="H904" i="1"/>
  <c r="AA529" i="1"/>
  <c r="J529" i="1"/>
  <c r="I529" i="1"/>
  <c r="H529" i="1"/>
  <c r="AA16" i="1"/>
  <c r="J16" i="1"/>
  <c r="I16" i="1"/>
  <c r="H16" i="1"/>
  <c r="AA566" i="1"/>
  <c r="J566" i="1"/>
  <c r="I566" i="1"/>
  <c r="H566" i="1"/>
  <c r="AA628" i="1"/>
  <c r="J628" i="1"/>
  <c r="I628" i="1"/>
  <c r="H628" i="1"/>
  <c r="AA287" i="1"/>
  <c r="J287" i="1"/>
  <c r="I287" i="1"/>
  <c r="H287" i="1"/>
  <c r="AA36" i="1"/>
  <c r="J36" i="1"/>
  <c r="I36" i="1"/>
  <c r="H36" i="1"/>
  <c r="AA293" i="1"/>
  <c r="J293" i="1"/>
  <c r="I293" i="1"/>
  <c r="H293" i="1"/>
  <c r="AA177" i="1"/>
  <c r="J177" i="1"/>
  <c r="I177" i="1"/>
  <c r="H177" i="1"/>
  <c r="AA49" i="1"/>
  <c r="J49" i="1"/>
  <c r="I49" i="1"/>
  <c r="H49" i="1"/>
  <c r="AA573" i="1"/>
  <c r="J573" i="1"/>
  <c r="I573" i="1"/>
  <c r="H573" i="1"/>
  <c r="AA442" i="1"/>
  <c r="J442" i="1"/>
  <c r="I442" i="1"/>
  <c r="H442" i="1"/>
  <c r="AA758" i="1"/>
  <c r="J758" i="1"/>
  <c r="I758" i="1"/>
  <c r="H758" i="1"/>
  <c r="AA911" i="1"/>
  <c r="J911" i="1"/>
  <c r="I911" i="1"/>
  <c r="H911" i="1"/>
</calcChain>
</file>

<file path=xl/sharedStrings.xml><?xml version="1.0" encoding="utf-8"?>
<sst xmlns="http://schemas.openxmlformats.org/spreadsheetml/2006/main" count="32948" uniqueCount="3331">
  <si>
    <t>Icd10Code</t>
  </si>
  <si>
    <t>RegionOfDrU</t>
  </si>
  <si>
    <t>ProvOfDRU</t>
  </si>
  <si>
    <t>MuncityOfDRU</t>
  </si>
  <si>
    <t>DRU</t>
  </si>
  <si>
    <t>AddressOfDRU</t>
  </si>
  <si>
    <t>PatientNumber</t>
  </si>
  <si>
    <t>AgeYears</t>
  </si>
  <si>
    <t>AgeMons</t>
  </si>
  <si>
    <t>AgeDays</t>
  </si>
  <si>
    <t>Sex</t>
  </si>
  <si>
    <t>DOB</t>
  </si>
  <si>
    <t>Region</t>
  </si>
  <si>
    <t>Muncity</t>
  </si>
  <si>
    <t>Province</t>
  </si>
  <si>
    <t>Streetpurok</t>
  </si>
  <si>
    <t>Admitted</t>
  </si>
  <si>
    <t>DAdmit</t>
  </si>
  <si>
    <t>DOnset</t>
  </si>
  <si>
    <t>LabResult</t>
  </si>
  <si>
    <t>Outcome</t>
  </si>
  <si>
    <t>DateDied</t>
  </si>
  <si>
    <t>DateOfEntry</t>
  </si>
  <si>
    <t>AdmitToEntry</t>
  </si>
  <si>
    <t>OnsetToAdmit</t>
  </si>
  <si>
    <t>MorbidityMonth</t>
  </si>
  <si>
    <t>MorbidityWeek</t>
  </si>
  <si>
    <t>EPIID</t>
  </si>
  <si>
    <t>UniqueKey</t>
  </si>
  <si>
    <t>RECSTATUS</t>
  </si>
  <si>
    <t>SentinelSite</t>
  </si>
  <si>
    <t>DeleteRecord</t>
  </si>
  <si>
    <t>Year</t>
  </si>
  <si>
    <t>NameOfDru</t>
  </si>
  <si>
    <t>District</t>
  </si>
  <si>
    <t>ILHZ</t>
  </si>
  <si>
    <t>Barangay</t>
  </si>
  <si>
    <t>CASECLASS</t>
  </si>
  <si>
    <t>TYPEHOSPITALCLINIC</t>
  </si>
  <si>
    <t>SARI</t>
  </si>
  <si>
    <t>Organism</t>
  </si>
  <si>
    <t>SENT</t>
  </si>
  <si>
    <t>ip</t>
  </si>
  <si>
    <t>ipgroup</t>
  </si>
  <si>
    <t>J10-J11</t>
  </si>
  <si>
    <t>11</t>
  </si>
  <si>
    <t>DAVAO DE ORO</t>
  </si>
  <si>
    <t>PANTUKAN</t>
  </si>
  <si>
    <t/>
  </si>
  <si>
    <t>Pantukan</t>
  </si>
  <si>
    <t>00-54-85</t>
  </si>
  <si>
    <t>M</t>
  </si>
  <si>
    <t>Davao de Oro</t>
  </si>
  <si>
    <t>P-PAG-ASA URBAN POOR</t>
  </si>
  <si>
    <t>Not Done</t>
  </si>
  <si>
    <t>A</t>
  </si>
  <si>
    <t>C37F9B9F976A470BAB3225E0BC668905</t>
  </si>
  <si>
    <t>PANTUKAN DISTRICT HOSPITAL</t>
  </si>
  <si>
    <t>KINGKING (POB.)</t>
  </si>
  <si>
    <t>Suspect</t>
  </si>
  <si>
    <t>Government Hospital</t>
  </si>
  <si>
    <t>N</t>
  </si>
  <si>
    <t>N/A</t>
  </si>
  <si>
    <t>15-73-89</t>
  </si>
  <si>
    <t>F</t>
  </si>
  <si>
    <t>Maco</t>
  </si>
  <si>
    <t>P-EL ALIGRE</t>
  </si>
  <si>
    <t>7D82BADECE014D0194752588C1FB36D3</t>
  </si>
  <si>
    <t>LANGGAM</t>
  </si>
  <si>
    <t>Y</t>
  </si>
  <si>
    <t>MONTEVISTA</t>
  </si>
  <si>
    <t>Km. 104, Bankerohan, Montevista</t>
  </si>
  <si>
    <t>458323</t>
  </si>
  <si>
    <t>Mabini</t>
  </si>
  <si>
    <t>P10</t>
  </si>
  <si>
    <t>508DD8B2068842E3B72ADD315FACB044</t>
  </si>
  <si>
    <t>DAVAO DE ORO PROVINCIAL HOSPITAL -  MONTEVISTA</t>
  </si>
  <si>
    <t>DISTRICT II</t>
  </si>
  <si>
    <t>COMMMONN</t>
  </si>
  <si>
    <t>DEL PILAR</t>
  </si>
  <si>
    <t>DAVAO DEL NORTE</t>
  </si>
  <si>
    <t>TAGUM CITY</t>
  </si>
  <si>
    <t>832594</t>
  </si>
  <si>
    <t>Laak</t>
  </si>
  <si>
    <t>P2</t>
  </si>
  <si>
    <t>F886159AEA6B4713A0FDBEE3CD186F56</t>
  </si>
  <si>
    <t>DAVAO REGIONAL MEDICAL CENTER</t>
  </si>
  <si>
    <t>KIDAWA</t>
  </si>
  <si>
    <t>Invalid Test</t>
  </si>
  <si>
    <t>481144</t>
  </si>
  <si>
    <t>Compostela</t>
  </si>
  <si>
    <t>P1</t>
  </si>
  <si>
    <t>3353B38EA0A344368A83A5CE6E3B8CBB</t>
  </si>
  <si>
    <t>KAPALONG</t>
  </si>
  <si>
    <t>Kapalong</t>
  </si>
  <si>
    <t>3</t>
  </si>
  <si>
    <t>47AEF6567E3F41799E1055D5296A1B25</t>
  </si>
  <si>
    <t>ALEGRE MEDICAL CLINIC</t>
  </si>
  <si>
    <t>MANGLOY</t>
  </si>
  <si>
    <t>Private Hospital</t>
  </si>
  <si>
    <t>MAWAB</t>
  </si>
  <si>
    <t>Mawab</t>
  </si>
  <si>
    <t>10304474</t>
  </si>
  <si>
    <t>P5</t>
  </si>
  <si>
    <t>4184C928D89C465E867BA47093D0CEB2</t>
  </si>
  <si>
    <t>MAWAB MEDICAL CLINIC AND HOSPITAL</t>
  </si>
  <si>
    <t>2</t>
  </si>
  <si>
    <t>NUEVA VISAYAS</t>
  </si>
  <si>
    <t>MABINI</t>
  </si>
  <si>
    <t>87</t>
  </si>
  <si>
    <t>P1A</t>
  </si>
  <si>
    <t>6E01146B01464DF18BFA08ED37A9B21E</t>
  </si>
  <si>
    <t>RHU-MABINI</t>
  </si>
  <si>
    <t>II</t>
  </si>
  <si>
    <t>CABUYUAN</t>
  </si>
  <si>
    <t>RHU</t>
  </si>
  <si>
    <t>105</t>
  </si>
  <si>
    <t>MASAROWRAN</t>
  </si>
  <si>
    <t>8DE8551298C444A68C45C15D1E412CAB</t>
  </si>
  <si>
    <t xml:space="preserve">Cuambog </t>
  </si>
  <si>
    <t>DAVAO DEL SUR</t>
  </si>
  <si>
    <t>DAVAO CITY</t>
  </si>
  <si>
    <t>Guererro St.</t>
  </si>
  <si>
    <t>347342</t>
  </si>
  <si>
    <t>505 TOWNSITE</t>
  </si>
  <si>
    <t>A2B286E6B5B34537A5A580A08CEB1337</t>
  </si>
  <si>
    <t>SAN PEDRO HOSPITAL OF DAVAO CITY INC.</t>
  </si>
  <si>
    <t>71</t>
  </si>
  <si>
    <t>962E2A5252BB4A7EAC4671DB6E6CEDD5</t>
  </si>
  <si>
    <t>LIBODON</t>
  </si>
  <si>
    <t>LAAK</t>
  </si>
  <si>
    <t>BRGY POBLACION, LAAK</t>
  </si>
  <si>
    <t>AA0C1D6BBB7E4CD9B0A72A4792D81206</t>
  </si>
  <si>
    <t>RHU LAAK</t>
  </si>
  <si>
    <t>SABUD</t>
  </si>
  <si>
    <t>P4 POBLACION LAAK, DAVAO DE ORO</t>
  </si>
  <si>
    <t>009316</t>
  </si>
  <si>
    <t>P4</t>
  </si>
  <si>
    <t>1BB5F22058D7436C8FBB5E5181A1201F</t>
  </si>
  <si>
    <t>DDOPH-LAAK</t>
  </si>
  <si>
    <t xml:space="preserve">Laac </t>
  </si>
  <si>
    <t>163</t>
  </si>
  <si>
    <t>Z1</t>
  </si>
  <si>
    <t>C5B1E8BE64894E3A9FE8453B58721DFB</t>
  </si>
  <si>
    <t>SAN ANTONIO</t>
  </si>
  <si>
    <t>170</t>
  </si>
  <si>
    <t>5C3801A446814E53A7045CCAAE750572</t>
  </si>
  <si>
    <t>16</t>
  </si>
  <si>
    <t>AE1A436555FE49A9B26E11A8CB86222A</t>
  </si>
  <si>
    <t>ANDAP</t>
  </si>
  <si>
    <t>17-45-83</t>
  </si>
  <si>
    <t>497DF67290A04A528FEE38AFDBBB6D8E</t>
  </si>
  <si>
    <t>ANIBONGAN</t>
  </si>
  <si>
    <t>C2C9FCD20C5243AE8D7D65570253513E</t>
  </si>
  <si>
    <t>IMELDA</t>
  </si>
  <si>
    <t>054855</t>
  </si>
  <si>
    <t>P9</t>
  </si>
  <si>
    <t>288EB29691F14ACD9CC094D00107586D</t>
  </si>
  <si>
    <t>1021509</t>
  </si>
  <si>
    <t>Nabunturan</t>
  </si>
  <si>
    <t>P-MAGSAYSAY</t>
  </si>
  <si>
    <t>91962E8F14AF4FD6AD5D521268E59098</t>
  </si>
  <si>
    <t>POBLACION</t>
  </si>
  <si>
    <t>482708</t>
  </si>
  <si>
    <t>Montevista</t>
  </si>
  <si>
    <t>52DBC53C2B804174B51AA3B39D1BF2D7</t>
  </si>
  <si>
    <t>DISTRICT I</t>
  </si>
  <si>
    <t>NEW VISAYAS</t>
  </si>
  <si>
    <t>1037911</t>
  </si>
  <si>
    <t>P3</t>
  </si>
  <si>
    <t>503F7F17E805497DB11B69179F148D9C</t>
  </si>
  <si>
    <t>SAN ROQUE</t>
  </si>
  <si>
    <t>DAB15D1A758F438183D85E53063B6367</t>
  </si>
  <si>
    <t>211</t>
  </si>
  <si>
    <t>P-MAUSWAGON</t>
  </si>
  <si>
    <t>428063BCFB494FDC95871FA1487A3FDD</t>
  </si>
  <si>
    <t>P7</t>
  </si>
  <si>
    <t>0B9EE108C1E34196A03FFADF0B36F700</t>
  </si>
  <si>
    <t>KIOKMAY</t>
  </si>
  <si>
    <t>13-09-88</t>
  </si>
  <si>
    <t>Z3</t>
  </si>
  <si>
    <t>1D2C80F2069548869C0DE56AEC6B8F79</t>
  </si>
  <si>
    <t>ANISLAGAN</t>
  </si>
  <si>
    <t>327262</t>
  </si>
  <si>
    <t>A335BD9A17BF410EA5DFE31BDB059EF1</t>
  </si>
  <si>
    <t>GABI</t>
  </si>
  <si>
    <t>MARAGUSAN</t>
  </si>
  <si>
    <t>Maragusan</t>
  </si>
  <si>
    <t>P-PINETREE 1</t>
  </si>
  <si>
    <t>01E3C1B370274271B7A64C394F0E9436</t>
  </si>
  <si>
    <t>RHU MARAGUSAN</t>
  </si>
  <si>
    <t>1</t>
  </si>
  <si>
    <t>MARAGUSAN (POB.)</t>
  </si>
  <si>
    <t>180</t>
  </si>
  <si>
    <t>2C69A7CB61084CE68819612A9CC286F1</t>
  </si>
  <si>
    <t>PANGIBIRAN</t>
  </si>
  <si>
    <t>219</t>
  </si>
  <si>
    <t>P-STARAPPLE</t>
  </si>
  <si>
    <t>09A420B41CCE47329467A3E3CF106737</t>
  </si>
  <si>
    <t>PINDASAN</t>
  </si>
  <si>
    <t>NABUNTURAN</t>
  </si>
  <si>
    <t>P13 POB. NABUNTURAN COMPOSTELA VALLEY</t>
  </si>
  <si>
    <t>176352</t>
  </si>
  <si>
    <t>New Bataan</t>
  </si>
  <si>
    <t>P2 BATINAO NEW BATAAN DAVAO DE ORO</t>
  </si>
  <si>
    <t>7F0FFB0CC16648C0B296758FA96A194D</t>
  </si>
  <si>
    <t>MIGUEL O. CABRERA SR. MEMORIAL HOSPITAL, INC.</t>
  </si>
  <si>
    <t>I</t>
  </si>
  <si>
    <t>PUBLIC MARKET</t>
  </si>
  <si>
    <t>BATINAO</t>
  </si>
  <si>
    <t>14-45-88</t>
  </si>
  <si>
    <t>3BF06B2A3C6A42CAB2E84A9FAACA062C</t>
  </si>
  <si>
    <t>CADUNAN</t>
  </si>
  <si>
    <t>8</t>
  </si>
  <si>
    <t>PUROK 15</t>
  </si>
  <si>
    <t>218536373C0740E2B60DE6E75F4DF88B</t>
  </si>
  <si>
    <t>KAPATAGAN</t>
  </si>
  <si>
    <t>16-48-05</t>
  </si>
  <si>
    <t>P3 BAYBAY</t>
  </si>
  <si>
    <t>7CE3F57B0DE048F6ADBD53163939F0EF</t>
  </si>
  <si>
    <t>TAMBONGON</t>
  </si>
  <si>
    <t>26956</t>
  </si>
  <si>
    <t>534D60C9B4954FB08D21C67F3778403E</t>
  </si>
  <si>
    <t>DOCTORS COMMUNITY HOSPITAL</t>
  </si>
  <si>
    <t>12-14-84</t>
  </si>
  <si>
    <t>P4A</t>
  </si>
  <si>
    <t>420FAF6122F04A709CA42A675C0DA6C8</t>
  </si>
  <si>
    <t>TAGDANGUA</t>
  </si>
  <si>
    <t>048638</t>
  </si>
  <si>
    <t>E3F4113C0EB34741BAB16C79AC8B4D39</t>
  </si>
  <si>
    <t>10304133</t>
  </si>
  <si>
    <t>3F0E7EA846DF451588525BEE7876F3E3</t>
  </si>
  <si>
    <t>TAGBAROS</t>
  </si>
  <si>
    <t>07-34-02</t>
  </si>
  <si>
    <t>3F901208505B4CB8AC89B82797D18A3B</t>
  </si>
  <si>
    <t>TAGNANAN (MAMPISING)</t>
  </si>
  <si>
    <t>116</t>
  </si>
  <si>
    <t>Z2</t>
  </si>
  <si>
    <t>139FF01B29B445B3A46A11B08467409E</t>
  </si>
  <si>
    <t>10304570</t>
  </si>
  <si>
    <t>D0338B8B322B4533987AE6D5D1150743</t>
  </si>
  <si>
    <t>SAWANGAN</t>
  </si>
  <si>
    <t>467277</t>
  </si>
  <si>
    <t>DE6D8BE26C794C4DAA704973252A310E</t>
  </si>
  <si>
    <t>BAYABAS</t>
  </si>
  <si>
    <t>75</t>
  </si>
  <si>
    <t>A077FA6BF6C0449799E0F11DBC197999</t>
  </si>
  <si>
    <t>17-52-41</t>
  </si>
  <si>
    <t>2468331BC0804013ADE1FCCA730233BE</t>
  </si>
  <si>
    <t>LIBAY-LIBAY</t>
  </si>
  <si>
    <t>10304237</t>
  </si>
  <si>
    <t>4FD2EF3839A54D89A9F3DCA2F2FF2CEF</t>
  </si>
  <si>
    <t>SEA MOUNTAINERS</t>
  </si>
  <si>
    <t>KINUBAN</t>
  </si>
  <si>
    <t>41729</t>
  </si>
  <si>
    <t>P8</t>
  </si>
  <si>
    <t>F7E28DC76D53478FADA5FBAAEC874FA0</t>
  </si>
  <si>
    <t>OSMEÑA</t>
  </si>
  <si>
    <t>P-MAHAYAG</t>
  </si>
  <si>
    <t>51CFEC07B9B14D66AA900CEECAF9A125</t>
  </si>
  <si>
    <t>MAPAWA</t>
  </si>
  <si>
    <t>48</t>
  </si>
  <si>
    <t>8BD07DB02BAD463E8ED3777624017613</t>
  </si>
  <si>
    <t>215</t>
  </si>
  <si>
    <t>P-MANAKLAY</t>
  </si>
  <si>
    <t>10BB7D46B8414A38A58D03B229E7CBDB</t>
  </si>
  <si>
    <t>168</t>
  </si>
  <si>
    <t>P-MASRAWRAN</t>
  </si>
  <si>
    <t>1A388DE20A2446F9BD8906A4154BFAB9</t>
  </si>
  <si>
    <t>P11A</t>
  </si>
  <si>
    <t>0AD2570314C447BC961C1763653DF7BF</t>
  </si>
  <si>
    <t>TALISAY ST., POBLACION, MARAGUSAN</t>
  </si>
  <si>
    <t>165352</t>
  </si>
  <si>
    <t>P-GARCIA</t>
  </si>
  <si>
    <t>Positive</t>
  </si>
  <si>
    <t>CD48063F41E44DEABAEA278FA56F1DD5</t>
  </si>
  <si>
    <t>DAVAO DE ORO PROVINCIAL HOSPITAL - MARAGUSAN</t>
  </si>
  <si>
    <t>NEW ALBAY</t>
  </si>
  <si>
    <t>Confirmed</t>
  </si>
  <si>
    <t>SARS</t>
  </si>
  <si>
    <t>10304572</t>
  </si>
  <si>
    <t>62629BF6CF8041D4B759433F54D11B89</t>
  </si>
  <si>
    <t>CONCEPCION</t>
  </si>
  <si>
    <t>43</t>
  </si>
  <si>
    <t>P-MADASIGON</t>
  </si>
  <si>
    <t>5AED4ACAD54E41B99DF3999241565BC4</t>
  </si>
  <si>
    <t>RHU MABINI</t>
  </si>
  <si>
    <t>P16</t>
  </si>
  <si>
    <t>919D4C8641CC49B7B8CC96CEEE78F92C</t>
  </si>
  <si>
    <t>8E6B715DE5654F2F963440AF93E7B2F6</t>
  </si>
  <si>
    <t>243</t>
  </si>
  <si>
    <t>P-DURIAN</t>
  </si>
  <si>
    <t>6DDB83BD6B13459B9913779717798036</t>
  </si>
  <si>
    <t>8C672CCC62F34CBEA0BDFEB879D2F41F</t>
  </si>
  <si>
    <t>10305196</t>
  </si>
  <si>
    <t>P9 DALISAY</t>
  </si>
  <si>
    <t>366552CDC9B64FEAA762A4B222F4D43F</t>
  </si>
  <si>
    <t>10304392</t>
  </si>
  <si>
    <t>P6</t>
  </si>
  <si>
    <t>592615596BB7428796DC026E6A1BE889</t>
  </si>
  <si>
    <t>MASARA</t>
  </si>
  <si>
    <t>248</t>
  </si>
  <si>
    <t>3BFAE154C57849B19D59DE8FBB32A1E1</t>
  </si>
  <si>
    <t>07-20-86</t>
  </si>
  <si>
    <t>P-MARGARITA</t>
  </si>
  <si>
    <t>3A251536E00249009D74C14C5B9EFC01</t>
  </si>
  <si>
    <t>234</t>
  </si>
  <si>
    <t>734E4A252B8B4E158A9336ADDD6C97D2</t>
  </si>
  <si>
    <t>485055</t>
  </si>
  <si>
    <t>087CF2C71A1D4687BEA53A7FF3AEF97C</t>
  </si>
  <si>
    <t>MAPACA</t>
  </si>
  <si>
    <t>341</t>
  </si>
  <si>
    <t>P-9</t>
  </si>
  <si>
    <t>F35336F566554CB1868A422B8BD4FCC5</t>
  </si>
  <si>
    <t>10304239</t>
  </si>
  <si>
    <t>3D59D5AA6E7248AE8C3AC8CA0B8EBA43</t>
  </si>
  <si>
    <t>ANDILI</t>
  </si>
  <si>
    <t>128</t>
  </si>
  <si>
    <t>753C90148A25464BB40C283DEE21D56D</t>
  </si>
  <si>
    <t>1038560</t>
  </si>
  <si>
    <t>DFD66A001C454EB0B869D255DB996C02</t>
  </si>
  <si>
    <t>65</t>
  </si>
  <si>
    <t>P1B</t>
  </si>
  <si>
    <t>810E263200994807B5DB0BCE752FE6F2</t>
  </si>
  <si>
    <t>1041225</t>
  </si>
  <si>
    <t>P4B</t>
  </si>
  <si>
    <t>B702DF84416744EFBD67740CDB5965B4</t>
  </si>
  <si>
    <t xml:space="preserve">Cabinuangan </t>
  </si>
  <si>
    <t>482715</t>
  </si>
  <si>
    <t>Monkayo</t>
  </si>
  <si>
    <t>DF47A7D6E48E40B08BBA87DB4779D7A7</t>
  </si>
  <si>
    <t>TUBO-TUBO (NEW DEL MONTE)</t>
  </si>
  <si>
    <t>08-53-02</t>
  </si>
  <si>
    <t>P- MAUSWAGON</t>
  </si>
  <si>
    <t>685AF00C5EBC48C3BF57942B4EA3C64E</t>
  </si>
  <si>
    <t>270</t>
  </si>
  <si>
    <t>P-GK VILLAGE</t>
  </si>
  <si>
    <t>8E1C85652CFB46D5A40890BEC121A340</t>
  </si>
  <si>
    <t>161</t>
  </si>
  <si>
    <t>6BB3B00D1ABD4DEAA867F9F64BDCD04E</t>
  </si>
  <si>
    <t>165739</t>
  </si>
  <si>
    <t>P-HIGHLANDER</t>
  </si>
  <si>
    <t>E5CB6A07BCB246F2B442C5456D7C43FE</t>
  </si>
  <si>
    <t>6DA6E18941F84C73B2B4ED73D509E2D3</t>
  </si>
  <si>
    <t>401678</t>
  </si>
  <si>
    <t>47573B1E8ED24DC0AA7CDF7DDCAA4143</t>
  </si>
  <si>
    <t>SAN MIGUEL</t>
  </si>
  <si>
    <t>486133</t>
  </si>
  <si>
    <t>2D95AF9A89DE42F792FCB201AD554295</t>
  </si>
  <si>
    <t>MAGSAYSAY</t>
  </si>
  <si>
    <t>224</t>
  </si>
  <si>
    <t>P5 BACA</t>
  </si>
  <si>
    <t>D8EA7E5D5D0A407E86A3188D834DC9B7</t>
  </si>
  <si>
    <t>101</t>
  </si>
  <si>
    <t>MAMPISING</t>
  </si>
  <si>
    <t>E53D2732F312412BA2138DD36E479367</t>
  </si>
  <si>
    <t>39</t>
  </si>
  <si>
    <t>MAMPISING TAGNANAN</t>
  </si>
  <si>
    <t>D4F4D6D4D97B49EBB24E63CB2A03DDC4</t>
  </si>
  <si>
    <t>17-55-14</t>
  </si>
  <si>
    <t>P-UPPER LAHI</t>
  </si>
  <si>
    <t>103FB22CB9C0460E8B0951480C4310E7</t>
  </si>
  <si>
    <t>MAGNAGA</t>
  </si>
  <si>
    <t>17-81-36</t>
  </si>
  <si>
    <t>P 9-B</t>
  </si>
  <si>
    <t>1A4C8C65D9B344869C20B30EED366640</t>
  </si>
  <si>
    <t>DUMLAN</t>
  </si>
  <si>
    <t>59</t>
  </si>
  <si>
    <t>P20</t>
  </si>
  <si>
    <t>A261C646231245A58DBA6EF8F5B1068E</t>
  </si>
  <si>
    <t>058392</t>
  </si>
  <si>
    <t>4E87E57E9ADB4449875D3F6FF57D2856</t>
  </si>
  <si>
    <t>KALIGUTAN</t>
  </si>
  <si>
    <t>106</t>
  </si>
  <si>
    <t>4251CC4A691D4FB1AA58531E6CAD8F46</t>
  </si>
  <si>
    <t>159604</t>
  </si>
  <si>
    <t>P-MADREDIJS NEW ALEGRIA COMPOSTELA DAVAO DE ORO</t>
  </si>
  <si>
    <t>C531873876ED407E87723315DE5C7077</t>
  </si>
  <si>
    <t>NEW ALEGRIA</t>
  </si>
  <si>
    <t>10304153</t>
  </si>
  <si>
    <t>A13195B04A33406D881987723FCB56AC</t>
  </si>
  <si>
    <t>BAWANI</t>
  </si>
  <si>
    <t>22186</t>
  </si>
  <si>
    <t>7CF53E51A7384E1791DB0D1C3038EF9D</t>
  </si>
  <si>
    <t>1038875</t>
  </si>
  <si>
    <t>46ECE1E3CDC54C98AA6566A2167AD311</t>
  </si>
  <si>
    <t>171206</t>
  </si>
  <si>
    <t>CB030BE4EDAC4B9FA6982E73F08590B5</t>
  </si>
  <si>
    <t>15-26-51</t>
  </si>
  <si>
    <t>P-MAHAYAHAY</t>
  </si>
  <si>
    <t>82E39A90A7EB4A05B90CE2DFA14C8967</t>
  </si>
  <si>
    <t>25</t>
  </si>
  <si>
    <t>P-POBLACION</t>
  </si>
  <si>
    <t>F4281D09567E43F9B48261DB9AA40C8E</t>
  </si>
  <si>
    <t>263</t>
  </si>
  <si>
    <t>939C9AF761644DDF8636F27F309BB7D2</t>
  </si>
  <si>
    <t>10303444</t>
  </si>
  <si>
    <t>208282A6F9BD47F09B2EC95B30BF28AE</t>
  </si>
  <si>
    <t>P11</t>
  </si>
  <si>
    <t>4446402776084489826F31DF8A1CFC1A</t>
  </si>
  <si>
    <t>93B868C5C5004D02B7B544036EDE075C</t>
  </si>
  <si>
    <t>BELMONTE</t>
  </si>
  <si>
    <t>2200472</t>
  </si>
  <si>
    <t>D119DD7025A14AA6A0CF6123B35EB923</t>
  </si>
  <si>
    <t>LIMBO</t>
  </si>
  <si>
    <t>10304198</t>
  </si>
  <si>
    <t>P17</t>
  </si>
  <si>
    <t>F0629F864CE54A24B0884D9971A961C5</t>
  </si>
  <si>
    <t>4DC75069BFC448B3BCDAB1CBFDB51F9D</t>
  </si>
  <si>
    <t>SANTA EMILIA</t>
  </si>
  <si>
    <t>CA9FEFE68F554FBC9436B80631055A44</t>
  </si>
  <si>
    <t>C0E0727D29C1467C9D5EB98BA294EFA4</t>
  </si>
  <si>
    <t>80</t>
  </si>
  <si>
    <t>EDCE427AF916411ABA435B02EE8BAE1B</t>
  </si>
  <si>
    <t>06-95-63</t>
  </si>
  <si>
    <t>1B0ADAB814B94FB3BCBC7306194C952A</t>
  </si>
  <si>
    <t>PANABO CITY</t>
  </si>
  <si>
    <t>14818</t>
  </si>
  <si>
    <t>EFEE73DC35F840E39CB10EF980E94B17</t>
  </si>
  <si>
    <t>TADECO HOSPITAL</t>
  </si>
  <si>
    <t>SALVACION</t>
  </si>
  <si>
    <t>267</t>
  </si>
  <si>
    <t>P1 AVOCADO</t>
  </si>
  <si>
    <t>114F40E06DD74E4B9BF20E1DFAD58058</t>
  </si>
  <si>
    <t>D19B2AE788C8405C89D45ABF5BF1C92D</t>
  </si>
  <si>
    <t>131</t>
  </si>
  <si>
    <t>Z4</t>
  </si>
  <si>
    <t>7C516C3F845147DD9C898062301E8AE2</t>
  </si>
  <si>
    <t>10303742</t>
  </si>
  <si>
    <t>A6D4997700CD42FC92F1F009E75A5F6E</t>
  </si>
  <si>
    <t>PANANGAN</t>
  </si>
  <si>
    <t>76</t>
  </si>
  <si>
    <t>P2A</t>
  </si>
  <si>
    <t>24F69811854E4E16B1AD2033610048E4</t>
  </si>
  <si>
    <t>252178</t>
  </si>
  <si>
    <t>421178D1FA414A0B8F66D8ECD473418A</t>
  </si>
  <si>
    <t>3CD68D4D02604C3EAF7804A72B290D64</t>
  </si>
  <si>
    <t>01-17-57</t>
  </si>
  <si>
    <t>P-CADENA</t>
  </si>
  <si>
    <t>ECAB57B73AEC45F8A53E3193F5692735</t>
  </si>
  <si>
    <t>27</t>
  </si>
  <si>
    <t>6B5C45DF57DC464DB36088AF5221481E</t>
  </si>
  <si>
    <t>58</t>
  </si>
  <si>
    <t>44BC12ED478F41169C2DD4F1946DDC4B</t>
  </si>
  <si>
    <t>Highway 54</t>
  </si>
  <si>
    <t>185241</t>
  </si>
  <si>
    <t>4C4449E06E8C4734BEE917B701AB3E26</t>
  </si>
  <si>
    <t>TAGUM DOCTORS HOSPITAL</t>
  </si>
  <si>
    <t>MALINAWON</t>
  </si>
  <si>
    <t>Bajada</t>
  </si>
  <si>
    <t>3687752</t>
  </si>
  <si>
    <t>EDF0051A85044A22A498714FF2AD7FAC</t>
  </si>
  <si>
    <t>SOUTHERN PHILIPPINES MEDICAL CENTER</t>
  </si>
  <si>
    <t>OTHERS</t>
  </si>
  <si>
    <t>27104</t>
  </si>
  <si>
    <t>P15B</t>
  </si>
  <si>
    <t>3C1DB1D390DE4D1483D94DB3C4E7616B</t>
  </si>
  <si>
    <t>GOLDEN VALLEY (MARAUT)</t>
  </si>
  <si>
    <t>D6AAA113A99747A5945E35552D08F488</t>
  </si>
  <si>
    <t>BULLUCAN</t>
  </si>
  <si>
    <t>10</t>
  </si>
  <si>
    <t>381F3F9BED30451A9DF9DFEDAA9F626C</t>
  </si>
  <si>
    <t>14FA8A3B757345DEA477422D947C93B1</t>
  </si>
  <si>
    <t>P13</t>
  </si>
  <si>
    <t>Negative</t>
  </si>
  <si>
    <t>CCEC6DDD936F427E8F63A99A64421678</t>
  </si>
  <si>
    <t>482219</t>
  </si>
  <si>
    <t>0D3E2840A51647BD8D60919A491151F0</t>
  </si>
  <si>
    <t>MIPANGI</t>
  </si>
  <si>
    <t>A603261452424F5D9015CCF480218667</t>
  </si>
  <si>
    <t>ANITAPAN</t>
  </si>
  <si>
    <t>3491270</t>
  </si>
  <si>
    <t>P-OLIVO</t>
  </si>
  <si>
    <t>F7394B92C76F48BAAA9E27A0378B4F12</t>
  </si>
  <si>
    <t>17-67-81</t>
  </si>
  <si>
    <t>EC742B4845C24944A1342E623313CFA7</t>
  </si>
  <si>
    <t>173</t>
  </si>
  <si>
    <t>865A0C3056014D259440D3C91DEF5F2E</t>
  </si>
  <si>
    <t>7FCD847DFD4A4CD089CFDD37BB1C43C9</t>
  </si>
  <si>
    <t>00221-2</t>
  </si>
  <si>
    <t>PUROK 16</t>
  </si>
  <si>
    <t>0007960-ILI-100923-00221-2</t>
  </si>
  <si>
    <t>LAAK RURAL HEALTH UNIT</t>
  </si>
  <si>
    <t>Visayan Village</t>
  </si>
  <si>
    <t>263784</t>
  </si>
  <si>
    <t>EBC1401F9D3342A7BE5B224A1AB0E901</t>
  </si>
  <si>
    <t>MMGH AND HEALTH SERVICES COOP., INC.</t>
  </si>
  <si>
    <t>7E00D87456FD4476BB11BCC1D9BD6342</t>
  </si>
  <si>
    <t>AGUINALDO</t>
  </si>
  <si>
    <t>170322</t>
  </si>
  <si>
    <t>P-BUYO</t>
  </si>
  <si>
    <t>1D0B81E29E7748E7ADD86B69BEEC0248</t>
  </si>
  <si>
    <t>171</t>
  </si>
  <si>
    <t>E00852647FCB42AEB6A490A38AE36530</t>
  </si>
  <si>
    <t>288773</t>
  </si>
  <si>
    <t>52F628811297424D95E64EB1AA2038BD</t>
  </si>
  <si>
    <t>10304087</t>
  </si>
  <si>
    <t>3BFAF6F041DD4F9A9FE7C534167DB601</t>
  </si>
  <si>
    <t>07-97-65</t>
  </si>
  <si>
    <t>P-MARANG</t>
  </si>
  <si>
    <t>4B6BC1DDE0824FDE9396492489BA930B</t>
  </si>
  <si>
    <t>29</t>
  </si>
  <si>
    <t>7186E0E8F63C40DA8B31C643C39621A1</t>
  </si>
  <si>
    <t>P-RAFFLESIA</t>
  </si>
  <si>
    <t>A5FBB2316CB84083BA1F2C023D36A740</t>
  </si>
  <si>
    <t>NEW KATIPUNAN</t>
  </si>
  <si>
    <t>93</t>
  </si>
  <si>
    <t>AF634F2D7ADE4BCE9A0BA7B2A7CE0C41</t>
  </si>
  <si>
    <t>202</t>
  </si>
  <si>
    <t>6C1A4EDB6E834C4C82C1A9D45E5DEE34</t>
  </si>
  <si>
    <t>197828</t>
  </si>
  <si>
    <t>P1 MAMPISING</t>
  </si>
  <si>
    <t>D128DB4365224BB6A94A795BD71933E4</t>
  </si>
  <si>
    <t>17-68-24</t>
  </si>
  <si>
    <t>DFD32B57DE8D41DCA071B132600E431F</t>
  </si>
  <si>
    <t>845836</t>
  </si>
  <si>
    <t>074553AD4E4E4E2D891156B7F94B6A1E</t>
  </si>
  <si>
    <t>057499</t>
  </si>
  <si>
    <t>35F4B2FD0B0F49EBA5ABB9946C9B1779</t>
  </si>
  <si>
    <t>New</t>
  </si>
  <si>
    <t>150460</t>
  </si>
  <si>
    <t>P-SUNKIST</t>
  </si>
  <si>
    <t>CD50264B6D4C42289608051719BAE300</t>
  </si>
  <si>
    <t>2567129211854A609CC589943C281AA3</t>
  </si>
  <si>
    <t>AMOR CRUZ</t>
  </si>
  <si>
    <t>10304405</t>
  </si>
  <si>
    <t>P-ZONE5</t>
  </si>
  <si>
    <t>14A4C69E2F71409D8FD3BD5C181E4F21</t>
  </si>
  <si>
    <t>1037968</t>
  </si>
  <si>
    <t>EB3C44A23B34412AA19A68F22670971C</t>
  </si>
  <si>
    <t>486516</t>
  </si>
  <si>
    <t>8C13A52090244D7EB33EC18B343D5FE7</t>
  </si>
  <si>
    <t>COMPOSTELA VALLEY PROVINCIAL HOSPITAL</t>
  </si>
  <si>
    <t>1040322</t>
  </si>
  <si>
    <t>642419D2F353453382FC535FE7A210E2</t>
  </si>
  <si>
    <t>SIOCON</t>
  </si>
  <si>
    <t>1038330</t>
  </si>
  <si>
    <t>P12</t>
  </si>
  <si>
    <t>44D254868043457680B10CE558F9E2D1</t>
  </si>
  <si>
    <t>481481</t>
  </si>
  <si>
    <t>P5B</t>
  </si>
  <si>
    <t>837529B965E94EB8A8B979F3EF21F887</t>
  </si>
  <si>
    <t>MANGAYON</t>
  </si>
  <si>
    <t>B5B8E17A85074124A9D8E8A4E380E9F2</t>
  </si>
  <si>
    <t>483405</t>
  </si>
  <si>
    <t>P-PALMERO</t>
  </si>
  <si>
    <t>5F8E0A7C3A664BCC900078E9EBBD4CA1</t>
  </si>
  <si>
    <t>UNION</t>
  </si>
  <si>
    <t>16-19-86</t>
  </si>
  <si>
    <t>5299BE59B5684F5CB9EB9420805F8DDD</t>
  </si>
  <si>
    <t>006590</t>
  </si>
  <si>
    <t>5D091A1AA78C4B2F9020DCB8C535438F</t>
  </si>
  <si>
    <t>1036797</t>
  </si>
  <si>
    <t>67EF9FA15316468E9941D3FFA8B3197F</t>
  </si>
  <si>
    <t>MAPARAT</t>
  </si>
  <si>
    <t>324</t>
  </si>
  <si>
    <t>P-MAGTALISAY</t>
  </si>
  <si>
    <t>385DFD5DFFA941FC99D433A459707752</t>
  </si>
  <si>
    <t>331</t>
  </si>
  <si>
    <t>D6E351AEDF884F7A9C5C3EEFB74A14B9</t>
  </si>
  <si>
    <t>481305</t>
  </si>
  <si>
    <t>10793B99065B4C3495A720D9F336A09E</t>
  </si>
  <si>
    <t>16-38-70</t>
  </si>
  <si>
    <t>P-MAALAGARON, BAG-ONG SUGBO</t>
  </si>
  <si>
    <t>461572D5EB8146048CAF354582C361DA</t>
  </si>
  <si>
    <t>17-39-26</t>
  </si>
  <si>
    <t>F117B5EF6FA444408ADC76296E8DD4F1</t>
  </si>
  <si>
    <t>TIBAGON</t>
  </si>
  <si>
    <t>10304391</t>
  </si>
  <si>
    <t>BEB7960FF3A04953B0F3D01A10A20C04</t>
  </si>
  <si>
    <t>480291</t>
  </si>
  <si>
    <t>6DAC278F33E24A1386BABE4796A0D59D</t>
  </si>
  <si>
    <t>LINOAN</t>
  </si>
  <si>
    <t>160</t>
  </si>
  <si>
    <t>B06F1A8861604ED2BE381E88F5B26415</t>
  </si>
  <si>
    <t>227</t>
  </si>
  <si>
    <t>P-LOWER A</t>
  </si>
  <si>
    <t>1E271922F1C44F05A1F9270EBED8FBE3</t>
  </si>
  <si>
    <t>366</t>
  </si>
  <si>
    <t>*</t>
  </si>
  <si>
    <t>B1EBC0E5A91240E5AD051E16D884C1CF</t>
  </si>
  <si>
    <t>82</t>
  </si>
  <si>
    <t>D3BDC607965640B3B5D69C7B5FB2B9E2</t>
  </si>
  <si>
    <t>17-64-37</t>
  </si>
  <si>
    <t>P-BOONGON</t>
  </si>
  <si>
    <t>D25FA9903C974177818AB184FEC83F18</t>
  </si>
  <si>
    <t>79</t>
  </si>
  <si>
    <t>679F3BA6A6CB4F4D9D169629E1C86FE4</t>
  </si>
  <si>
    <t>409749</t>
  </si>
  <si>
    <t>8250AB84E447489AA32E5C72FBEEA73F</t>
  </si>
  <si>
    <t>TERESA</t>
  </si>
  <si>
    <t>171141</t>
  </si>
  <si>
    <t>P-DURANTA</t>
  </si>
  <si>
    <t>AF233AC169BC423E8E12F6483DF1E0B8</t>
  </si>
  <si>
    <t>14-73-43</t>
  </si>
  <si>
    <t>P-GK VILL</t>
  </si>
  <si>
    <t>396FA8D8541B4059BA1255003EFB3316</t>
  </si>
  <si>
    <t>222783</t>
  </si>
  <si>
    <t>F0154B178BA048F5977C04CE6BB70F59</t>
  </si>
  <si>
    <t>111</t>
  </si>
  <si>
    <t>Z5</t>
  </si>
  <si>
    <t>3D855A1339074B8EB8217E95A0646DE2</t>
  </si>
  <si>
    <t>127</t>
  </si>
  <si>
    <t>CEF9D7EF7A8042D685A663D7D8FE1BE4</t>
  </si>
  <si>
    <t>051899</t>
  </si>
  <si>
    <t>9424CB92291B4A5894129603ABF644B8</t>
  </si>
  <si>
    <t>NAGA</t>
  </si>
  <si>
    <t>1009687</t>
  </si>
  <si>
    <t>P15</t>
  </si>
  <si>
    <t>1CC1A25149DF4C01963655FCDEBD497F</t>
  </si>
  <si>
    <t>167918</t>
  </si>
  <si>
    <t>947F0E12F5E640FE8E61F1862332ED67</t>
  </si>
  <si>
    <t>PALOC</t>
  </si>
  <si>
    <t>89</t>
  </si>
  <si>
    <t>9B84A347F06C4AF4A75A7C6C86880C48</t>
  </si>
  <si>
    <t>1030537</t>
  </si>
  <si>
    <t>1A2B9A8038DF4F8E92618EE365129510</t>
  </si>
  <si>
    <t>467730</t>
  </si>
  <si>
    <t>EEEDB743A9184F87A57F1F704661FAD2</t>
  </si>
  <si>
    <t>MAINIT</t>
  </si>
  <si>
    <t>02-68-98</t>
  </si>
  <si>
    <t>9247D75D9ACA4E829E7794389CBA6756</t>
  </si>
  <si>
    <t>GOOD SHEPHERD HOSPITAL INC.</t>
  </si>
  <si>
    <t>CAMANTANGAN</t>
  </si>
  <si>
    <t>10304547</t>
  </si>
  <si>
    <t>P14 PANAMIN</t>
  </si>
  <si>
    <t>03A8D359B128455FB1A05E698BC8B45B</t>
  </si>
  <si>
    <t>062607</t>
  </si>
  <si>
    <t>9F6E0C0D6B634BB487642A9A61115DCE</t>
  </si>
  <si>
    <t>12-48-84</t>
  </si>
  <si>
    <t>6D53E72B803B498C9CF486255B751119</t>
  </si>
  <si>
    <t>484614</t>
  </si>
  <si>
    <t>8D177C27F7B047F9AA7289F23762B43B</t>
  </si>
  <si>
    <t>10304557</t>
  </si>
  <si>
    <t>553EA3E2491644B38AB4E8188C1A28EC</t>
  </si>
  <si>
    <t>15-13-18</t>
  </si>
  <si>
    <t>C0086549794740F9BC942D915F706F38</t>
  </si>
  <si>
    <t>1035115</t>
  </si>
  <si>
    <t>D156838E54AC4758940E0E94D400210F</t>
  </si>
  <si>
    <t>284903</t>
  </si>
  <si>
    <t>67A95CADEA8F445F932D7152DBAC0EE7</t>
  </si>
  <si>
    <t>175</t>
  </si>
  <si>
    <t>BDD7CCA3035A4ACD845E980630EF76C8</t>
  </si>
  <si>
    <t>482233</t>
  </si>
  <si>
    <t>F5EA5A39B39D4F1BAB52DDC61172DC94</t>
  </si>
  <si>
    <t>201</t>
  </si>
  <si>
    <t>21066862CE7D4C28B935C41A070FF6BE</t>
  </si>
  <si>
    <t>339</t>
  </si>
  <si>
    <t>P-NARRA</t>
  </si>
  <si>
    <t>CCC8FE0DEFEC4018B3ABA42E480817C8</t>
  </si>
  <si>
    <t>33</t>
  </si>
  <si>
    <t>BE1B0D0B34384C96A06B0D964CE05319</t>
  </si>
  <si>
    <t>125</t>
  </si>
  <si>
    <t>450090FECF1941FF92DAC279755178B0</t>
  </si>
  <si>
    <t>192</t>
  </si>
  <si>
    <t>S-MAMPISING</t>
  </si>
  <si>
    <t>A0C7F5E022C246E0BD397D52675E695B</t>
  </si>
  <si>
    <t>157324</t>
  </si>
  <si>
    <t>P-NANGKA</t>
  </si>
  <si>
    <t>4ED1B2D4517E485A973B2B62C7A98045</t>
  </si>
  <si>
    <t>380</t>
  </si>
  <si>
    <t>P-BAJADA CADUNAN</t>
  </si>
  <si>
    <t>43D45ACCFCD7415FBF0AAE4928812131</t>
  </si>
  <si>
    <t>100</t>
  </si>
  <si>
    <t>MADASIGON</t>
  </si>
  <si>
    <t>5C563A37D1F941639243913A9C8E4208</t>
  </si>
  <si>
    <t>480226</t>
  </si>
  <si>
    <t>P10 SAN ROQUE</t>
  </si>
  <si>
    <t>39E96A1FE36D405EB3594B6D28366E06</t>
  </si>
  <si>
    <t>329813</t>
  </si>
  <si>
    <t>1B6E9FDB3CC045AD865721890BDB8713</t>
  </si>
  <si>
    <t>BANTACAN</t>
  </si>
  <si>
    <t>16-53-25</t>
  </si>
  <si>
    <t>32AD1CC928D14B3EBD5283E1D6042BAE</t>
  </si>
  <si>
    <t>145008</t>
  </si>
  <si>
    <t>50905F87AF7643558E8FC271D04C5239</t>
  </si>
  <si>
    <t>PARASANON</t>
  </si>
  <si>
    <t>375</t>
  </si>
  <si>
    <t>14C8C0E21ABE46328F20AE3B3638A12F</t>
  </si>
  <si>
    <t>254135</t>
  </si>
  <si>
    <t>65E269901A37431AB7796F6280005784</t>
  </si>
  <si>
    <t>228</t>
  </si>
  <si>
    <t>P3 MAMPISING</t>
  </si>
  <si>
    <t>252C9C6552C644FD9EEAB13FF137A47D</t>
  </si>
  <si>
    <t>10304265</t>
  </si>
  <si>
    <t>P18</t>
  </si>
  <si>
    <t>36DFE7B059B6464298B4A4028EDC4128</t>
  </si>
  <si>
    <t>3494530</t>
  </si>
  <si>
    <t>425C70B78AAD44888323340868BF40C6</t>
  </si>
  <si>
    <t>PANGUTOSAN</t>
  </si>
  <si>
    <t>179</t>
  </si>
  <si>
    <t>66DA5A2E33144CF889880234FFE755BB</t>
  </si>
  <si>
    <t>68</t>
  </si>
  <si>
    <t>F3B0F765868E483C9FB310FC3D1187B1</t>
  </si>
  <si>
    <t>1029669</t>
  </si>
  <si>
    <t>77F3C789FD5044409D04E892B4AEE023</t>
  </si>
  <si>
    <t>16-25-47</t>
  </si>
  <si>
    <t>822DCAA68E5B4DC9AFE003866E286310</t>
  </si>
  <si>
    <t>10304383</t>
  </si>
  <si>
    <t>873C6522819848AE827FE1585B6C97A3</t>
  </si>
  <si>
    <t>485695</t>
  </si>
  <si>
    <t>B1A384F8C0D145B4AF2A88AB16392C84</t>
  </si>
  <si>
    <t>10304562</t>
  </si>
  <si>
    <t>DDCDC4BB6FA44C5E90E3C64967703B30</t>
  </si>
  <si>
    <t>ELIZALDE (SOMIL)</t>
  </si>
  <si>
    <t>10304440</t>
  </si>
  <si>
    <t>E25962E34472441997388170DCD2F2C6</t>
  </si>
  <si>
    <t>17-71-56</t>
  </si>
  <si>
    <t>A23854C069C14ACFB5915D1EE120A59E</t>
  </si>
  <si>
    <t>329</t>
  </si>
  <si>
    <t>P-16A</t>
  </si>
  <si>
    <t>11F8E60DFF54452A905ED87E186D606F</t>
  </si>
  <si>
    <t>P3A</t>
  </si>
  <si>
    <t>8602F404670F4A27A4CE98E30D345803</t>
  </si>
  <si>
    <t>88495F162A1543D7AF0F46D4A7C8831E</t>
  </si>
  <si>
    <t>1026215</t>
  </si>
  <si>
    <t>ED997A6A0E9D490CB5732BD6CFE31A53</t>
  </si>
  <si>
    <t>BONGABONG</t>
  </si>
  <si>
    <t>198</t>
  </si>
  <si>
    <t>455298C2EACC4087AD9AEF22328497D3</t>
  </si>
  <si>
    <t>A1CEAFC7C2D64FCBB46EB196A03972B2</t>
  </si>
  <si>
    <t>481536</t>
  </si>
  <si>
    <t>5D4EAC7AE7CB42F8B8F25F1A886C6810</t>
  </si>
  <si>
    <t>480443</t>
  </si>
  <si>
    <t>7618FD0F6667491C9CD95FA6554C5A66</t>
  </si>
  <si>
    <t>KATIPUNAN</t>
  </si>
  <si>
    <t>269</t>
  </si>
  <si>
    <t>P3B MALABATUAN</t>
  </si>
  <si>
    <t>C249FC7FA0E748AE83DF7F8465A6F2AA</t>
  </si>
  <si>
    <t>176</t>
  </si>
  <si>
    <t>63D0846C56064E68920F356167F23476</t>
  </si>
  <si>
    <t>92D406BE065D46E7AA4E7E93BBC891BB</t>
  </si>
  <si>
    <t>UNITED DOCTOR'S HOSPITAL OF TAGUM, INC.</t>
  </si>
  <si>
    <t>379573</t>
  </si>
  <si>
    <t>9F7FC65271B44DA1B25A7BF7409AAEF9</t>
  </si>
  <si>
    <t>MOUNT DIWATA</t>
  </si>
  <si>
    <t>15-49-88</t>
  </si>
  <si>
    <t>P 1</t>
  </si>
  <si>
    <t>1D5C942D28274A3590848F28936E4EED</t>
  </si>
  <si>
    <t>266</t>
  </si>
  <si>
    <t>ED2F1E08775C4417A168FFB6BA9F27D5</t>
  </si>
  <si>
    <t>486426</t>
  </si>
  <si>
    <t>NHA</t>
  </si>
  <si>
    <t>942330182CD549C5805E8291A5FA3411</t>
  </si>
  <si>
    <t>0D1B39C74C2D49888A4A072EFA2B3467</t>
  </si>
  <si>
    <t>P-ACACIA</t>
  </si>
  <si>
    <t>7FB71726022946338115E17C076C2277</t>
  </si>
  <si>
    <t>92</t>
  </si>
  <si>
    <t>402DAED559984CBEA1E8E40F3A89B003</t>
  </si>
  <si>
    <t>947703</t>
  </si>
  <si>
    <t>A8F258D7708F4F0CBBC5859C3793DEA5</t>
  </si>
  <si>
    <t>LAPU-LAPU</t>
  </si>
  <si>
    <t>5F2B335D1EF24C47A765708BAE1F4C9B</t>
  </si>
  <si>
    <t>130</t>
  </si>
  <si>
    <t>0AA6F9D76F064DB985D034CD726BC8ED</t>
  </si>
  <si>
    <t>367</t>
  </si>
  <si>
    <t>D5F17D9215BD40C185E6C8CBE9648891</t>
  </si>
  <si>
    <t>01-01-81</t>
  </si>
  <si>
    <t>DBABB497F6194AAABBD8E74E64308031</t>
  </si>
  <si>
    <t>Panabo</t>
  </si>
  <si>
    <t>25162</t>
  </si>
  <si>
    <t>P-SANTOL</t>
  </si>
  <si>
    <t>BC9EA0660E3948468193EED23A4864C9</t>
  </si>
  <si>
    <t>SOMOSO GENERAL HOSPITAL, INCORPORATED</t>
  </si>
  <si>
    <t>20914</t>
  </si>
  <si>
    <t>PSANTOL</t>
  </si>
  <si>
    <t>3E8D4563B51949A5A497F0AE54D3D647</t>
  </si>
  <si>
    <t>232</t>
  </si>
  <si>
    <t>D087C72CDBF94D028E13056217F2416D</t>
  </si>
  <si>
    <t>10304561</t>
  </si>
  <si>
    <t>1CF1399F627445A1A40C8B7FCB8CCC01</t>
  </si>
  <si>
    <t>463863</t>
  </si>
  <si>
    <t>D28EAA364D094E13A0096785B0489B19</t>
  </si>
  <si>
    <t>SAN VICENTE</t>
  </si>
  <si>
    <t>480273</t>
  </si>
  <si>
    <t>6BABA47CCCCC406B969C902126F51186</t>
  </si>
  <si>
    <t>17-67-38</t>
  </si>
  <si>
    <t>P6 MAGAPALWAY</t>
  </si>
  <si>
    <t>78E77A4F4A5844F7BCD3AE21C7E59892</t>
  </si>
  <si>
    <t>BONGBONG</t>
  </si>
  <si>
    <t>233</t>
  </si>
  <si>
    <t>P-LOWER B</t>
  </si>
  <si>
    <t>3C4A090C1B7B47B680E2B86256916A18</t>
  </si>
  <si>
    <t>122</t>
  </si>
  <si>
    <t>4BDF2317E6C14AA0B55243136776D1A4</t>
  </si>
  <si>
    <t>482507</t>
  </si>
  <si>
    <t>P22</t>
  </si>
  <si>
    <t>0C153260DC8945578E8A0852D7DE9E43</t>
  </si>
  <si>
    <t>COMMON</t>
  </si>
  <si>
    <t>14-55-64</t>
  </si>
  <si>
    <t>P-GEMELINA</t>
  </si>
  <si>
    <t>CF19A382A1E84AA5AA3F762CFC6DB5F3</t>
  </si>
  <si>
    <t>CF9CCC68EFF6408EA65D4DA44331A039</t>
  </si>
  <si>
    <t>DATU AMPUNAN</t>
  </si>
  <si>
    <t>712831</t>
  </si>
  <si>
    <t>E3EA40C6F6AA4DCEB370DBA91D235D06</t>
  </si>
  <si>
    <t>P6A</t>
  </si>
  <si>
    <t>23457924164048AD8D0D1C54C1C435C6</t>
  </si>
  <si>
    <t>28</t>
  </si>
  <si>
    <t>289EE891DFEA48AEB8024722506B678B</t>
  </si>
  <si>
    <t>226</t>
  </si>
  <si>
    <t>1FC8E4220C4A401F86A7B24B44809C97</t>
  </si>
  <si>
    <t>320</t>
  </si>
  <si>
    <t>P-1</t>
  </si>
  <si>
    <t>50B9423586CD49399889CD96E15A53B8</t>
  </si>
  <si>
    <t>38</t>
  </si>
  <si>
    <t>0315EDD8F3FA451786064AC20FDEEB97</t>
  </si>
  <si>
    <t>237</t>
  </si>
  <si>
    <t>P-PAG-ASA</t>
  </si>
  <si>
    <t>5A38FF5BB31544BD8B832252F4D82A38</t>
  </si>
  <si>
    <t>16-36-78</t>
  </si>
  <si>
    <t>P-LITTLE AYAN</t>
  </si>
  <si>
    <t>21BD6D19061049BB8B2D28C50710A7C4</t>
  </si>
  <si>
    <t>NAPNAPAN</t>
  </si>
  <si>
    <t>159007</t>
  </si>
  <si>
    <t>P-MABINI</t>
  </si>
  <si>
    <t>972F2915485C4455A4749DC967A5A2EC</t>
  </si>
  <si>
    <t>CORONOBE</t>
  </si>
  <si>
    <t>1038691</t>
  </si>
  <si>
    <t>P-SAMAHAN</t>
  </si>
  <si>
    <t>067347ABE8D04CE0A8F92F8D413C75F2</t>
  </si>
  <si>
    <t>102</t>
  </si>
  <si>
    <t>MAUSWAGON</t>
  </si>
  <si>
    <t>A1B52C2D39E64AC1ADBE1B33B1A9AFF3</t>
  </si>
  <si>
    <t>223605</t>
  </si>
  <si>
    <t>PRK 3</t>
  </si>
  <si>
    <t>0C63B69EA663405E8F4CBE4EC2FDDCE5</t>
  </si>
  <si>
    <t>085638</t>
  </si>
  <si>
    <t>P. 4</t>
  </si>
  <si>
    <t>9E7F0E1B081D41B6A8F36D411D16DB08</t>
  </si>
  <si>
    <t>NEW MAN-AY</t>
  </si>
  <si>
    <t>488294</t>
  </si>
  <si>
    <t>3851FC19AB2F4FF0ADFAF7D180B6DD5A</t>
  </si>
  <si>
    <t>156432</t>
  </si>
  <si>
    <t>P-KURIGSAW</t>
  </si>
  <si>
    <t>90B9164B519F4E40B626775027D7150E</t>
  </si>
  <si>
    <t>115328</t>
  </si>
  <si>
    <t>P-KURIGSAO</t>
  </si>
  <si>
    <t>A290CA6617D94C8E87D05F3FF85796CF</t>
  </si>
  <si>
    <t>00153-12</t>
  </si>
  <si>
    <t>PUROK 20</t>
  </si>
  <si>
    <t>0007960-ILI-090423-00153-12</t>
  </si>
  <si>
    <t>486467</t>
  </si>
  <si>
    <t>1023115041274FDC8A541B75DF4B1B9C</t>
  </si>
  <si>
    <t>NGAN</t>
  </si>
  <si>
    <t>1035717</t>
  </si>
  <si>
    <t>P-EGIM</t>
  </si>
  <si>
    <t>35C69A6237574275947C4AB24A01458D</t>
  </si>
  <si>
    <t>7302 Nat'l. Hi-way, Sn Francisco</t>
  </si>
  <si>
    <t>293200</t>
  </si>
  <si>
    <t>629FFBD8A71B4A94A7A2C7B580B16E08</t>
  </si>
  <si>
    <t>RIVERA MEDICAL CENTER, INC.</t>
  </si>
  <si>
    <t>MALINAO</t>
  </si>
  <si>
    <t>060661</t>
  </si>
  <si>
    <t>P-ANGELO</t>
  </si>
  <si>
    <t>F265994B1A394A1983B05F09AF712384</t>
  </si>
  <si>
    <t>333351</t>
  </si>
  <si>
    <t>115F51310D12404B9839C9D570D32B08</t>
  </si>
  <si>
    <t>PROSPERIDAD</t>
  </si>
  <si>
    <t>40</t>
  </si>
  <si>
    <t>23F1C29221A54D8AB5AFBAF44819C782</t>
  </si>
  <si>
    <t>26073</t>
  </si>
  <si>
    <t>BD72F182B1674154BE9C927AA3CD442C</t>
  </si>
  <si>
    <t>10304437</t>
  </si>
  <si>
    <t>49126DEDC4804163B037076F8BC74634</t>
  </si>
  <si>
    <t>NUEVO ILOCO</t>
  </si>
  <si>
    <t>P-PARAS</t>
  </si>
  <si>
    <t>5347A2F2332A47DA9FBD482387D44C1D</t>
  </si>
  <si>
    <t>346323</t>
  </si>
  <si>
    <t>63E02536FE0843368A6DABE409231766</t>
  </si>
  <si>
    <t>SAN JOSE (POB.)</t>
  </si>
  <si>
    <t>10304242</t>
  </si>
  <si>
    <t>6DCAEEBDAED9485684664F11E5360DF6</t>
  </si>
  <si>
    <t>372</t>
  </si>
  <si>
    <t>D-5 LIBUDON</t>
  </si>
  <si>
    <t>AAD2093598C04ADB9D657166E634F64A</t>
  </si>
  <si>
    <t>00098330</t>
  </si>
  <si>
    <t>8F670B2386044E1B8200A7D47128C4BF</t>
  </si>
  <si>
    <t>467802</t>
  </si>
  <si>
    <t>54CBF92CD2014E9882FFB624FCEA71D0</t>
  </si>
  <si>
    <t>123830</t>
  </si>
  <si>
    <t>P. CAPE</t>
  </si>
  <si>
    <t>4F005D36EB07444690E85323D619937A</t>
  </si>
  <si>
    <t>MAGCAGONG</t>
  </si>
  <si>
    <t>485315</t>
  </si>
  <si>
    <t>110D12131A2B4AEE87EFA8E6C5133054</t>
  </si>
  <si>
    <t>058494</t>
  </si>
  <si>
    <t>7B8CC91B8DBB442F94B3FB034EF794E0</t>
  </si>
  <si>
    <t>70</t>
  </si>
  <si>
    <t>0ABA79CAE5A74D0392D77A6C61163A44</t>
  </si>
  <si>
    <t>1028223</t>
  </si>
  <si>
    <t>D4D3C2DFFA22467BBD12BB9BE612CD65</t>
  </si>
  <si>
    <t>2916179</t>
  </si>
  <si>
    <t>0160CAF9F30E4C6AB0773134DDAD74ED</t>
  </si>
  <si>
    <t>166548</t>
  </si>
  <si>
    <t>P-RIZAL</t>
  </si>
  <si>
    <t>22BBAFC5C83F4306A1235A166B3458E9</t>
  </si>
  <si>
    <t>070785</t>
  </si>
  <si>
    <t>P1 CAGAN</t>
  </si>
  <si>
    <t>B20EEF18483A4BB5A9DD990320CF8C02</t>
  </si>
  <si>
    <t>10304236</t>
  </si>
  <si>
    <t>5A43DAA266354A868847852557259BF1</t>
  </si>
  <si>
    <t>NEW BATAAN</t>
  </si>
  <si>
    <t>PANIBASAN</t>
  </si>
  <si>
    <t>10304517</t>
  </si>
  <si>
    <t>6471A496DD7C4CFC915D586302B73E55</t>
  </si>
  <si>
    <t>TUBORAN</t>
  </si>
  <si>
    <t>068608</t>
  </si>
  <si>
    <t>P7 SAN ROQUE</t>
  </si>
  <si>
    <t>C6F468BD8960421484970D32D32FC2CE</t>
  </si>
  <si>
    <t>BINASBAS</t>
  </si>
  <si>
    <t>47D1E027434445F2876E57C4FE12AE19</t>
  </si>
  <si>
    <t>MELALE</t>
  </si>
  <si>
    <t>17-47-81</t>
  </si>
  <si>
    <t>00300FB05A1A4B1E955C994BC4FD0112</t>
  </si>
  <si>
    <t>151691</t>
  </si>
  <si>
    <t>P9A</t>
  </si>
  <si>
    <t>58501536629444B6B08E25E287F0B927</t>
  </si>
  <si>
    <t>17-70-73</t>
  </si>
  <si>
    <t>06931C54B64947C8810753F91AB8B224</t>
  </si>
  <si>
    <t>1040171</t>
  </si>
  <si>
    <t>8D1B7A0CC7294D78A2176FBCE6C813A0</t>
  </si>
  <si>
    <t>15-44-85</t>
  </si>
  <si>
    <t>P-GUMAMELA TUGOP</t>
  </si>
  <si>
    <t>849D158FFF3E4288818E189CEEE4DD17</t>
  </si>
  <si>
    <t>338AEC17FD2A4C00ADB20570DA47A756</t>
  </si>
  <si>
    <t>55</t>
  </si>
  <si>
    <t>P3C</t>
  </si>
  <si>
    <t>0B9B10EA2E454838B3BAA016CDBDAD45</t>
  </si>
  <si>
    <t>451503</t>
  </si>
  <si>
    <t>10A67D9E8177403D8D2DB8F21B1242A3</t>
  </si>
  <si>
    <t>DAUMAN</t>
  </si>
  <si>
    <t>170470</t>
  </si>
  <si>
    <t>P-EGUERRA</t>
  </si>
  <si>
    <t>95F5FF1F861A41328C1BB02068051693</t>
  </si>
  <si>
    <t>454530</t>
  </si>
  <si>
    <t>DC91E3B4AB4D4F1EA00727141FD2F98E</t>
  </si>
  <si>
    <t>230</t>
  </si>
  <si>
    <t>P-SUBOC</t>
  </si>
  <si>
    <t>5AFC002E61E64417A3A842E711C4BA08</t>
  </si>
  <si>
    <t>212</t>
  </si>
  <si>
    <t>C95ACC2A61354C978AAE46621BBC525A</t>
  </si>
  <si>
    <t>120</t>
  </si>
  <si>
    <t>85FBF07699FA47A8A0BDE933781102E7</t>
  </si>
  <si>
    <t>66</t>
  </si>
  <si>
    <t>2DDEA65D992542C986171A9AE0816EBD</t>
  </si>
  <si>
    <t>121</t>
  </si>
  <si>
    <t>0968E7AF12D74886AD45F4EC289A1B07</t>
  </si>
  <si>
    <t>81</t>
  </si>
  <si>
    <t>B8FC5831AF1E43A2AABAE4756DCB7C9A</t>
  </si>
  <si>
    <t>F0E56C472A294223B9DCC231A46D76DD</t>
  </si>
  <si>
    <t>06-33-17</t>
  </si>
  <si>
    <t>0BF2AF5FFF464944BA331692075E2290</t>
  </si>
  <si>
    <t>186</t>
  </si>
  <si>
    <t>EB4E3386C6114946B8DB4DA460ACE0C7</t>
  </si>
  <si>
    <t>113</t>
  </si>
  <si>
    <t>1DAA5731BF9E46EDB6BD8BBE6D14DFD2</t>
  </si>
  <si>
    <t>00-18-90</t>
  </si>
  <si>
    <t>388DD2228366413196E2294F34A2E48C</t>
  </si>
  <si>
    <t>114</t>
  </si>
  <si>
    <t>64D4E63F7FD54F8FA9E5002CA263602A</t>
  </si>
  <si>
    <t>41</t>
  </si>
  <si>
    <t>P2B</t>
  </si>
  <si>
    <t>FB298608D8AB49A6AFAC67A4ED0386D9</t>
  </si>
  <si>
    <t>163308</t>
  </si>
  <si>
    <t>P-HIUSA</t>
  </si>
  <si>
    <t>C7475B5DB53C42739AC42C23E7B3DDF9</t>
  </si>
  <si>
    <t>26507</t>
  </si>
  <si>
    <t>86F464D9D56649FEB6EEA62E4D27B132</t>
  </si>
  <si>
    <t>167932</t>
  </si>
  <si>
    <t>P-LANZONES</t>
  </si>
  <si>
    <t>3E128BDEE85644FDB37EE6A72942666A</t>
  </si>
  <si>
    <t>203028A6AD69414B9B178283A5237063</t>
  </si>
  <si>
    <t>2D79D61106F74EAE85527A0BA4731B2D</t>
  </si>
  <si>
    <t>157553</t>
  </si>
  <si>
    <t>P-TAMBIS</t>
  </si>
  <si>
    <t>D9A9D6FCD91F4CC48206224E8BDBB2B2</t>
  </si>
  <si>
    <t>15-55-26</t>
  </si>
  <si>
    <t>367D61EE30F348E2A1B5E8454F18AB78</t>
  </si>
  <si>
    <t>17-73-64</t>
  </si>
  <si>
    <t>7B55C4A1285C42EB9FFAEAC452746882</t>
  </si>
  <si>
    <t>064006</t>
  </si>
  <si>
    <t>9638BA3FC79F45B89BB3B05D244F59E5</t>
  </si>
  <si>
    <t>Madapo Hills</t>
  </si>
  <si>
    <t>477796</t>
  </si>
  <si>
    <t>P2 GREGORIO DEL PILAR ST</t>
  </si>
  <si>
    <t>9B392792F1A44A65B4AE05CA86C54229</t>
  </si>
  <si>
    <t>BROKENSHIRE MEDICAL CENTER</t>
  </si>
  <si>
    <t>5F5CE94D52B542D5BDDAB5274E54CDE4</t>
  </si>
  <si>
    <t>COMPOSTELA</t>
  </si>
  <si>
    <t>115</t>
  </si>
  <si>
    <t>9DB65315FB2F4853B0F3F3D87409BDF8</t>
  </si>
  <si>
    <t>22</t>
  </si>
  <si>
    <t>21B5574AC9854A43BB4D1378506D4C07</t>
  </si>
  <si>
    <t>185</t>
  </si>
  <si>
    <t>P-SUBOK</t>
  </si>
  <si>
    <t>6A354972EAE445DBAD26DA554742EFC4</t>
  </si>
  <si>
    <t>449367</t>
  </si>
  <si>
    <t>27CA67196BA743C89C302720B85AEFEF</t>
  </si>
  <si>
    <t>777876</t>
  </si>
  <si>
    <t>1EAABB809D8D4F22AF6BFC8148CC74A3</t>
  </si>
  <si>
    <t>AWAO</t>
  </si>
  <si>
    <t>158126</t>
  </si>
  <si>
    <t>FF4B508ACA36402583155E155E6ED9F3</t>
  </si>
  <si>
    <t>16-03-48</t>
  </si>
  <si>
    <t>P-CADAYUNA</t>
  </si>
  <si>
    <t>A40A5D70C4164664A772C05591A3CE32</t>
  </si>
  <si>
    <t>412AC6CF9FED4F11A177B8FEFE90B6C9</t>
  </si>
  <si>
    <t>372008</t>
  </si>
  <si>
    <t>P-LUMBA</t>
  </si>
  <si>
    <t>2C1839A805DE4AD3A412B5AA39B04392</t>
  </si>
  <si>
    <t>477114</t>
  </si>
  <si>
    <t>EB0175BB1F714FFAAB7B6F51BB2BB4B5</t>
  </si>
  <si>
    <t>COGONON</t>
  </si>
  <si>
    <t>P-PINETREE 2</t>
  </si>
  <si>
    <t>5CBE9BD58ECB4A8AB33D05FAC70656F8</t>
  </si>
  <si>
    <t>06-69-54</t>
  </si>
  <si>
    <t>EA4C178B035D4E66B5562A585C5DB7F9</t>
  </si>
  <si>
    <t>164</t>
  </si>
  <si>
    <t>7F28C6658C844D97A13DF567DEBA0EEC</t>
  </si>
  <si>
    <t>FE040CA72F56409F871B20BBE564193C</t>
  </si>
  <si>
    <t>BANBANON</t>
  </si>
  <si>
    <t>499101</t>
  </si>
  <si>
    <t>F649198379964A99B7AC54E4891CEE56</t>
  </si>
  <si>
    <t>460549</t>
  </si>
  <si>
    <t>D951D617BFE84867A02F9DFDB3E80EF4</t>
  </si>
  <si>
    <t>LIBASAN</t>
  </si>
  <si>
    <t>10304226</t>
  </si>
  <si>
    <t>5C89377664804EC187968B9F1B5F1D7E</t>
  </si>
  <si>
    <t>10-26-23</t>
  </si>
  <si>
    <t>D34D975547B64E67B1A54B64ECEA44B9</t>
  </si>
  <si>
    <t>85</t>
  </si>
  <si>
    <t>3929B00F8A0D44DCBE41FE6E6CAB1A4C</t>
  </si>
  <si>
    <t>006760</t>
  </si>
  <si>
    <t>P-BIATELIS</t>
  </si>
  <si>
    <t>B0F901F86250412BB334B5C4B5C28CD5</t>
  </si>
  <si>
    <t>487318</t>
  </si>
  <si>
    <t>P19</t>
  </si>
  <si>
    <t>B900BF25EF7F4BA8811BD93882BF0ADB</t>
  </si>
  <si>
    <t>CAMANLANGAN</t>
  </si>
  <si>
    <t>MAR102023-01</t>
  </si>
  <si>
    <t>PUROK PINETREE 2</t>
  </si>
  <si>
    <t>0027950-ILI-101123-R102023-01</t>
  </si>
  <si>
    <t>POBLACION EAST SUB-HEALTH STATION</t>
  </si>
  <si>
    <t xml:space="preserve">Maragusan </t>
  </si>
  <si>
    <t>F4658EB07E6C47D3BB0AA521D78BB5BD</t>
  </si>
  <si>
    <t>9FFD85518BE84140A41B9A58CC5AF07E</t>
  </si>
  <si>
    <t>383</t>
  </si>
  <si>
    <t>F5909520617F40F5955A3BAF5FF11094</t>
  </si>
  <si>
    <t>485244</t>
  </si>
  <si>
    <t>1A7023EA2BC54FA38EB4CAC759234C84</t>
  </si>
  <si>
    <t>LEBANON</t>
  </si>
  <si>
    <t>956132E6F22C460186BB5F13F4353AEA</t>
  </si>
  <si>
    <t>056549</t>
  </si>
  <si>
    <t>68F6995640AC4F60B9732DAFA6577548</t>
  </si>
  <si>
    <t>MABUHAY</t>
  </si>
  <si>
    <t>1000854</t>
  </si>
  <si>
    <t>P-MALINAWON</t>
  </si>
  <si>
    <t>AD63B197EA9243929A6231D48CC6C709</t>
  </si>
  <si>
    <t>BANLAG</t>
  </si>
  <si>
    <t>11-53-79</t>
  </si>
  <si>
    <t>D02DC3ABAFF84164BAE8608CDE46A95D</t>
  </si>
  <si>
    <t>64</t>
  </si>
  <si>
    <t>92E7E4ACBE054056924A116E15BC6B7B</t>
  </si>
  <si>
    <t>483529</t>
  </si>
  <si>
    <t>F256EC0E737543958FECCFAE0F3530B3</t>
  </si>
  <si>
    <t>84886</t>
  </si>
  <si>
    <t>A6874350E64A455990411292642F424F</t>
  </si>
  <si>
    <t>PANABO POLYMEDIC HOSPITAL INC.</t>
  </si>
  <si>
    <t>482290</t>
  </si>
  <si>
    <t>0BC0BE809290465FB0DB1350BCB7F88D</t>
  </si>
  <si>
    <t>407826</t>
  </si>
  <si>
    <t>P10A</t>
  </si>
  <si>
    <t>527499AD96FF4438B263083E1A49F275</t>
  </si>
  <si>
    <t>163034</t>
  </si>
  <si>
    <t>P. NARRA</t>
  </si>
  <si>
    <t>47B87CF77B834BE88F2C76395DF8662A</t>
  </si>
  <si>
    <t>335</t>
  </si>
  <si>
    <t>8E2D6A0CECA54DFA9908F5F860D0ED34</t>
  </si>
  <si>
    <t>135</t>
  </si>
  <si>
    <t>F7537CBDAA234260AE6E195E47C98E54</t>
  </si>
  <si>
    <t>484199</t>
  </si>
  <si>
    <t>E9FE45FFA17042E3A9711C15D52973C4</t>
  </si>
  <si>
    <t>UPPER ULIP</t>
  </si>
  <si>
    <t>206</t>
  </si>
  <si>
    <t>AB897A76B735410AA4423952D864A93A</t>
  </si>
  <si>
    <t>330</t>
  </si>
  <si>
    <t>P-4</t>
  </si>
  <si>
    <t>880BCB4E14C045208B68C572E13DF592</t>
  </si>
  <si>
    <t>128787</t>
  </si>
  <si>
    <t>B47DFBDDDE294B6293CE4372CE48AA7E</t>
  </si>
  <si>
    <t>381</t>
  </si>
  <si>
    <t>BA8AB97972D64EC4904FDD4A92F98F25</t>
  </si>
  <si>
    <t>09-49-44</t>
  </si>
  <si>
    <t>P-SUNSHINE VILLAGE</t>
  </si>
  <si>
    <t>8AC3F1FFEFE64A81A09917868530CFD2</t>
  </si>
  <si>
    <t>321</t>
  </si>
  <si>
    <t>P-SAMAHAN LOWER</t>
  </si>
  <si>
    <t>D993671C81C5460E8FB476FDFBC0E92F</t>
  </si>
  <si>
    <t>15-65-38</t>
  </si>
  <si>
    <t>P-MAHIGALAON</t>
  </si>
  <si>
    <t>9DE32C227DD6459E9F35E79C3BA8CBF2</t>
  </si>
  <si>
    <t>10304586</t>
  </si>
  <si>
    <t>2DE26D9402464E609DC1CE8E517CB0FD</t>
  </si>
  <si>
    <t>378338</t>
  </si>
  <si>
    <t>932CEA60AC8C4BB882AF9106097AD038</t>
  </si>
  <si>
    <t>281916</t>
  </si>
  <si>
    <t>AD429163375647E2A492EE3BFB39C5D6</t>
  </si>
  <si>
    <t>195</t>
  </si>
  <si>
    <t>BF05F7FDD18C408AA9DA6C5DE10A714D</t>
  </si>
  <si>
    <t>69</t>
  </si>
  <si>
    <t>P-A</t>
  </si>
  <si>
    <t>F7D4A23348444B63B0853664FB0D1655</t>
  </si>
  <si>
    <t>171175</t>
  </si>
  <si>
    <t>B376AC18747340D9AAE2C55223E1952B</t>
  </si>
  <si>
    <t>10304788</t>
  </si>
  <si>
    <t>A84F6DF15CE641B68419AA0E4E1B621C</t>
  </si>
  <si>
    <t>10304302</t>
  </si>
  <si>
    <t>DE31EB7DCFE84EBF92230E920AAF38C8</t>
  </si>
  <si>
    <t>17-71-30</t>
  </si>
  <si>
    <t>7AC4C1D579F043D09993A409293C8FEC</t>
  </si>
  <si>
    <t>477959</t>
  </si>
  <si>
    <t>4FD796340A614FC8A50F5615CE6CD3A6</t>
  </si>
  <si>
    <t>170629</t>
  </si>
  <si>
    <t>90344C8C8D0C4C5DA82F64C2E2D986B3</t>
  </si>
  <si>
    <t>291227</t>
  </si>
  <si>
    <t>30AC205A61D74704999965579825C0A0</t>
  </si>
  <si>
    <t>10304455</t>
  </si>
  <si>
    <t>E0180E46DF6E43008CDA474FD7C361A2</t>
  </si>
  <si>
    <t>10304431</t>
  </si>
  <si>
    <t>702EAA32B8604858BC5DC96B3CE6441D</t>
  </si>
  <si>
    <t>10304384</t>
  </si>
  <si>
    <t>F8DA4895FC3248178D3825D611FA6612</t>
  </si>
  <si>
    <t>BD9E434DB1A84EA9BFB2490E1E65039C</t>
  </si>
  <si>
    <t>449431</t>
  </si>
  <si>
    <t>5C48C4E9E0CC40F8A5714D9EEBC639A5</t>
  </si>
  <si>
    <t>6</t>
  </si>
  <si>
    <t>A02C173AA65C422E8181C64311F0EA9F</t>
  </si>
  <si>
    <t>7</t>
  </si>
  <si>
    <t>F40C0B7856B44AA1B516E5C8C8EB05C7</t>
  </si>
  <si>
    <t>485577</t>
  </si>
  <si>
    <t>86189ED733644175BF91CE93BAA25BA1</t>
  </si>
  <si>
    <t>028185</t>
  </si>
  <si>
    <t>84811BBDADE14F84B7807661A075F969</t>
  </si>
  <si>
    <t>16453</t>
  </si>
  <si>
    <t>E8E5993203404921B99453693DF2E10F</t>
  </si>
  <si>
    <t>07-84-33</t>
  </si>
  <si>
    <t>P-TALISAY  MENDOZA</t>
  </si>
  <si>
    <t>4AD7CD463D404F308591502516C9A644</t>
  </si>
  <si>
    <t>17-68-08</t>
  </si>
  <si>
    <t>46C014C262AB4A368593934CEA7DB9FB</t>
  </si>
  <si>
    <t>14-18-41</t>
  </si>
  <si>
    <t>512C6EB9816A4941B2EA373EFE9E2E27</t>
  </si>
  <si>
    <t>244</t>
  </si>
  <si>
    <t>0BFE060FC193489B92D0243ACAC9D739</t>
  </si>
  <si>
    <t>382</t>
  </si>
  <si>
    <t>5D83E23E0C0740B9B64497586A1250D3</t>
  </si>
  <si>
    <t>10304548</t>
  </si>
  <si>
    <t>P-ZONE 5</t>
  </si>
  <si>
    <t>B67641EC9BFE4A19A2C145BF3A7B4CD3</t>
  </si>
  <si>
    <t>943466</t>
  </si>
  <si>
    <t>FB6D405A289C40118529FA5FA984B469</t>
  </si>
  <si>
    <t>480735</t>
  </si>
  <si>
    <t>P14</t>
  </si>
  <si>
    <t>BF55C2F3E77F4809B07420D3D57903CB</t>
  </si>
  <si>
    <t>V. Ilustre St.</t>
  </si>
  <si>
    <t>213623</t>
  </si>
  <si>
    <t>1238D903CE424FC595C1C7B4014BD12C</t>
  </si>
  <si>
    <t>RICARDO LIMSO MEDICAL CENTER, INC.</t>
  </si>
  <si>
    <t>969743</t>
  </si>
  <si>
    <t>P21</t>
  </si>
  <si>
    <t>DFA2D1BEF69E47659302EAEF996DB1FA</t>
  </si>
  <si>
    <t>P. FUENTES</t>
  </si>
  <si>
    <t>1036807</t>
  </si>
  <si>
    <t>494450F81190400098760C1915D15114</t>
  </si>
  <si>
    <t>488110</t>
  </si>
  <si>
    <t>7FD1A30BDE4A44F4B24EE3A0007BF840</t>
  </si>
  <si>
    <t>BANKEROHAN NORTE</t>
  </si>
  <si>
    <t>194</t>
  </si>
  <si>
    <t>C589C1993EF14EBBB7479A30B7157B2A</t>
  </si>
  <si>
    <t>9F1D96C379994955871A66E8DECBB1A2</t>
  </si>
  <si>
    <t>246</t>
  </si>
  <si>
    <t>1AF399BFCEB14E8FB32AF9F9294722BE</t>
  </si>
  <si>
    <t>1013548</t>
  </si>
  <si>
    <t>C49422243DEF4C499FF82645F4CD179E</t>
  </si>
  <si>
    <t>TAMIA</t>
  </si>
  <si>
    <t>488389</t>
  </si>
  <si>
    <t>045F6441BB834297BCE649EF5A77F037</t>
  </si>
  <si>
    <t>168504</t>
  </si>
  <si>
    <t>P-CRYSANTHIMUM</t>
  </si>
  <si>
    <t>96D10AEEB619481781EE00E8FDDBE19D</t>
  </si>
  <si>
    <t>340312</t>
  </si>
  <si>
    <t>547EEA8AB4054FB79F0D8ACD5D6CBF3E</t>
  </si>
  <si>
    <t>168515</t>
  </si>
  <si>
    <t>73F209C039694438A4185536BFEBFEE0</t>
  </si>
  <si>
    <t>15-52-63</t>
  </si>
  <si>
    <t>A5B41EC0066C472BB51D0BA80A949B9F</t>
  </si>
  <si>
    <t>990458</t>
  </si>
  <si>
    <t>82F74E23A53443CAB60AC8D716A72A41</t>
  </si>
  <si>
    <t>168526</t>
  </si>
  <si>
    <t>P-UNDAGAN</t>
  </si>
  <si>
    <t>90AA6F38E6D3440A87714A40EB370502</t>
  </si>
  <si>
    <t>16-99-55</t>
  </si>
  <si>
    <t>P2 SAN FRANCISCO</t>
  </si>
  <si>
    <t>99EFACBC01A940EF9787EA0C289B6144</t>
  </si>
  <si>
    <t>SAN JUAN</t>
  </si>
  <si>
    <t>1036639</t>
  </si>
  <si>
    <t>0AC6929DC7E44C67918924FA1953793B</t>
  </si>
  <si>
    <t>AAF4E9A397224B15A551BB103F404C20</t>
  </si>
  <si>
    <t>488197</t>
  </si>
  <si>
    <t>FB1D9CE931234BA88BB497B3B9A6CE1E</t>
  </si>
  <si>
    <t>SAN JOSE</t>
  </si>
  <si>
    <t>17-63-94</t>
  </si>
  <si>
    <t>7A12E8FC65C74E76971BC333B0428081</t>
  </si>
  <si>
    <t>TAGLAWIG</t>
  </si>
  <si>
    <t>15-94-98</t>
  </si>
  <si>
    <t>3C6693A1F9AC4B9E91CE3FF445325EA9</t>
  </si>
  <si>
    <t>MATIAO</t>
  </si>
  <si>
    <t>P-LOMBOY</t>
  </si>
  <si>
    <t>7DE3702AFFF84DD9BB33D6FA12A52ED9</t>
  </si>
  <si>
    <t>359882</t>
  </si>
  <si>
    <t>6565A1B77CD5496588BBAB38BFA97C09</t>
  </si>
  <si>
    <t>PASIAN (SANTA FILOMENA)</t>
  </si>
  <si>
    <t>063702</t>
  </si>
  <si>
    <t>01A6BEAD0A33462B9D0494FD157D3B5C</t>
  </si>
  <si>
    <t>EL KATIPUNAN</t>
  </si>
  <si>
    <t>TOWNSITE, KINGKING, PANTUKAN, DAVAO DE ORO</t>
  </si>
  <si>
    <t>17-87-50</t>
  </si>
  <si>
    <t>C8F371566F984C6480684AA0EF27DE28</t>
  </si>
  <si>
    <t>DAVAO DE ORO PROVINCIAL HOSPITAL-PANTUKAN</t>
  </si>
  <si>
    <t>162</t>
  </si>
  <si>
    <t>52236C0D35CE46A7BCE31CBD507BC1CD</t>
  </si>
  <si>
    <t>10304575</t>
  </si>
  <si>
    <t>2D442BBAA3304EA4B8BF9765DDE01021</t>
  </si>
  <si>
    <t>36</t>
  </si>
  <si>
    <t>0FA2CC67464A457DAD876E53ADEC8832</t>
  </si>
  <si>
    <t>16-07-01</t>
  </si>
  <si>
    <t>86C22348DEDC4FBA9983DE1034C4C3F5</t>
  </si>
  <si>
    <t>26765</t>
  </si>
  <si>
    <t>9A05C9BC175446E196D2B05C46F9AC1A</t>
  </si>
  <si>
    <t>17-49-23</t>
  </si>
  <si>
    <t>DEC68E0047EF40198D6AB4DAF57F6E02</t>
  </si>
  <si>
    <t>189</t>
  </si>
  <si>
    <t>9DB326F6C91B4FD7A48AE6E37B29035C</t>
  </si>
  <si>
    <t>182</t>
  </si>
  <si>
    <t>P-PAGSILAAN</t>
  </si>
  <si>
    <t>A282496C9E724581A434E659AB3DAE2E</t>
  </si>
  <si>
    <t>10304297</t>
  </si>
  <si>
    <t>6A6D1E81A4034E1B854601D7EA9A06DB</t>
  </si>
  <si>
    <t>56</t>
  </si>
  <si>
    <t>7F249EDB64564E3C8DFEC2652105466A</t>
  </si>
  <si>
    <t>108</t>
  </si>
  <si>
    <t>5E35E9E8D0014A5C9F888E3FC24B8011</t>
  </si>
  <si>
    <t>104</t>
  </si>
  <si>
    <t>8CEFB55DB5514A2D8E09DC6D5FA1AAE0</t>
  </si>
  <si>
    <t>171357</t>
  </si>
  <si>
    <t>P-QUEZON</t>
  </si>
  <si>
    <t>6B84A9CA5DB64B56A873E9BC9D4D8412</t>
  </si>
  <si>
    <t>157</t>
  </si>
  <si>
    <t>Z10</t>
  </si>
  <si>
    <t>E66C4821DCC64DA3805B4BEA7151E1C4</t>
  </si>
  <si>
    <t>MACO</t>
  </si>
  <si>
    <t>17-67-59</t>
  </si>
  <si>
    <t>AD6E00FD71C44D89854670F469C806D9</t>
  </si>
  <si>
    <t>RHU MACO</t>
  </si>
  <si>
    <t>326401</t>
  </si>
  <si>
    <t>C2D7504D36E6470BA08CDDC359E804AD</t>
  </si>
  <si>
    <t>455618</t>
  </si>
  <si>
    <t>158908AB992740D38FE12A9320A45B90</t>
  </si>
  <si>
    <t>326</t>
  </si>
  <si>
    <t>P-MAKIANGAYON</t>
  </si>
  <si>
    <t>7CD2E199C8E6448E8936F4E81FBB90E1</t>
  </si>
  <si>
    <t>16-65-39</t>
  </si>
  <si>
    <t>P-MAGHIUSA</t>
  </si>
  <si>
    <t>8D294BBA890B4A2DA747F8E6D6F71F8A</t>
  </si>
  <si>
    <t>10-81-63</t>
  </si>
  <si>
    <t>02025F2278E2441782C356F457DDBA8C</t>
  </si>
  <si>
    <t>57B5CE46FEF74EEFB5840B43F711C066</t>
  </si>
  <si>
    <t>148636</t>
  </si>
  <si>
    <t>7B6DE2CDC5FB448F943783B4CBF2E7F5</t>
  </si>
  <si>
    <t>171952</t>
  </si>
  <si>
    <t>P. MANGGA</t>
  </si>
  <si>
    <t>0AD2411390B949A3AFB0717482863098</t>
  </si>
  <si>
    <t>TALIAN</t>
  </si>
  <si>
    <t>17-10-70</t>
  </si>
  <si>
    <t>2A1E711FE0794FA2B12B3172D90A500A</t>
  </si>
  <si>
    <t>327</t>
  </si>
  <si>
    <t>9CACE80DD9CD4866B248250C5E48EB38</t>
  </si>
  <si>
    <t>64FED4C845434C1F86E9EC622604CE61</t>
  </si>
  <si>
    <t>CEBULIDA</t>
  </si>
  <si>
    <t>054259</t>
  </si>
  <si>
    <t>989AD8C72F224F51B5925983EF0843D8</t>
  </si>
  <si>
    <t>INACAYAN</t>
  </si>
  <si>
    <t>ABEE36D0BA974F9AA8099183C5B04168</t>
  </si>
  <si>
    <t>368081</t>
  </si>
  <si>
    <t>286AADE3C2BA4F659842B46084CCC829</t>
  </si>
  <si>
    <t>E40D82B3022E4A378A8CA4EF0656745B</t>
  </si>
  <si>
    <t>0338518063E842D49F0831F8A16C0A2C</t>
  </si>
  <si>
    <t>20B8653BB4D44C3B8287B5CE82BEE35C</t>
  </si>
  <si>
    <t>1A4B924682A9452AACBE8EAE5D303095</t>
  </si>
  <si>
    <t>403077</t>
  </si>
  <si>
    <t>EC3E42C275E04E7C880F0960898B71B9</t>
  </si>
  <si>
    <t>231</t>
  </si>
  <si>
    <t>79E0D6C6CE11400B8E1ECA5911CAE289</t>
  </si>
  <si>
    <t>341935</t>
  </si>
  <si>
    <t>FD129AE7644247BBBE81205950E28E65</t>
  </si>
  <si>
    <t>13-11-69</t>
  </si>
  <si>
    <t>0830C0A8DEF14194AA3C0B03D3CD6739</t>
  </si>
  <si>
    <t>35</t>
  </si>
  <si>
    <t>5335C043361E43C98F4C159984EF6AF9</t>
  </si>
  <si>
    <t>1021856</t>
  </si>
  <si>
    <t>P-MAALAGARON</t>
  </si>
  <si>
    <t>AE1F405876804E699B2F2EFEFE4072CA</t>
  </si>
  <si>
    <t>148420</t>
  </si>
  <si>
    <t>P-MANGGA</t>
  </si>
  <si>
    <t>729B5809387048E69AF0EE212094A285</t>
  </si>
  <si>
    <t>355120</t>
  </si>
  <si>
    <t>BCDC88FB8463461FA478A707F2FCD8F1</t>
  </si>
  <si>
    <t>BEF912EF20524BC294D18BACC7E1DBBA</t>
  </si>
  <si>
    <t>161102</t>
  </si>
  <si>
    <t>P-LEMOSITO</t>
  </si>
  <si>
    <t>B736F66977B9414B8090A077C81E189D</t>
  </si>
  <si>
    <t>P-1 POBLACION,  MAWAB, DAVAO DE ORO</t>
  </si>
  <si>
    <t>01-15-82</t>
  </si>
  <si>
    <t>D68AA0131808406BACC8F03A1F8AADBA</t>
  </si>
  <si>
    <t>11-57-11</t>
  </si>
  <si>
    <t>P-SAN ANTONIO</t>
  </si>
  <si>
    <t>8BFFB4F42C1A4BCE9BD1998BB7FBE023</t>
  </si>
  <si>
    <t>183</t>
  </si>
  <si>
    <t>ACC9505DAEFE4324A61339C76A400D03</t>
  </si>
  <si>
    <t>207447</t>
  </si>
  <si>
    <t>P3B</t>
  </si>
  <si>
    <t>95A9378FC84B48A1BD53AF5C5057F10E</t>
  </si>
  <si>
    <t>10303465</t>
  </si>
  <si>
    <t>P1 KM7</t>
  </si>
  <si>
    <t>58729F084758471E9758A95A300CCADB</t>
  </si>
  <si>
    <t>1029560</t>
  </si>
  <si>
    <t>4022C87D69FA4FE3836B34D18527CAD3</t>
  </si>
  <si>
    <t>171128</t>
  </si>
  <si>
    <t>471B5A5742CC47109F0A71EF4297818B</t>
  </si>
  <si>
    <t>CABIDIANAN</t>
  </si>
  <si>
    <t>479800</t>
  </si>
  <si>
    <t>F75BC9AF984E4C4B94370A0A93D7A4CA</t>
  </si>
  <si>
    <t>BAYLO</t>
  </si>
  <si>
    <t>11-41-36</t>
  </si>
  <si>
    <t>8C480FC7F2B9411DA9CB5B09C8545DB4</t>
  </si>
  <si>
    <t>066109</t>
  </si>
  <si>
    <t>BDE7CF8CF78443B6BBAD9C1D91793B15</t>
  </si>
  <si>
    <t>007712</t>
  </si>
  <si>
    <t>FB90572F87534248B0EFBC3F535C2688</t>
  </si>
  <si>
    <t>452492</t>
  </si>
  <si>
    <t>4AA300A9FA044735BC15FD09904EFDDB</t>
  </si>
  <si>
    <t>3505582</t>
  </si>
  <si>
    <t>D</t>
  </si>
  <si>
    <t>93AAC4108D124E5FA3CD12DC60693746</t>
  </si>
  <si>
    <t>11-65-79</t>
  </si>
  <si>
    <t>834C287F90034DCE9E5502531453CD70</t>
  </si>
  <si>
    <t>01-08-36</t>
  </si>
  <si>
    <t>A8A7709CE69142AA89279FBF307DF8BE</t>
  </si>
  <si>
    <t>NEW SIBONGA</t>
  </si>
  <si>
    <t>487173</t>
  </si>
  <si>
    <t>2BAE48DC119147B0AFDD3FFE779404DC</t>
  </si>
  <si>
    <t>63</t>
  </si>
  <si>
    <t>3523757D95244CAB862F5ECBC6BD09AD</t>
  </si>
  <si>
    <t>473724</t>
  </si>
  <si>
    <t>167D634C26264A99AF8A0AA1C054A0D1</t>
  </si>
  <si>
    <t>238</t>
  </si>
  <si>
    <t>A7FA01E7246047CE94DC66E57D7C8F57</t>
  </si>
  <si>
    <t>17-67-31</t>
  </si>
  <si>
    <t>P-ALAUYA</t>
  </si>
  <si>
    <t>9FB2F6DF90CE4C6E9DFB97E18F84B353</t>
  </si>
  <si>
    <t>BINUANGAN</t>
  </si>
  <si>
    <t>01-16-24</t>
  </si>
  <si>
    <t>DFB4E667BEAD44DABEAB92B1C96EEFF7</t>
  </si>
  <si>
    <t>MANSAKA</t>
  </si>
  <si>
    <t>158270</t>
  </si>
  <si>
    <t>726D99DCC00A457FBB2FCD89F10BC8CD</t>
  </si>
  <si>
    <t>15-92-18</t>
  </si>
  <si>
    <t>5D8C9B20385A44448AC8E97E31418880</t>
  </si>
  <si>
    <t>NEW LEYTE</t>
  </si>
  <si>
    <t>171183</t>
  </si>
  <si>
    <t>642CF53D8F4E43B8AD9807A7A990163D</t>
  </si>
  <si>
    <t>NEW PANAY</t>
  </si>
  <si>
    <t>249</t>
  </si>
  <si>
    <t>FEBEE0D87DAD40898323781915787204</t>
  </si>
  <si>
    <t>376</t>
  </si>
  <si>
    <t>DC59D3717157497989252766DD07C17A</t>
  </si>
  <si>
    <t>250</t>
  </si>
  <si>
    <t>A17C5BD2AAF448A686D70558D097E24D</t>
  </si>
  <si>
    <t>485283</t>
  </si>
  <si>
    <t>6CA111DDEBC244FDAD5E2ADBCC860679</t>
  </si>
  <si>
    <t>94</t>
  </si>
  <si>
    <t>D093302D9231415589A975FB97B09BBA</t>
  </si>
  <si>
    <t>090</t>
  </si>
  <si>
    <t>27FFD76626AA4D77888CFCCC2893EA05</t>
  </si>
  <si>
    <t>10304567</t>
  </si>
  <si>
    <t>024C09157AFA46F48619A5B570D14AC6</t>
  </si>
  <si>
    <t>337</t>
  </si>
  <si>
    <t>D644714317614A689B4541F9D27275DD</t>
  </si>
  <si>
    <t>10304438</t>
  </si>
  <si>
    <t>P8 PANAMIN</t>
  </si>
  <si>
    <t>85D9688FD8E74EBD8815ECC0A86295AF</t>
  </si>
  <si>
    <t>484226</t>
  </si>
  <si>
    <t>5532ACC962684FB7A332CFBAE192A10F</t>
  </si>
  <si>
    <t>057988</t>
  </si>
  <si>
    <t>66A233BAE9314BD98A3BB6C4B74CD3A3</t>
  </si>
  <si>
    <t>054897</t>
  </si>
  <si>
    <t>4AA7114867994E23B03E70BDD695F9E4</t>
  </si>
  <si>
    <t>MANG</t>
  </si>
  <si>
    <t>159610409CBF47D0BAF91D25C256BA8A</t>
  </si>
  <si>
    <t>10304506</t>
  </si>
  <si>
    <t>DEC2EBB1B286430081BAAB4BAFA83A6E</t>
  </si>
  <si>
    <t>11-98-93</t>
  </si>
  <si>
    <t>33EE7D0AF7764FF584E2F390A15B06C9</t>
  </si>
  <si>
    <t>166</t>
  </si>
  <si>
    <t>886A0EEDC4244ED69A73D90DFEE555D8</t>
  </si>
  <si>
    <t>1039705</t>
  </si>
  <si>
    <t>3F4520910D8A4B41A67F269D47B37940</t>
  </si>
  <si>
    <t>328</t>
  </si>
  <si>
    <t>F9C5756BDDE24926A221F2460C25CB19</t>
  </si>
  <si>
    <t>96</t>
  </si>
  <si>
    <t>CCF9E7622A2B4FD485F0D075B6A9C959</t>
  </si>
  <si>
    <t>21</t>
  </si>
  <si>
    <t>6DBCCD830DB7440BBB4983EB7D73DB77</t>
  </si>
  <si>
    <t>217</t>
  </si>
  <si>
    <t>C1CAE6748A14448181BF2FEE3BFBBB29</t>
  </si>
  <si>
    <t>97</t>
  </si>
  <si>
    <t>1DD63D97AFA44528986E0E9AC20A894A</t>
  </si>
  <si>
    <t>235</t>
  </si>
  <si>
    <t>P-MATINABANGON</t>
  </si>
  <si>
    <t>3DB0F9FE6B59414CAB2D2F1B09DFC480</t>
  </si>
  <si>
    <t>73A01357ABA444C6A042BCE06AE2F182</t>
  </si>
  <si>
    <t>16-77-48</t>
  </si>
  <si>
    <t>P48</t>
  </si>
  <si>
    <t>3336DED305E244F688DD5906D8359DEA</t>
  </si>
  <si>
    <t>171097</t>
  </si>
  <si>
    <t>P-MACOPA NEW NEGROS</t>
  </si>
  <si>
    <t>DCCFC60100F14AC9B16F330C895F29B5</t>
  </si>
  <si>
    <t>01-54-74</t>
  </si>
  <si>
    <t>0F3F56B840F64F42B22BC0E7DDA0FF38</t>
  </si>
  <si>
    <t>483779</t>
  </si>
  <si>
    <t>9DD450D33CC74FB5972DFEC815751D77</t>
  </si>
  <si>
    <t>488727</t>
  </si>
  <si>
    <t>3CDB8D79F2584EB697FAF4FBDC6A72CF</t>
  </si>
  <si>
    <t>476239</t>
  </si>
  <si>
    <t>0CFB22411C73458B983A8C50CAD14EFD</t>
  </si>
  <si>
    <t>83</t>
  </si>
  <si>
    <t>862D20E6CE174FE8ACA6CF9F3C88C8E5</t>
  </si>
  <si>
    <t>C8B076F16E7C41578B60C37E003CC56A</t>
  </si>
  <si>
    <t>132</t>
  </si>
  <si>
    <t>2D0A453400A7436A82624170FB790BA9</t>
  </si>
  <si>
    <t>021260</t>
  </si>
  <si>
    <t>62C4F83172304C689991189938871E02</t>
  </si>
  <si>
    <t>IL PAPA</t>
  </si>
  <si>
    <t>10304130</t>
  </si>
  <si>
    <t>D959DFFCCFD14B77A1ADA8E3D0FB81E8</t>
  </si>
  <si>
    <t>187</t>
  </si>
  <si>
    <t>4AD40474554B4E46BE4E5296A5299C87</t>
  </si>
  <si>
    <t>F7C5F743EFD2474CAE1855E97C25EDD7</t>
  </si>
  <si>
    <t>LAHI</t>
  </si>
  <si>
    <t>42</t>
  </si>
  <si>
    <t>660C92DCB3D541D3869A5953181ABC11</t>
  </si>
  <si>
    <t>264</t>
  </si>
  <si>
    <t>5C0C5F80DB6C4F01B638C2615BB28CC0</t>
  </si>
  <si>
    <t>0098693</t>
  </si>
  <si>
    <t>F49E0FFF325C496EA783F7337DD7115D</t>
  </si>
  <si>
    <t>26</t>
  </si>
  <si>
    <t>P2C</t>
  </si>
  <si>
    <t>7502771DF7B04A129113CE78855B8E95</t>
  </si>
  <si>
    <t>61</t>
  </si>
  <si>
    <t>F95DA74F2CD040F5AAD1F42FC4B56E46</t>
  </si>
  <si>
    <t>17-48-74</t>
  </si>
  <si>
    <t>P 2A</t>
  </si>
  <si>
    <t>DE781219EF4D4DDFBC66D2D262308E42</t>
  </si>
  <si>
    <t>222</t>
  </si>
  <si>
    <t>39E87FABF15B4D5B910ADDA34A509367</t>
  </si>
  <si>
    <t>14-17-63</t>
  </si>
  <si>
    <t>01B209D1E6E042C7BEE3FAF78B007B17</t>
  </si>
  <si>
    <t>17-65-63</t>
  </si>
  <si>
    <t>B69C92C17B374A0FAF09A6C7440FA8B5</t>
  </si>
  <si>
    <t>15-02-14</t>
  </si>
  <si>
    <t>P4 MADRE CACAO</t>
  </si>
  <si>
    <t>9F40C8A8A5F7421DB310E7AF19779142</t>
  </si>
  <si>
    <t>463740</t>
  </si>
  <si>
    <t>6E71AD9BD3AD4D6E967A315D50F5C0BF</t>
  </si>
  <si>
    <t>11-25-23</t>
  </si>
  <si>
    <t>P2 WAO</t>
  </si>
  <si>
    <t>840BEC3B3D4243E58472337D50245615</t>
  </si>
  <si>
    <t>175193</t>
  </si>
  <si>
    <t>P10 MIPANGI NABUNTURAN DAVAO DE ORIO</t>
  </si>
  <si>
    <t>41FF9862C0584716AB39BB5DCBD4B225</t>
  </si>
  <si>
    <t>8B67357E3BA44FCAAE11F6AFB91223C3</t>
  </si>
  <si>
    <t>377</t>
  </si>
  <si>
    <t>P-SAMAHAN CABUYUAN</t>
  </si>
  <si>
    <t>F1565F982DDF489A8B295302F7A63B98</t>
  </si>
  <si>
    <t>486405</t>
  </si>
  <si>
    <t>29BB6BABFCD94BE0B923E1714D762989</t>
  </si>
  <si>
    <t>374</t>
  </si>
  <si>
    <t>6F224006BEB74475906FDC331051EE01</t>
  </si>
  <si>
    <t>ALANGAN</t>
  </si>
  <si>
    <t>064307</t>
  </si>
  <si>
    <t>F2CA6CFECC5A4C9E8E0B2B8AF97A65F4</t>
  </si>
  <si>
    <t>17-02-35</t>
  </si>
  <si>
    <t>P-CONCEPTION</t>
  </si>
  <si>
    <t>121E06DB6DBD4FCB8B46BF5558CA16AA</t>
  </si>
  <si>
    <t>123</t>
  </si>
  <si>
    <t>68FB2E18202A45BAB6F70C459A2A447D</t>
  </si>
  <si>
    <t>284165</t>
  </si>
  <si>
    <t>6C4BC4CCEE584762BE5E3B0E536EACAB</t>
  </si>
  <si>
    <t>484949</t>
  </si>
  <si>
    <t>BC2D9F8923B04392B9AE622102332BEE</t>
  </si>
  <si>
    <t>CASOON</t>
  </si>
  <si>
    <t>486648</t>
  </si>
  <si>
    <t>6A3596A0226B45669A708DEE81D1FA62</t>
  </si>
  <si>
    <t>1030224</t>
  </si>
  <si>
    <t>75627AFD42264D8FA19B6FA0BCC11B0B</t>
  </si>
  <si>
    <t>08-11-72</t>
  </si>
  <si>
    <t>87A1AEFDB3424AA3B6AB0DBB1FEE1DA4</t>
  </si>
  <si>
    <t>149013</t>
  </si>
  <si>
    <t>8ADA484C2B6C4E549866E792E1825FB8</t>
  </si>
  <si>
    <t>036497</t>
  </si>
  <si>
    <t>B71D820A88C544718BE9F312E97D1B04</t>
  </si>
  <si>
    <t>14-89-81</t>
  </si>
  <si>
    <t>P4 STA TERESA</t>
  </si>
  <si>
    <t>B171D7960775492596D8FD091F52B783</t>
  </si>
  <si>
    <t>481578</t>
  </si>
  <si>
    <t>BED0BE13DC79498B8C331267A702B7A0</t>
  </si>
  <si>
    <t>15-93-13</t>
  </si>
  <si>
    <t>7BFEA81DF36B45AEA630552974140006</t>
  </si>
  <si>
    <t>95</t>
  </si>
  <si>
    <t>BA72BB77DAA34B81A7D7189BBFF2F1AB</t>
  </si>
  <si>
    <t>389337</t>
  </si>
  <si>
    <t>75FDC82099C846618761906C90762492</t>
  </si>
  <si>
    <t>07-42-21</t>
  </si>
  <si>
    <t>P 5</t>
  </si>
  <si>
    <t>567BC7928E8B4B4E98CC383CBCDD6D20</t>
  </si>
  <si>
    <t>168584</t>
  </si>
  <si>
    <t>2E22F705B4F14E9783AD6A0089482D79</t>
  </si>
  <si>
    <t>MAHAYAHAY</t>
  </si>
  <si>
    <t>62</t>
  </si>
  <si>
    <t>5072A95991FF4E858DB2ABEB23D178C0</t>
  </si>
  <si>
    <t>221</t>
  </si>
  <si>
    <t>P3 TAGUDIONG</t>
  </si>
  <si>
    <t>73AB223385C04A94BF23CC2C593E33FD</t>
  </si>
  <si>
    <t>482998</t>
  </si>
  <si>
    <t>35A0EBE0CC3745ACBD442951D43DFA59</t>
  </si>
  <si>
    <t>5C284BF7F45C4D5B93CDD21E52E7A41D</t>
  </si>
  <si>
    <t>375193</t>
  </si>
  <si>
    <t>46D06FD514DF47E99D0036226A3E8EB3</t>
  </si>
  <si>
    <t>214</t>
  </si>
  <si>
    <t>C327289327064A57830482FDAF31BEB1</t>
  </si>
  <si>
    <t>415998</t>
  </si>
  <si>
    <t>BE08BA6B602444A58118029A1680378E</t>
  </si>
  <si>
    <t>ANTIQUERA</t>
  </si>
  <si>
    <t>481503</t>
  </si>
  <si>
    <t>B1F316756B454A0382D2075289D76B92</t>
  </si>
  <si>
    <t>91</t>
  </si>
  <si>
    <t>DCF99C53F2E348849C726B957ABCD993</t>
  </si>
  <si>
    <t>57</t>
  </si>
  <si>
    <t>F5AD19DCB24243BAAB0B00F54B523809</t>
  </si>
  <si>
    <t>443734</t>
  </si>
  <si>
    <t>1B2EE53F6AB542228980845A8968518E</t>
  </si>
  <si>
    <t>364306</t>
  </si>
  <si>
    <t>CE770142BD584B98A95661D1A54F3751</t>
  </si>
  <si>
    <t>NABOC</t>
  </si>
  <si>
    <t>174</t>
  </si>
  <si>
    <t>6AFA6FEDACF44EAA9B0803078268C351</t>
  </si>
  <si>
    <t>67886</t>
  </si>
  <si>
    <t>1932FA75CB174704A30717A86156D8B5</t>
  </si>
  <si>
    <t>229</t>
  </si>
  <si>
    <t>7C2143FD860F48ACAC580FBD44CAC64E</t>
  </si>
  <si>
    <t>001744</t>
  </si>
  <si>
    <t>10084009EAB04401B266F76F44736447</t>
  </si>
  <si>
    <t>LANGTUD</t>
  </si>
  <si>
    <t>10304662</t>
  </si>
  <si>
    <t>36438B749CC44533BB83FCD6804567C1</t>
  </si>
  <si>
    <t>467040</t>
  </si>
  <si>
    <t>7730793901094D059A2A2139A62402BE</t>
  </si>
  <si>
    <t>F9133F6DCC694AF8B8A76D86DF809D34</t>
  </si>
  <si>
    <t>299504</t>
  </si>
  <si>
    <t>9C9882B0AFA043FF99817607E72A1566</t>
  </si>
  <si>
    <t>203</t>
  </si>
  <si>
    <t>FA0CEF240C3641DD9F3D09FB545BE42D</t>
  </si>
  <si>
    <t>10304563</t>
  </si>
  <si>
    <t>FE57207B39A74A8F9FAEDDE3BD7C60B9</t>
  </si>
  <si>
    <t>17-67-33</t>
  </si>
  <si>
    <t>5ADA9AA364FD4B9BB20301B66B5594FC</t>
  </si>
  <si>
    <t>P-CAMANSI</t>
  </si>
  <si>
    <t>75174888BD3C4DBAB6178D1BCCCB9547</t>
  </si>
  <si>
    <t>86</t>
  </si>
  <si>
    <t>0243767D5A4B4C66BB77BE46464DBD8D</t>
  </si>
  <si>
    <t>16-00-92</t>
  </si>
  <si>
    <t>C367E746273043F79B43D37F48893B20</t>
  </si>
  <si>
    <t>CE4643BE09B44CFDB8D5FC0A26C46A4C</t>
  </si>
  <si>
    <t>370</t>
  </si>
  <si>
    <t>BANLUD LIBUDON</t>
  </si>
  <si>
    <t>3D87BBE90E4F4B848B8497A6841279AE</t>
  </si>
  <si>
    <t>60</t>
  </si>
  <si>
    <t>8200D786FBA24E14B9214CCE921C18D7</t>
  </si>
  <si>
    <t>423664</t>
  </si>
  <si>
    <t>0E03D814094348A5A5169CFBD38F014C</t>
  </si>
  <si>
    <t>15-40-48</t>
  </si>
  <si>
    <t>13654B708FF2407182BDD553062CC468</t>
  </si>
  <si>
    <t>1001294</t>
  </si>
  <si>
    <t>912E936EDA2B48C4B88A97D6D0AE5F4E</t>
  </si>
  <si>
    <t>15-13-75</t>
  </si>
  <si>
    <t>6B7C3F46557242DBA5B70D92825237DF</t>
  </si>
  <si>
    <t>10304403</t>
  </si>
  <si>
    <t>9047CCABB6D0429DA7D6E2B0D1752E7B</t>
  </si>
  <si>
    <t>CALABCAB</t>
  </si>
  <si>
    <t>392514</t>
  </si>
  <si>
    <t>426D3E67489C4C1BB4850261962B7997</t>
  </si>
  <si>
    <t>76F1C04137EA45539532C7F271B39F24</t>
  </si>
  <si>
    <t>059408</t>
  </si>
  <si>
    <t>A61CB56BC114426E8C874DBA344CEB89</t>
  </si>
  <si>
    <t>17-55-08</t>
  </si>
  <si>
    <t>28F880BEF8E54818A37C7CFCF29007F2</t>
  </si>
  <si>
    <t>336</t>
  </si>
  <si>
    <t>P-10</t>
  </si>
  <si>
    <t>0C95738049D14A38801110B4BEAE5C5A</t>
  </si>
  <si>
    <t>181</t>
  </si>
  <si>
    <t>D6F0570CACBD49ACA199E73D5F6E92AD</t>
  </si>
  <si>
    <t>072510</t>
  </si>
  <si>
    <t>P. BUYO</t>
  </si>
  <si>
    <t>D4F4691B463946408549789D32D8C891</t>
  </si>
  <si>
    <t>17-33-57</t>
  </si>
  <si>
    <t>P-MADRE DE CACAO</t>
  </si>
  <si>
    <t>A5653D3E2EA742C0B518DE81C8E4CBBF</t>
  </si>
  <si>
    <t>24</t>
  </si>
  <si>
    <t>PAC</t>
  </si>
  <si>
    <t>B87D699D1FD2482589DE43BA9EFEF977</t>
  </si>
  <si>
    <t>438610</t>
  </si>
  <si>
    <t>E04B400FEFBC42EF9E89AC4BE7D6929D</t>
  </si>
  <si>
    <t>137</t>
  </si>
  <si>
    <t>9D477893D8994664B2535F8B633A70EC</t>
  </si>
  <si>
    <t>138</t>
  </si>
  <si>
    <t>0BB76E2336CC422A8CBB5D45A84CB525</t>
  </si>
  <si>
    <t>A6007845397A452BA01DA374806F932D</t>
  </si>
  <si>
    <t>13-69-16</t>
  </si>
  <si>
    <t>5B286E4AC1404043BA3FC1C22F4DCF29</t>
  </si>
  <si>
    <t>035616</t>
  </si>
  <si>
    <t>10F55839FC9C4447B2D1AC7F2EC880B8</t>
  </si>
  <si>
    <t>ALABA EMERGENCY CLINIC AND HOSPITAL</t>
  </si>
  <si>
    <t>487404</t>
  </si>
  <si>
    <t>05061123C1D148D09E1F4FDC02233AFE</t>
  </si>
  <si>
    <t>170735</t>
  </si>
  <si>
    <t>P-AGUILA</t>
  </si>
  <si>
    <t>238A5016EF334C0A8DFF7EB71A38FDBD</t>
  </si>
  <si>
    <t>17-65-08</t>
  </si>
  <si>
    <t>BD7BB62737FC4190BCCCA2352ACC36B9</t>
  </si>
  <si>
    <t>50</t>
  </si>
  <si>
    <t>21C6C9D7A89D48C1BF4B58D067959321</t>
  </si>
  <si>
    <t>1038568</t>
  </si>
  <si>
    <t>5F68EFD08ED54D148CA64EFF138141FD</t>
  </si>
  <si>
    <t>10304568</t>
  </si>
  <si>
    <t>F8A59CD988BB45EBA7BE60C249191A21</t>
  </si>
  <si>
    <t>16-49-17</t>
  </si>
  <si>
    <t>753B954C628A4001A715BA93BAEFA4D4</t>
  </si>
  <si>
    <t>10304574</t>
  </si>
  <si>
    <t>34C1452DD42D4464AB6954A219FE6471</t>
  </si>
  <si>
    <t>10304556</t>
  </si>
  <si>
    <t>7C2E78E220FC4705BB9198542CE3B4F5</t>
  </si>
  <si>
    <t>17-39-18</t>
  </si>
  <si>
    <t>P-CADAYON</t>
  </si>
  <si>
    <t>9BC0C687930F456C94726F8833290D0B</t>
  </si>
  <si>
    <t>01-33-66</t>
  </si>
  <si>
    <t>27B350E1ECB84E7B80FC3E3286977F92</t>
  </si>
  <si>
    <t>251</t>
  </si>
  <si>
    <t>EFCC143316D148519149DF42CFD65B51</t>
  </si>
  <si>
    <t>11-13-93</t>
  </si>
  <si>
    <t>P4 BIASONG</t>
  </si>
  <si>
    <t>D5A26498484D4965B4CB1405B227C189</t>
  </si>
  <si>
    <t>98</t>
  </si>
  <si>
    <t>A311E97B649B40B1AFB2A706F1FD8096</t>
  </si>
  <si>
    <t>323</t>
  </si>
  <si>
    <t>P-12 CAPOC</t>
  </si>
  <si>
    <t>B15B1E8309F7416BBD4C99238CCD6EAE</t>
  </si>
  <si>
    <t>188</t>
  </si>
  <si>
    <t>DBE6FD51C99C45198D403F7C7F05A9D7</t>
  </si>
  <si>
    <t>171463</t>
  </si>
  <si>
    <t>P-PUSO</t>
  </si>
  <si>
    <t>61304022F5BE43158016FFA3F74D11DD</t>
  </si>
  <si>
    <t>TAG-UGPO</t>
  </si>
  <si>
    <t>B3B6A5632B084A9B833F82479B4A6DFF</t>
  </si>
  <si>
    <t>16-44-53</t>
  </si>
  <si>
    <t>P-HIJO</t>
  </si>
  <si>
    <t>CF4F33B0A8DA4D9F84140D4C45C0790F</t>
  </si>
  <si>
    <t>D3106C7F6F1641808E6943FBD4285892</t>
  </si>
  <si>
    <t>BEB37C5A7B3B4222B976449E00797593</t>
  </si>
  <si>
    <t>10304573</t>
  </si>
  <si>
    <t>0F565FAD4FF344529142FC37BCC8A720</t>
  </si>
  <si>
    <t>007195</t>
  </si>
  <si>
    <t>50BDF08E31CB4E7EAA0378E0A91ED032</t>
  </si>
  <si>
    <t>485458</t>
  </si>
  <si>
    <t>008BA9E6A3404D32B509AC9D5A51AAEE</t>
  </si>
  <si>
    <t>158</t>
  </si>
  <si>
    <t>P1C</t>
  </si>
  <si>
    <t>BEF1CA42911C49C08DF9062F1781D332</t>
  </si>
  <si>
    <t>263338</t>
  </si>
  <si>
    <t>F605380EE9C94F3BB05F81E9BC0231B9</t>
  </si>
  <si>
    <t>059838</t>
  </si>
  <si>
    <t>P-CAIMETO</t>
  </si>
  <si>
    <t>0367B53F00E746D2882FE622C36CC07B</t>
  </si>
  <si>
    <t>89B6DD51EF8246D18A062C359279871E</t>
  </si>
  <si>
    <t>470783</t>
  </si>
  <si>
    <t>C66E8441F54E4EF4A6FE15631D88A9E7</t>
  </si>
  <si>
    <t>245</t>
  </si>
  <si>
    <t>71B8DEF3147740DEB94AAEBA95A68A66</t>
  </si>
  <si>
    <t>485871</t>
  </si>
  <si>
    <t>14B2297F9C484FEE986CB5309D386BB2</t>
  </si>
  <si>
    <t>17-48-05</t>
  </si>
  <si>
    <t>P-HOMELOT</t>
  </si>
  <si>
    <t>FA0A75AA59CF4F19963E25C0DCD7F169</t>
  </si>
  <si>
    <t>C94C6B5ADE8C4B9185E5794A8662F266</t>
  </si>
  <si>
    <t>197</t>
  </si>
  <si>
    <t>8D1077B121534871B3A4DBAAD19C0B1B</t>
  </si>
  <si>
    <t>1034528</t>
  </si>
  <si>
    <t>0691B7DB5A2D42F68944D38CDDA94F76</t>
  </si>
  <si>
    <t>17-87-33</t>
  </si>
  <si>
    <t>65B7544E9C724F8C86223E618D28BD89</t>
  </si>
  <si>
    <t>PANORAON</t>
  </si>
  <si>
    <t>362891</t>
  </si>
  <si>
    <t>AACDE734B251467AB1F9DC7E5FDE4CF7</t>
  </si>
  <si>
    <t>031048</t>
  </si>
  <si>
    <t>E4C4C408570E4051BBC38234176123C6</t>
  </si>
  <si>
    <t>17-86-02</t>
  </si>
  <si>
    <t>P-MAHIGUGMAON</t>
  </si>
  <si>
    <t>BEA6909B120247CAB1041132479A58A2</t>
  </si>
  <si>
    <t>117</t>
  </si>
  <si>
    <t>C3BA050B5ACB4CEE85347BB348C5C9BE</t>
  </si>
  <si>
    <t>208</t>
  </si>
  <si>
    <t>6D75466D2766499BB717BA1CADBC0D7C</t>
  </si>
  <si>
    <t>126</t>
  </si>
  <si>
    <t>9687DF69F4C54A83AAE54E6994943A92</t>
  </si>
  <si>
    <t>199</t>
  </si>
  <si>
    <t>B1CC5AE44302495A86EFFFDF1A6C4240</t>
  </si>
  <si>
    <t>319</t>
  </si>
  <si>
    <t>2E8859BD4B514525A0E1B38632D7C32C</t>
  </si>
  <si>
    <t>325</t>
  </si>
  <si>
    <t>P-2</t>
  </si>
  <si>
    <t>470C1DDE72F3447F90BA673BAAF9FCE3</t>
  </si>
  <si>
    <t>73</t>
  </si>
  <si>
    <t>613379CEF02B42688FDF38961276EDFF</t>
  </si>
  <si>
    <t>74</t>
  </si>
  <si>
    <t>9F92F235666C4B3E8CDC366AE0A7438A</t>
  </si>
  <si>
    <t>463000</t>
  </si>
  <si>
    <t>F0475F0A283D46B0841397A7B4A86CF4</t>
  </si>
  <si>
    <t>RAMBUTAN</t>
  </si>
  <si>
    <t>047B7734B5324FB9801921017277E3B4</t>
  </si>
  <si>
    <t>06-71-14</t>
  </si>
  <si>
    <t>P24</t>
  </si>
  <si>
    <t>E526BE1E809D4BA88571020BF76AED79</t>
  </si>
  <si>
    <t>06-09-30</t>
  </si>
  <si>
    <t>60187FABFDF54148A0BFCFB76AC4CCC0</t>
  </si>
  <si>
    <t>408722</t>
  </si>
  <si>
    <t>2B154480DD924BA6BA54354F6EB547A2</t>
  </si>
  <si>
    <t>340696</t>
  </si>
  <si>
    <t>C552DB84A4F64735AD71BC994667B62A</t>
  </si>
  <si>
    <t>15-87-54</t>
  </si>
  <si>
    <t>0F9F0D7AA9AE4F5F9E0362E8AB843E03</t>
  </si>
  <si>
    <t>9E6B9083594A45FEB9398C16C2E1B482</t>
  </si>
  <si>
    <t>16-84-21</t>
  </si>
  <si>
    <t>84929416EA144C5491A4B94850A2BCBD</t>
  </si>
  <si>
    <t>124</t>
  </si>
  <si>
    <t>56F684076B124EDFB2B98989C5D54C7F</t>
  </si>
  <si>
    <t>10304244</t>
  </si>
  <si>
    <t>8D26CF54AE8A477AB6EAE94D8BE2B6E8</t>
  </si>
  <si>
    <t>10366952</t>
  </si>
  <si>
    <t>46B8574A44534091AA9D19AF5C287BDD</t>
  </si>
  <si>
    <t>10304167</t>
  </si>
  <si>
    <t>4E0C7854776A4916B6A88AFF8C19FB42</t>
  </si>
  <si>
    <t>054995</t>
  </si>
  <si>
    <t>1388BEE185964A72BA2D92C8FC32070A</t>
  </si>
  <si>
    <t>12-46-17</t>
  </si>
  <si>
    <t>P4 CADENA</t>
  </si>
  <si>
    <t>5CA40BE545F04F73BB799AF79D7FE228</t>
  </si>
  <si>
    <t>483566</t>
  </si>
  <si>
    <t>FAFD807F68A1474383B31B318FE1B81C</t>
  </si>
  <si>
    <t>14-38-52</t>
  </si>
  <si>
    <t>7B2B64EA91384EC39C49EC7BCDA96406</t>
  </si>
  <si>
    <t>P-TALISAY</t>
  </si>
  <si>
    <t>E46A85C05E3E4E79ADA6B3292D3B886A</t>
  </si>
  <si>
    <t>10-19-20</t>
  </si>
  <si>
    <t>847E6C028EA045FB9F6E9499BFFC3C80</t>
  </si>
  <si>
    <t>DE255C36AB614E5187758531750ED5A8</t>
  </si>
  <si>
    <t>15-07-82</t>
  </si>
  <si>
    <t>P-MARAHIGA TUGOP</t>
  </si>
  <si>
    <t>B3AEFDEB79D34A95B9872264BA431AEA</t>
  </si>
  <si>
    <t>054120</t>
  </si>
  <si>
    <t>9AE1D10FCF8B497EBFD7308862266D1B</t>
  </si>
  <si>
    <t>967451C17C2842EA9624EFF9FE74B689</t>
  </si>
  <si>
    <t>B86E46FFEA0F4658932D7C7E54C49E8F</t>
  </si>
  <si>
    <t>08-49-25</t>
  </si>
  <si>
    <t>P8 MAITOM</t>
  </si>
  <si>
    <t>57D9287F54A442EB92D2A00C7D4F0D7D</t>
  </si>
  <si>
    <t>02-98-71</t>
  </si>
  <si>
    <t>P-MAITOM</t>
  </si>
  <si>
    <t>7614E03BDF15464B975B93D753001557</t>
  </si>
  <si>
    <t>D7BAC3E01ED4471EBB464042BFBE400A</t>
  </si>
  <si>
    <t>0020504BE0E0457082D03FB0DB33675D</t>
  </si>
  <si>
    <t>2BF383B556F1495B8962A98A5D7A1BDF</t>
  </si>
  <si>
    <t>26767</t>
  </si>
  <si>
    <t>0333791C9DCA448BB6F61D103DD45F7B</t>
  </si>
  <si>
    <t>241</t>
  </si>
  <si>
    <t>B40B31CD698C4D4AB5FB12CE8BB878C5</t>
  </si>
  <si>
    <t>442413</t>
  </si>
  <si>
    <t>0F240A1C56B24A8683AD3BDFB78C2ADE</t>
  </si>
  <si>
    <t>482970</t>
  </si>
  <si>
    <t>BB62DED168A543028415E961F3DD4A12</t>
  </si>
  <si>
    <t>486460</t>
  </si>
  <si>
    <t>A9D84D11D5D446CEACACF0CDFA79BB56</t>
  </si>
  <si>
    <t>481605</t>
  </si>
  <si>
    <t>77C9B40A518349A1917CCCEDE4C2AA02</t>
  </si>
  <si>
    <t>271</t>
  </si>
  <si>
    <t>4B2A6544F4D84082985FE4C3BF6386CB</t>
  </si>
  <si>
    <t>378</t>
  </si>
  <si>
    <t>99ED0E3586FA495F8402263FC23C2EC9</t>
  </si>
  <si>
    <t>17-51-64</t>
  </si>
  <si>
    <t>P6 BANLUD</t>
  </si>
  <si>
    <t>D9E5602C31A141438316731C9EBD8612</t>
  </si>
  <si>
    <t>17-56-35</t>
  </si>
  <si>
    <t>83525883D915411F8D63BACB0A4A09F0</t>
  </si>
  <si>
    <t>47</t>
  </si>
  <si>
    <t>5713A914690C495DA00D017B46AD680C</t>
  </si>
  <si>
    <t>00099967</t>
  </si>
  <si>
    <t>EFB37653D3F54282B2B01384ABC5F60F</t>
  </si>
  <si>
    <t>169</t>
  </si>
  <si>
    <t>P-MAG-UUMA</t>
  </si>
  <si>
    <t>335DB33191DE42579DD84E3D16C835C5</t>
  </si>
  <si>
    <t>157654</t>
  </si>
  <si>
    <t>DC7561F85F9442D2ABE462788A9F7184</t>
  </si>
  <si>
    <t>127FAAA2F1C34A2EBC41B62B2E444E97</t>
  </si>
  <si>
    <t>263219</t>
  </si>
  <si>
    <t>P14 NARRA ST ( DOÑA ALICIA)</t>
  </si>
  <si>
    <t>480CA318125546DC834A16BAF5F63983</t>
  </si>
  <si>
    <t>16-27-74</t>
  </si>
  <si>
    <t>B9C397BF134F482D85FE6ADD691BC738</t>
  </si>
  <si>
    <t>485661</t>
  </si>
  <si>
    <t>E0A0CCBD06A043FF904729115A556107</t>
  </si>
  <si>
    <t>BASAK</t>
  </si>
  <si>
    <t>486666</t>
  </si>
  <si>
    <t>11352E4244554B54A8304B39C6E19F37</t>
  </si>
  <si>
    <t>44</t>
  </si>
  <si>
    <t>4FFA8E4EBAC543C6A8888C0BB2AC4CD9</t>
  </si>
  <si>
    <t>207</t>
  </si>
  <si>
    <t>7C52435E3F3142108E6E78C206E22F46</t>
  </si>
  <si>
    <t>1032613</t>
  </si>
  <si>
    <t>P-ROSAL</t>
  </si>
  <si>
    <t>2D31E09894664A4DB82E5E964F911839</t>
  </si>
  <si>
    <t>SANTO NIÑO</t>
  </si>
  <si>
    <t>171369</t>
  </si>
  <si>
    <t>P. MARACO</t>
  </si>
  <si>
    <t>540DFD5449554C2C8013FCD9D2F0CCAD</t>
  </si>
  <si>
    <t>262</t>
  </si>
  <si>
    <t>F08F9718AC0B468DA260FA5CCC73B5F8</t>
  </si>
  <si>
    <t>168581</t>
  </si>
  <si>
    <t>8C99FD71B52B4BA589460D456C2EB5FD</t>
  </si>
  <si>
    <t>17-55-69</t>
  </si>
  <si>
    <t>97619814176C4C9CB00068E2E035BAAA</t>
  </si>
  <si>
    <t>111022</t>
  </si>
  <si>
    <t>P-MAINIT AGUACAN</t>
  </si>
  <si>
    <t>13CCD32C329F494AA378A8C149EB6EBF</t>
  </si>
  <si>
    <t>91059974DB1245829B9A9E54D01660DD</t>
  </si>
  <si>
    <t>P-BONIFACIO</t>
  </si>
  <si>
    <t>6F07D6EE73D04D3EB3E7B1AB11694D54</t>
  </si>
  <si>
    <t>44361B1F901C455DB37E38C2529BF4CC</t>
  </si>
  <si>
    <t>100533</t>
  </si>
  <si>
    <t>2596971F5ECC4457AC6EC00725797060</t>
  </si>
  <si>
    <t>06-54-60</t>
  </si>
  <si>
    <t>P-MALIPAYON</t>
  </si>
  <si>
    <t>92B58842403B40B8921C399BF9D7CAC2</t>
  </si>
  <si>
    <t>1019865</t>
  </si>
  <si>
    <t>P8 AMOR CRUZ</t>
  </si>
  <si>
    <t>FEB39E38369849FAB8BC116288345F02</t>
  </si>
  <si>
    <t>168473</t>
  </si>
  <si>
    <t>1337A37CE44D44B2AE0C5BE76E5DF3F5</t>
  </si>
  <si>
    <t>1035171</t>
  </si>
  <si>
    <t>594EDC7F781942C08332613A0B0635A2</t>
  </si>
  <si>
    <t>3429776</t>
  </si>
  <si>
    <t>164B6A2B74584C468105E8D9BDFEE9E7</t>
  </si>
  <si>
    <t>3329ED559BF14BAC878BBAAAA4372512</t>
  </si>
  <si>
    <t>E99617D706D7496A84A09AB3D2BAE233</t>
  </si>
  <si>
    <t>171436</t>
  </si>
  <si>
    <t>P-SAMBAG</t>
  </si>
  <si>
    <t>275BC6D81283497DAD965FE59560B15D</t>
  </si>
  <si>
    <t>107</t>
  </si>
  <si>
    <t>B02ECBE7D0AE4997B792F4AB750A6630</t>
  </si>
  <si>
    <t>17-81-20</t>
  </si>
  <si>
    <t>P 3</t>
  </si>
  <si>
    <t>BB0F6301CF354BF6AF566C79B5534EED</t>
  </si>
  <si>
    <t>10-59-37</t>
  </si>
  <si>
    <t>0DEEC4D8D5974D148B3A20BC1F22BC60</t>
  </si>
  <si>
    <t>057987</t>
  </si>
  <si>
    <t>A55B87034EE34C9FB164C8A8BD8DCBC9</t>
  </si>
  <si>
    <t>051926</t>
  </si>
  <si>
    <t>4803DC0A2BE74C58B4E290E818FBD24F</t>
  </si>
  <si>
    <t>88</t>
  </si>
  <si>
    <t>5501CC6E5A514631BCB75201B0EF03F2</t>
  </si>
  <si>
    <t>D7ADEDC45E5741A98D45B73B11B1CF48</t>
  </si>
  <si>
    <t>112</t>
  </si>
  <si>
    <t>F2E73F30FE884D5DAD5187803C613C6B</t>
  </si>
  <si>
    <t>236</t>
  </si>
  <si>
    <t>9067C5D8687A43019769A2BD89BF743A</t>
  </si>
  <si>
    <t>220</t>
  </si>
  <si>
    <t>E1F5C61A81D04815B8364D88E5A0B66E</t>
  </si>
  <si>
    <t>17-86-35</t>
  </si>
  <si>
    <t>P-LAWAAN</t>
  </si>
  <si>
    <t>ED9ECA01CDC34377B3B851C10E8B4A1A</t>
  </si>
  <si>
    <t>17-52-23</t>
  </si>
  <si>
    <t>F4C5142F44274D4E98C90188DDAF39CB</t>
  </si>
  <si>
    <t>HIJO</t>
  </si>
  <si>
    <t>C59C276F818547FDBE3FDB19C54F1B77</t>
  </si>
  <si>
    <t>10304390</t>
  </si>
  <si>
    <t>ACCD4C08E124453795E71444BD650435</t>
  </si>
  <si>
    <t>102155</t>
  </si>
  <si>
    <t>A232F0C7A959479F8763D6CCF2F983A2</t>
  </si>
  <si>
    <t>07-32-60</t>
  </si>
  <si>
    <t>P-TALISAY MENDOZA</t>
  </si>
  <si>
    <t>7A6F3A0C00CD48748D4E3926AF041ED2</t>
  </si>
  <si>
    <t>51</t>
  </si>
  <si>
    <t>5443A9E812074951B7999A9A6568686E</t>
  </si>
  <si>
    <t>37</t>
  </si>
  <si>
    <t>8B55034B14D64CE8A08ABE8AE82CDB99</t>
  </si>
  <si>
    <t>225</t>
  </si>
  <si>
    <t>3708A58165704E7F999F68F92D6062B2</t>
  </si>
  <si>
    <t>481112</t>
  </si>
  <si>
    <t>SAN ISIDRO</t>
  </si>
  <si>
    <t>22E5C65A67C24447A7D266CFEA24C0C0</t>
  </si>
  <si>
    <t>10304459</t>
  </si>
  <si>
    <t>BA1362E29DC2469DA20D0D94C92F6B1E</t>
  </si>
  <si>
    <t>31</t>
  </si>
  <si>
    <t>0EA82ABE09F34287AC17A91353A48A90</t>
  </si>
  <si>
    <t>333</t>
  </si>
  <si>
    <t>P-9 SAN JOSE</t>
  </si>
  <si>
    <t>BE8B68EE70984BF29519AF555FAFB7FE</t>
  </si>
  <si>
    <t>221243</t>
  </si>
  <si>
    <t>P-GENTORIAL</t>
  </si>
  <si>
    <t>1E7AB1203A294ACB9541CC209E95640A</t>
  </si>
  <si>
    <t>196</t>
  </si>
  <si>
    <t>9BC1A4EC121641D3847D470F1E71605C</t>
  </si>
  <si>
    <t>10304131</t>
  </si>
  <si>
    <t>6E8CED6A2EAB4991AE5439049C5E2CB1</t>
  </si>
  <si>
    <t>SAOSAO</t>
  </si>
  <si>
    <t>103</t>
  </si>
  <si>
    <t>C461245D1C434A67BF5452A631E94F31</t>
  </si>
  <si>
    <t>49</t>
  </si>
  <si>
    <t>8041F383D9E04DA49C32C94D6B163287</t>
  </si>
  <si>
    <t>261</t>
  </si>
  <si>
    <t>79EE35E5494C42C984A9442249433823</t>
  </si>
  <si>
    <t>168542</t>
  </si>
  <si>
    <t>C649EEF0698044659B6FC2CBD46639ED</t>
  </si>
  <si>
    <t>053786</t>
  </si>
  <si>
    <t>67ADB591E19B4590BA2C343D8C7127D1</t>
  </si>
  <si>
    <t>103004515</t>
  </si>
  <si>
    <t>F39F7EE0ADD046A29EF0C81FFA80D0F6</t>
  </si>
  <si>
    <t>13-02-67</t>
  </si>
  <si>
    <t>7CE33B356ACD47F29D4C02D04735CE22</t>
  </si>
  <si>
    <t>17-45-78</t>
  </si>
  <si>
    <t>497EC67DC29442B597F3E738428E605C</t>
  </si>
  <si>
    <t>263673</t>
  </si>
  <si>
    <t>P-STAR APPLE</t>
  </si>
  <si>
    <t>D5841971059745C1A6460FF7F104E196</t>
  </si>
  <si>
    <t>169676</t>
  </si>
  <si>
    <t>2E2773F664314C18A6B0D749E3EF13B1</t>
  </si>
  <si>
    <t>08-09-94</t>
  </si>
  <si>
    <t>A6A79EA50D78439A881A8FDCA6DA4E18</t>
  </si>
  <si>
    <t>15-44-21</t>
  </si>
  <si>
    <t>P-MADSIGON</t>
  </si>
  <si>
    <t>7CF476E0C6F842E6823464E337F604D9</t>
  </si>
  <si>
    <t>72</t>
  </si>
  <si>
    <t>C1F19274C89F4DABBE6CADCEEBBC2EA0</t>
  </si>
  <si>
    <t>465748</t>
  </si>
  <si>
    <t>C88CDCD01F0B4EA4970C460A62A11581</t>
  </si>
  <si>
    <t>109</t>
  </si>
  <si>
    <t>C3E18C6FA0D24CDE97D3DE7C240BE495</t>
  </si>
  <si>
    <t>B337275A216E430D98344C889D27D7AB</t>
  </si>
  <si>
    <t>1031885</t>
  </si>
  <si>
    <t>8F98638CFB734B458C703DD33BEF4E13</t>
  </si>
  <si>
    <t>RIZAL</t>
  </si>
  <si>
    <t>90</t>
  </si>
  <si>
    <t>3E1D4A8492F0455FA9BA64AB11292E5E</t>
  </si>
  <si>
    <t>167</t>
  </si>
  <si>
    <t>7AAFB905D4364489954BAC81D243C6BD</t>
  </si>
  <si>
    <t>095941</t>
  </si>
  <si>
    <t>P-BULAHAN</t>
  </si>
  <si>
    <t>046926D1425E47DC8A6BFEBD307C2A2E</t>
  </si>
  <si>
    <t>422714</t>
  </si>
  <si>
    <t>P-WATERPOLE</t>
  </si>
  <si>
    <t>56F0AA6A7AA2406BBCB8D20A74D9DDB8</t>
  </si>
  <si>
    <t>118</t>
  </si>
  <si>
    <t>70878C668D4146D7A7FA8D7FBDF5797F</t>
  </si>
  <si>
    <t>15-46-97</t>
  </si>
  <si>
    <t>469B33E7AF5F44179A3039539C4E9DE8</t>
  </si>
  <si>
    <t>240</t>
  </si>
  <si>
    <t>P16 BANGKAL</t>
  </si>
  <si>
    <t>09785DAE22C44FECA23DDD7F8BB5AA62</t>
  </si>
  <si>
    <t>17-06-94</t>
  </si>
  <si>
    <t>P-MAGHIUSA LOOBAN</t>
  </si>
  <si>
    <t>C5BC6D1AFCA54D4AB904534D5730B8F8</t>
  </si>
  <si>
    <t>3494167</t>
  </si>
  <si>
    <t>A4F75C2C93C345C8BE3328C19B500330</t>
  </si>
  <si>
    <t>11-01-94</t>
  </si>
  <si>
    <t>2D954D69D0614247A62560F756870CCD</t>
  </si>
  <si>
    <t>10304207</t>
  </si>
  <si>
    <t>82F511C99405463FAB4EF987E65F86D1</t>
  </si>
  <si>
    <t>486343</t>
  </si>
  <si>
    <t>327F3563E24144CDABF25DC8563837F3</t>
  </si>
  <si>
    <t>06-98-04</t>
  </si>
  <si>
    <t>40B0C1C951664F0CB3C4909B101B23E0</t>
  </si>
  <si>
    <t>12-51-70</t>
  </si>
  <si>
    <t>4FF7D325301A4820BED8D941540C3A2D</t>
  </si>
  <si>
    <t>1035679</t>
  </si>
  <si>
    <t>P-PINARASAN</t>
  </si>
  <si>
    <t>CAB9F8B4354B4BB693B042804E7A2A43</t>
  </si>
  <si>
    <t>292649</t>
  </si>
  <si>
    <t>P-KABIGAAN</t>
  </si>
  <si>
    <t>E24481F5E0134317AAF8FCEC9B0A559A</t>
  </si>
  <si>
    <t>976435</t>
  </si>
  <si>
    <t>72FC76D3E2534480B74EAC9E527DF425</t>
  </si>
  <si>
    <t>A2EEA95246D242B6BC0EF79C262F9393</t>
  </si>
  <si>
    <t>265</t>
  </si>
  <si>
    <t>BFC7F92CFC424484B1403F1E68B979A9</t>
  </si>
  <si>
    <t>1030455</t>
  </si>
  <si>
    <t>84CD876E05164FACA5B2FAC56FC7AF5A</t>
  </si>
  <si>
    <t>485750</t>
  </si>
  <si>
    <t>102C3C4E76DD47629CED18643D02ADBE</t>
  </si>
  <si>
    <t>403393</t>
  </si>
  <si>
    <t>478BE63D282C43E98234245F9B385591</t>
  </si>
  <si>
    <t>BAGONGON</t>
  </si>
  <si>
    <t>863368</t>
  </si>
  <si>
    <t>7F1A54623D9E4618AA957EB199F95273</t>
  </si>
  <si>
    <t>10304485</t>
  </si>
  <si>
    <t>9C6C21A05AC04F5083EF557F9793E1B4</t>
  </si>
  <si>
    <t>17-73-87</t>
  </si>
  <si>
    <t>032D050F9A964529A30525380732E334</t>
  </si>
  <si>
    <t>3ED2BCF0702043A2AAB7230A0720DA59</t>
  </si>
  <si>
    <t>923734</t>
  </si>
  <si>
    <t>B6CE9D5FE2BD40F1B003D46A01F3CD0C</t>
  </si>
  <si>
    <t>OGAO</t>
  </si>
  <si>
    <t>480526</t>
  </si>
  <si>
    <t>1D180A4629874389A8A96BD6E13B0CB4</t>
  </si>
  <si>
    <t>1038353</t>
  </si>
  <si>
    <t>3C881E4691AB459E924E60687EAC0958</t>
  </si>
  <si>
    <t>19-95-16</t>
  </si>
  <si>
    <t>P46</t>
  </si>
  <si>
    <t>5AF2BF0942FD45C19A7BE25EB824B536</t>
  </si>
  <si>
    <t>16-95-16</t>
  </si>
  <si>
    <t>66BA2AF0C9104E57B6150B1D717000A1</t>
  </si>
  <si>
    <t>DC3069397E9D4E548173C84EFB8F074D</t>
  </si>
  <si>
    <t>1028650</t>
  </si>
  <si>
    <t>72FD818FA5FD44639C61D302C84C93B0</t>
  </si>
  <si>
    <t>369</t>
  </si>
  <si>
    <t>MAMPISING,TAGNANAN</t>
  </si>
  <si>
    <t>30CBBAC193C949F0BCFA01CB349E07D6</t>
  </si>
  <si>
    <t>205</t>
  </si>
  <si>
    <t>56288DAD60F64E9BA1EF604371D1EBAD</t>
  </si>
  <si>
    <t>10304247</t>
  </si>
  <si>
    <t>C474AD98794C4F9CB9AB30D589FD6859</t>
  </si>
  <si>
    <t>1710F61169DF4879B7574143C8697662</t>
  </si>
  <si>
    <t>45</t>
  </si>
  <si>
    <t>A15E53F57C524B0D8FBE0E8B6ECAD820</t>
  </si>
  <si>
    <t>480236</t>
  </si>
  <si>
    <t>69ECC2EA8F5C439B8AB94809228F896D</t>
  </si>
  <si>
    <t>10304587</t>
  </si>
  <si>
    <t>D958589468E84B55853935323BBAC667</t>
  </si>
  <si>
    <t>10304200</t>
  </si>
  <si>
    <t>0E33D44CC71B43E88B88FB05EE8C5D4A</t>
  </si>
  <si>
    <t>F58F5F83E4F04B019336ACC688C6BB99</t>
  </si>
  <si>
    <t>485893</t>
  </si>
  <si>
    <t>B24AF35BEA8B490BA74A4FE9A1C8F1B4</t>
  </si>
  <si>
    <t>KAHAYAG</t>
  </si>
  <si>
    <t>11-82-22</t>
  </si>
  <si>
    <t>33EB337BC859462195BFA2AA73EF0E70</t>
  </si>
  <si>
    <t>486613</t>
  </si>
  <si>
    <t>5FDD4EE5E9D649B98BAB1FFEBF3C6081</t>
  </si>
  <si>
    <t>143021</t>
  </si>
  <si>
    <t>P-GUMAMELA</t>
  </si>
  <si>
    <t>5A6B9F7E7B164498A130ABA3FF8AE66F</t>
  </si>
  <si>
    <t>174996</t>
  </si>
  <si>
    <t>P2 BAYLO MONKAYO DAVAO DE ORO</t>
  </si>
  <si>
    <t>258F47B2AB93402D928CB119AF81C56F</t>
  </si>
  <si>
    <t>1035875</t>
  </si>
  <si>
    <t>E570E5D1D70F4CDBA17EF827C21B35E4</t>
  </si>
  <si>
    <t>322</t>
  </si>
  <si>
    <t>E57B588C336E4DF1A5587D1BDDB6A95D</t>
  </si>
  <si>
    <t>10-16-18</t>
  </si>
  <si>
    <t>P-GEMELIN</t>
  </si>
  <si>
    <t>7ABDCA325C0A4CDE86436C1BB97E645F</t>
  </si>
  <si>
    <t>0303545</t>
  </si>
  <si>
    <t>D44D134616054586AE6478B28E11562C</t>
  </si>
  <si>
    <t>470395</t>
  </si>
  <si>
    <t>7688D3D84BE242C9B1B3AE87B5902D8B</t>
  </si>
  <si>
    <t>16-12-97</t>
  </si>
  <si>
    <t>P9B</t>
  </si>
  <si>
    <t>4D98E0456A7644F389F2F5E20B89813A</t>
  </si>
  <si>
    <t>435838</t>
  </si>
  <si>
    <t>67B8134513624DFE916DC50EE99FF631</t>
  </si>
  <si>
    <t>16-98-18</t>
  </si>
  <si>
    <t>FB00D6330E79485E9F28D3908C614270</t>
  </si>
  <si>
    <t>15-86-19</t>
  </si>
  <si>
    <t>D489B4D7BC994CAD9BF86E4E35F11F92</t>
  </si>
  <si>
    <t>A84FEB1FDA584382BC21A317BFB8DC58</t>
  </si>
  <si>
    <t>184</t>
  </si>
  <si>
    <t>P7 MAMPISING</t>
  </si>
  <si>
    <t>54083C54AA1048BEBB29599C47D992FF</t>
  </si>
  <si>
    <t>190</t>
  </si>
  <si>
    <t>581D3B7ADAB041599A8B92AF80F90414</t>
  </si>
  <si>
    <t>05-70-65</t>
  </si>
  <si>
    <t>79DC70AF612D49EB800C7BD04583DA8B</t>
  </si>
  <si>
    <t>048099</t>
  </si>
  <si>
    <t>A158DC65A9E14EA6B6E8240A93C2DA50</t>
  </si>
  <si>
    <t>DATU DAVAO</t>
  </si>
  <si>
    <t>00B9843EB8A649F4A3EB5344578AD173</t>
  </si>
  <si>
    <t>17-65-38</t>
  </si>
  <si>
    <t>P14 NARRA</t>
  </si>
  <si>
    <t>505BEFA415DF451F80EA2BB74A26F96C</t>
  </si>
  <si>
    <t>110</t>
  </si>
  <si>
    <t>7E586F612D3445E79501F3265A51311C</t>
  </si>
  <si>
    <t>6B95B615521442B485C28F62BAE64386</t>
  </si>
  <si>
    <t>P-SENTENIAL</t>
  </si>
  <si>
    <t>52B02350FACD4BA29531A11F077D6DAC</t>
  </si>
  <si>
    <t>242</t>
  </si>
  <si>
    <t>P-LUYAW</t>
  </si>
  <si>
    <t>9D0F7429801F47C682FB6D3BD114DD8A</t>
  </si>
  <si>
    <t>152708</t>
  </si>
  <si>
    <t>A84C1A0FC2234C53A5BC7ECCF304558D</t>
  </si>
  <si>
    <t>BAGONG SILANG</t>
  </si>
  <si>
    <t>1032059</t>
  </si>
  <si>
    <t>932902625CE6415F9C35FF150B62426A</t>
  </si>
  <si>
    <t>159</t>
  </si>
  <si>
    <t>14AD79CCE73C4292AB7EF38C0BA21C91</t>
  </si>
  <si>
    <t>486671</t>
  </si>
  <si>
    <t>5D7AFA0EB6B5474D8129CAEADF79E5FF</t>
  </si>
  <si>
    <t>6D49466578A44F3D99D9A7850D8CDE7B</t>
  </si>
  <si>
    <t>99</t>
  </si>
  <si>
    <t>EC1C239960A44CCFAC29F37118808458</t>
  </si>
  <si>
    <t>022638</t>
  </si>
  <si>
    <t>FB26EFA7B849410088DE025B57A02DAD</t>
  </si>
  <si>
    <t>17-48-30</t>
  </si>
  <si>
    <t>A8614862556A4A5DB6ECE8C53E53C0D1</t>
  </si>
  <si>
    <t>15-13-24</t>
  </si>
  <si>
    <t>EFD7DFDD9D5C4D88936D30DDD2300B7A</t>
  </si>
  <si>
    <t>17-68-90</t>
  </si>
  <si>
    <t>UPPER PANGASINAN</t>
  </si>
  <si>
    <t>7FE56950AD1C4E909546B66BF65DEE20</t>
  </si>
  <si>
    <t>16-29-84</t>
  </si>
  <si>
    <t>P-ACASIA</t>
  </si>
  <si>
    <t>37F260FB707443B4BC909D90FA1F699C</t>
  </si>
  <si>
    <t>129</t>
  </si>
  <si>
    <t>7A4E75F1743A41A6B66A43CBC1584706</t>
  </si>
  <si>
    <t>163432</t>
  </si>
  <si>
    <t>P-SAMPALOC CANLAWIG</t>
  </si>
  <si>
    <t>4329C28F7BE54A8388FCD0DF7D545611</t>
  </si>
  <si>
    <t>044952</t>
  </si>
  <si>
    <t>C59442C368814DB9B46597837A383740</t>
  </si>
  <si>
    <t>1041210</t>
  </si>
  <si>
    <t>2666BE27A8234694ACBF2354F53F9542</t>
  </si>
  <si>
    <t>LAGAB</t>
  </si>
  <si>
    <t>17-42-30</t>
  </si>
  <si>
    <t>CAB48B3885074F0C8B71D2B0D7DF8072</t>
  </si>
  <si>
    <t>191</t>
  </si>
  <si>
    <t>DC8D2AFE2C0F4BAB9DC578FA729DE7A8</t>
  </si>
  <si>
    <t>P-AVOCADO</t>
  </si>
  <si>
    <t>7811E03ECCF8448C9BD7D96BCC454BEE</t>
  </si>
  <si>
    <t>172</t>
  </si>
  <si>
    <t>DA6AD7E74240422293B6D38A9C5FF38D</t>
  </si>
  <si>
    <t>7446B57D140B40A2BCE9F935F4FD17B1</t>
  </si>
  <si>
    <t>332</t>
  </si>
  <si>
    <t>P-5</t>
  </si>
  <si>
    <t>7E9380656D304A5A87EF393092A04D05</t>
  </si>
  <si>
    <t>368</t>
  </si>
  <si>
    <t>P-3B MAKABATUAN CADUNAN</t>
  </si>
  <si>
    <t>7C22F0A1A46F43A2AE1F6ACE3F7F6167</t>
  </si>
  <si>
    <t>AAAA1F94E1BB4EDEBF81A785C6788515</t>
  </si>
  <si>
    <t>162898</t>
  </si>
  <si>
    <t>615E590C0F7248BFA9DA655DB5AEF0B0</t>
  </si>
  <si>
    <t>7B3643AA357E46208CB23A57CD675630</t>
  </si>
  <si>
    <t>342</t>
  </si>
  <si>
    <t>1E840784F8BF43D99F8712860BA2615D</t>
  </si>
  <si>
    <t>223</t>
  </si>
  <si>
    <t>4C4839CA778640818810DCE11E563639</t>
  </si>
  <si>
    <t>039863</t>
  </si>
  <si>
    <t>5C8A483826F148CB95ABBE886958039F</t>
  </si>
  <si>
    <t>16-01-91</t>
  </si>
  <si>
    <t>8BB3B205D60145BDB059F0E8C0FEC6B3</t>
  </si>
  <si>
    <t>APAYAO ISNAG</t>
  </si>
  <si>
    <t>23</t>
  </si>
  <si>
    <t>5126A597BFF9479A8E436F654C3BB3B0</t>
  </si>
  <si>
    <t>322428</t>
  </si>
  <si>
    <t>FE41CFC6C85D469B836E331E8145E335</t>
  </si>
  <si>
    <t>08-31-71</t>
  </si>
  <si>
    <t>CFB7D0E465A6426F8DD5555ABCA793EF</t>
  </si>
  <si>
    <t>16319</t>
  </si>
  <si>
    <t>D364263692CA45179F85631ECBF16E01</t>
  </si>
  <si>
    <t>482499</t>
  </si>
  <si>
    <t>85752A61CCE14474BE11259B1E444AAA</t>
  </si>
  <si>
    <t>SANTA MARIA</t>
  </si>
  <si>
    <t>17-50-26</t>
  </si>
  <si>
    <t>2D9CD2FE7694453AB7716B92D2245850</t>
  </si>
  <si>
    <t>483407</t>
  </si>
  <si>
    <t>14FAEB7A6BBF46809BD72246B6FD0035</t>
  </si>
  <si>
    <t>56EF19E3EB2D47859545275169A75114</t>
  </si>
  <si>
    <t>256BDD6E59B34010BFDE55231E6BA2E4</t>
  </si>
  <si>
    <t>013607</t>
  </si>
  <si>
    <t>D40E1D69400141B2B96BCD3FAB52A79C</t>
  </si>
  <si>
    <t>32</t>
  </si>
  <si>
    <t>69301DB17A6240D58FC8F491BD665C05</t>
  </si>
  <si>
    <t>268</t>
  </si>
  <si>
    <t>46DBDDA0F4694DEDBCC332D86432A45B</t>
  </si>
  <si>
    <t>E47734A5B4F242CFBE03BC912CF66EA0</t>
  </si>
  <si>
    <t>NEW BETHLEHEM</t>
  </si>
  <si>
    <t>484938</t>
  </si>
  <si>
    <t>P25</t>
  </si>
  <si>
    <t>2F677EDFBE0E4F418E7B8219DC9AE02A</t>
  </si>
  <si>
    <t>011336</t>
  </si>
  <si>
    <t>931CAEEB3F8246E2A33C7F0891C8544C</t>
  </si>
  <si>
    <t>210</t>
  </si>
  <si>
    <t>00EFD7F744DE41F5A76CF5CB8E49414B</t>
  </si>
  <si>
    <t>067301</t>
  </si>
  <si>
    <t>DA66B656205D4C3A8A05F58D90BF736F</t>
  </si>
  <si>
    <t>209</t>
  </si>
  <si>
    <t>F3FBBF25939646C4B04F3ECB703AC268</t>
  </si>
  <si>
    <t>216</t>
  </si>
  <si>
    <t>6302F54A0E184FC48E2CD0E2C5866DD2</t>
  </si>
  <si>
    <t>9941F569DFEC4599A682A4BD12D8481B</t>
  </si>
  <si>
    <t>247</t>
  </si>
  <si>
    <t>A30CFDB7C5FC44898FF34BA4DDA554F1</t>
  </si>
  <si>
    <t>D6B54C0E1ABC45AABB247F3C8FF8A76A</t>
  </si>
  <si>
    <t>3478576</t>
  </si>
  <si>
    <t>5D6EF5FA44C7492591FCCCB492BA378C</t>
  </si>
  <si>
    <t>12-22-71</t>
  </si>
  <si>
    <t>2DF493AD01FF4399AAA17AA40525BE47</t>
  </si>
  <si>
    <t>16399</t>
  </si>
  <si>
    <t>FF86EDD4CD3C4FE4B69392177EE94708</t>
  </si>
  <si>
    <t>17-73-32</t>
  </si>
  <si>
    <t>0D851C22351344C093AE9FCE4F9A9E4B</t>
  </si>
  <si>
    <t>PANGI (GAUDENCIO ANTONIO)</t>
  </si>
  <si>
    <t>17-73-00</t>
  </si>
  <si>
    <t>P4 TIBAGON</t>
  </si>
  <si>
    <t>F51F0FA0F8AF4BC6BD2A313F08302A46</t>
  </si>
  <si>
    <t>167910</t>
  </si>
  <si>
    <t>P-MACAPAGAL</t>
  </si>
  <si>
    <t>DE1485A6E540479795C89D090A69A85B</t>
  </si>
  <si>
    <t>481119</t>
  </si>
  <si>
    <t>P3 MATILO</t>
  </si>
  <si>
    <t>23F64A7D354E4D628B70E68774F3E8BC</t>
  </si>
  <si>
    <t>485394</t>
  </si>
  <si>
    <t>3343048C5BD44C27B3BAF0D851834441</t>
  </si>
  <si>
    <t>84</t>
  </si>
  <si>
    <t>450D97FEAE7E42B9A0EF3C7E22264ED1</t>
  </si>
  <si>
    <t>1BD6D8A80C764AA393F5CF4F25B1AF53</t>
  </si>
  <si>
    <t>842ECE48C1E1418BAEA659D5D96D6D31</t>
  </si>
  <si>
    <t>10304461</t>
  </si>
  <si>
    <t>25CAE25D4BF84000A506CB58B6D59AB0</t>
  </si>
  <si>
    <t>371</t>
  </si>
  <si>
    <t>7057BF06058E48699D4A3679D9799370</t>
  </si>
  <si>
    <t>4</t>
  </si>
  <si>
    <t>7F4D98AA6B3341FD9FC8A9283F22B322</t>
  </si>
  <si>
    <t>67</t>
  </si>
  <si>
    <t>Z11</t>
  </si>
  <si>
    <t>39DDED86D7F744149F7C65644FEF81BA</t>
  </si>
  <si>
    <t>1038585</t>
  </si>
  <si>
    <t>AC83FCA5DA5A4D34818892262B671540</t>
  </si>
  <si>
    <t>C3040BF327C844479DC1D843365D738C</t>
  </si>
  <si>
    <t>136</t>
  </si>
  <si>
    <t>5A1A53F9A7B348F3B72FCEE864ACAF5A</t>
  </si>
  <si>
    <t>334</t>
  </si>
  <si>
    <t>932F16E72F914B818390536F998CA06D</t>
  </si>
  <si>
    <t>09-38-31</t>
  </si>
  <si>
    <t>P6 LOWER LAHI</t>
  </si>
  <si>
    <t>F8877ECF73E1438BABA07D77B5F87FA8</t>
  </si>
  <si>
    <t>5E0A955C5AD84DC097D1B6F7B9957E8D</t>
  </si>
  <si>
    <t>16-71-11</t>
  </si>
  <si>
    <t>8983C4D333934521BCD062B1F02502F7</t>
  </si>
  <si>
    <t>13-77-26</t>
  </si>
  <si>
    <t>CC4F972CB02A4570A57ADB815694DEEA</t>
  </si>
  <si>
    <t>1034722</t>
  </si>
  <si>
    <t>PH2 B64 L14</t>
  </si>
  <si>
    <t>B78DC34A150C4EE8A88EF178DE0F14CE</t>
  </si>
  <si>
    <t>472623</t>
  </si>
  <si>
    <t>EE455E542CB44FAD8367BD3268F086C2</t>
  </si>
  <si>
    <t>050059</t>
  </si>
  <si>
    <t>9F9937F76E3A4DDA9F90872A8D534E98</t>
  </si>
  <si>
    <t>170891</t>
  </si>
  <si>
    <t>P-DAHLIA</t>
  </si>
  <si>
    <t>FFF8E16E41694D8F949468A58AE40674</t>
  </si>
  <si>
    <t>168747</t>
  </si>
  <si>
    <t>FB1898F2858D40508E5674D27E202A1C</t>
  </si>
  <si>
    <t>218</t>
  </si>
  <si>
    <t>E7A951C66D9A40CE8E9E0F9642224BC5</t>
  </si>
  <si>
    <t>5</t>
  </si>
  <si>
    <t>ADEBFB5909104793B4DAEE3F44BA9B27</t>
  </si>
  <si>
    <t>53</t>
  </si>
  <si>
    <t>2EDAAB644D644E7392D552826ADA924A</t>
  </si>
  <si>
    <t>125259</t>
  </si>
  <si>
    <t>P19 POBLACION NABUNTURAN DAVAO DE ORO</t>
  </si>
  <si>
    <t>14FE89C010134753A36D2BE16A7D28F8</t>
  </si>
  <si>
    <t>CD0C9924D8D9491297C431907A23420A</t>
  </si>
  <si>
    <t>379</t>
  </si>
  <si>
    <t>P.A DELPILAR</t>
  </si>
  <si>
    <t>37F58144A5DE4BCC9CAB638A581572FF</t>
  </si>
  <si>
    <t>1C7C6BED704E404EB5F549DE7F9BFAA8</t>
  </si>
  <si>
    <t>EB8B1266A91B4106B5CB5EC754BC2105</t>
  </si>
  <si>
    <t>8757B910D00744A18C10E4267161ABFE</t>
  </si>
  <si>
    <t>EBADFEB01D6346FFBB62777B055B3430</t>
  </si>
  <si>
    <t>13-07-40</t>
  </si>
  <si>
    <t>0381F4B4A2DA41F3861FF892E51C9744</t>
  </si>
  <si>
    <t>F42B0EF83E1340918E725D8EB5A4404B</t>
  </si>
  <si>
    <t>978459</t>
  </si>
  <si>
    <t>PRK 15</t>
  </si>
  <si>
    <t>4408A799FE5244E1B1A83728E7D6CDD3</t>
  </si>
  <si>
    <t>14-78-99</t>
  </si>
  <si>
    <t>DF146AF70B6C474BA1BD24C229588D11</t>
  </si>
  <si>
    <t>480232</t>
  </si>
  <si>
    <t>P16 POBLACION</t>
  </si>
  <si>
    <t>2F8EBD1FD1F24935999217E464DB53B8</t>
  </si>
  <si>
    <t>239</t>
  </si>
  <si>
    <t>026E175482D64F309BB95A9253C4E157</t>
  </si>
  <si>
    <t>78</t>
  </si>
  <si>
    <t>904F968C297C48358059A1EA36D6240F</t>
  </si>
  <si>
    <t>486379</t>
  </si>
  <si>
    <t>705C14D1F7914B65BD8728B65F7C7ABE</t>
  </si>
  <si>
    <t>DAVAO ORIENTAL</t>
  </si>
  <si>
    <t>MATI</t>
  </si>
  <si>
    <t>NATIONAL HIGHWAY BRGY. MATIAO, MATI CITY</t>
  </si>
  <si>
    <t>146454</t>
  </si>
  <si>
    <t>P-ALIMYON</t>
  </si>
  <si>
    <t>42C9C869B39B4B719FDE1C9C1619B6BB</t>
  </si>
  <si>
    <t>DAVAO ORIENTAL PROVINCIAL MEDICAL CENTER</t>
  </si>
  <si>
    <t>ARAIBO</t>
  </si>
  <si>
    <t>343</t>
  </si>
  <si>
    <t>P-2B</t>
  </si>
  <si>
    <t>10559673C0FF49E499CEC7DA9F391E15</t>
  </si>
  <si>
    <t>7575E705535841CABC02F981C88E8EAB</t>
  </si>
  <si>
    <t>12F806E28E104D10A92BD6DBF13A3620</t>
  </si>
  <si>
    <t>969225</t>
  </si>
  <si>
    <t>0B3BF3A56E29448DB00598EDF4651237</t>
  </si>
  <si>
    <t>17-33-30</t>
  </si>
  <si>
    <t>P-CANLAMAON</t>
  </si>
  <si>
    <t>E2E0D941A2F9453797543A91100A3929</t>
  </si>
  <si>
    <t>14-82-95</t>
  </si>
  <si>
    <t>P6 PAG-ASA</t>
  </si>
  <si>
    <t>148FE0D558BB417C95E961576C8A8E22</t>
  </si>
  <si>
    <t>10304229</t>
  </si>
  <si>
    <t>P10 PANAMIN</t>
  </si>
  <si>
    <t>8AF7C9F44F734232A179857E8C8102B3</t>
  </si>
  <si>
    <t>000974878</t>
  </si>
  <si>
    <t>E711C9258A724CF3BFE4F60D200F8A03</t>
  </si>
  <si>
    <t>77</t>
  </si>
  <si>
    <t>7F518047A79C4DDDA7F3FD3A7E33B145</t>
  </si>
  <si>
    <t>090730</t>
  </si>
  <si>
    <t>E4EE9175C1544916BAD6448C949F08E8</t>
  </si>
  <si>
    <t>482525</t>
  </si>
  <si>
    <t>B3B117D8EB9F4B279E4345B12E10D157</t>
  </si>
  <si>
    <t>484121</t>
  </si>
  <si>
    <t>82BF95F9896B41C5A57882ED29313043</t>
  </si>
  <si>
    <t>17-72-52</t>
  </si>
  <si>
    <t>P 10</t>
  </si>
  <si>
    <t>2640C5081FE648AAA135F78DE5CBFAB3</t>
  </si>
  <si>
    <t>451944</t>
  </si>
  <si>
    <t>1D6AF477DE70434C9BC0936D9EF3018D</t>
  </si>
  <si>
    <t>17-56-30</t>
  </si>
  <si>
    <t>9F7B2352170C47FD877A779AFBE25215</t>
  </si>
  <si>
    <t>830610</t>
  </si>
  <si>
    <t>P9C</t>
  </si>
  <si>
    <t>D5E6A81179F14BA5B9A26310BB37B059</t>
  </si>
  <si>
    <t>426669</t>
  </si>
  <si>
    <t>02CE668E09E24226813ACAF20BF87CAF</t>
  </si>
  <si>
    <t>10304564</t>
  </si>
  <si>
    <t>857252561DA74054A229ACFDCC33D1BE</t>
  </si>
  <si>
    <t>P-DAGOHOY</t>
  </si>
  <si>
    <t>841B082FF42F4307A3F0E9958CFA3366</t>
  </si>
  <si>
    <t>CE8E94A15DAA4A7BB8C3622BE214EFC9</t>
  </si>
  <si>
    <t>1035070</t>
  </si>
  <si>
    <t>79748FE52A7E4D99BB5DAB84BDB5BC3B</t>
  </si>
  <si>
    <t>10304199</t>
  </si>
  <si>
    <t>AC15C0B5A2CF40D9B62ADE08B128523B</t>
  </si>
  <si>
    <t>119</t>
  </si>
  <si>
    <t>069D276B60ED4A68A972D34090407776</t>
  </si>
  <si>
    <t>14464</t>
  </si>
  <si>
    <t>P. OSMENA NEW VISAYAS</t>
  </si>
  <si>
    <t>E2B45F5B034F470BB98543DDF9D251A9</t>
  </si>
  <si>
    <t>27032</t>
  </si>
  <si>
    <t>276AE7C9A0424B109C18D06F8FAB90B1</t>
  </si>
  <si>
    <t>338</t>
  </si>
  <si>
    <t>P-1 MAMPISING</t>
  </si>
  <si>
    <t>0A3C1C1484EC4A66813A40A1EB473FE7</t>
  </si>
  <si>
    <t>318</t>
  </si>
  <si>
    <t>A33B32B97FF4416B8138B1E2B090865A</t>
  </si>
  <si>
    <t>340</t>
  </si>
  <si>
    <t>71AE370D544F4AE7BBB9B539D89DD400</t>
  </si>
  <si>
    <t>54</t>
  </si>
  <si>
    <t>7612CB2EF4FD4FC588A9CF1AB7536195</t>
  </si>
  <si>
    <t>156</t>
  </si>
  <si>
    <t>63C036EC37DE4E48AA7B2800E88587D9</t>
  </si>
  <si>
    <t>A845CD6B87A04ED9A2342B8BDE141906</t>
  </si>
  <si>
    <t>14B1C3A4806545BAAC583D6D718C9714</t>
  </si>
  <si>
    <t>482390</t>
  </si>
  <si>
    <t>P14 LOWER ULI[</t>
  </si>
  <si>
    <t>6CD4A386E383481A9337886BA32D5E1A</t>
  </si>
  <si>
    <t>178</t>
  </si>
  <si>
    <t>35D9952DFCA94C87971A62A22FE9D9E4</t>
  </si>
  <si>
    <t>2A302C48C7554DD0917257BE55282987</t>
  </si>
  <si>
    <t>134</t>
  </si>
  <si>
    <t>8A484F97D09849A79DE8AB25407DB541</t>
  </si>
  <si>
    <t>133</t>
  </si>
  <si>
    <t>47C0FB5510B54F5FA18186F830CB971D</t>
  </si>
  <si>
    <t>422965</t>
  </si>
  <si>
    <t>50A12EA8CC8B47FA9C30340398508815</t>
  </si>
  <si>
    <t>422963</t>
  </si>
  <si>
    <t>6EEF91A8E5874854BF199A2CB292C5C1</t>
  </si>
  <si>
    <t>213</t>
  </si>
  <si>
    <t>B6D57EB58E824431A433023F1515F62B</t>
  </si>
  <si>
    <t>171204</t>
  </si>
  <si>
    <t>290C76D6ADEE46EA9D14CBF6F5191685</t>
  </si>
  <si>
    <t>27348</t>
  </si>
  <si>
    <t>4E942E4482F04B98BBE94579AC9F6227</t>
  </si>
  <si>
    <t>987289</t>
  </si>
  <si>
    <t>3AB05B9726B84D0B8CB500BF37D58D19</t>
  </si>
  <si>
    <t>166831</t>
  </si>
  <si>
    <t>P-BULAWANON</t>
  </si>
  <si>
    <t>DC295D27E45841828C42589BFC987862</t>
  </si>
  <si>
    <t>TANDIK</t>
  </si>
  <si>
    <t>164242</t>
  </si>
  <si>
    <t>19608F633A224F7BADD17050F334B904</t>
  </si>
  <si>
    <t>482370</t>
  </si>
  <si>
    <t>D04693157D754704B87AB188F167261D</t>
  </si>
  <si>
    <t>28127</t>
  </si>
  <si>
    <t>69B0EFE238A643F9AD047B50A8660FC6</t>
  </si>
  <si>
    <t>401045</t>
  </si>
  <si>
    <t>E259AFD2B7E948889B4BBF52E95F0DD3</t>
  </si>
  <si>
    <t>F7035ACFDD8C412FB4A9DC397E1C6437</t>
  </si>
  <si>
    <t>17-33-85</t>
  </si>
  <si>
    <t>DFB41D82D4924482A74B8FA5323AA35D</t>
  </si>
  <si>
    <t>467986</t>
  </si>
  <si>
    <t>83CC47BDD7994CCA8CCD0099582AD429</t>
  </si>
  <si>
    <t>361641</t>
  </si>
  <si>
    <t>18481A37B87E441CB6F438546F763711</t>
  </si>
  <si>
    <t>BANKEROHAN SUR</t>
  </si>
  <si>
    <t>46</t>
  </si>
  <si>
    <t>EF0A7D377FE0455099F7219DC125CA1F</t>
  </si>
  <si>
    <t>171875</t>
  </si>
  <si>
    <t>BLK 9 LOT 12 KIMJAMES</t>
  </si>
  <si>
    <t>0002595-ILI-050923-86898</t>
  </si>
  <si>
    <t>COMPOSTELA VALLEY PROVINCIAL HOSPITAL - MARAGUSAN</t>
  </si>
  <si>
    <t>Maragusan (Pob.)</t>
  </si>
  <si>
    <t>158965</t>
  </si>
  <si>
    <t>P. ALMASIGA</t>
  </si>
  <si>
    <t>0000338-ILI-043023-05-78-63</t>
  </si>
  <si>
    <t>3475705</t>
  </si>
  <si>
    <t>0002156-ILI-050123-0123_00001</t>
  </si>
  <si>
    <t>Andili</t>
  </si>
  <si>
    <t>3517345</t>
  </si>
  <si>
    <t>0004534-ILI-050623-P23-019478</t>
  </si>
  <si>
    <t>Maparat</t>
  </si>
  <si>
    <t>489553</t>
  </si>
  <si>
    <t>0002595-ILI-050823-86891</t>
  </si>
  <si>
    <t>COMPOSTELA VALLEY PROVINCIAL HOSPITAL - MONTEVISTA</t>
  </si>
  <si>
    <t>Prosperidad</t>
  </si>
  <si>
    <t>00406076</t>
  </si>
  <si>
    <t>0000328-ILI-042923-004289</t>
  </si>
  <si>
    <t>San Antonio</t>
  </si>
  <si>
    <t>042375</t>
  </si>
  <si>
    <t>PUROK 5</t>
  </si>
  <si>
    <t>0005641-ILI-051123-054160</t>
  </si>
  <si>
    <t>COMPOSTELA VALLEY PROVINCIAL HOSPITAL - LAAK</t>
  </si>
  <si>
    <t>Santa Emilia</t>
  </si>
  <si>
    <t>489863</t>
  </si>
  <si>
    <t>P PAGBABA-AYAN</t>
  </si>
  <si>
    <t>0005515-ILI-050623-GRE504-072</t>
  </si>
  <si>
    <t>Mainit</t>
  </si>
  <si>
    <t>044866</t>
  </si>
  <si>
    <t>PUROK 4</t>
  </si>
  <si>
    <t>0002337-ILI-042923-03</t>
  </si>
  <si>
    <t>Kiokmay</t>
  </si>
  <si>
    <t>489868</t>
  </si>
  <si>
    <t>P7 BLISS BAYLO</t>
  </si>
  <si>
    <t>0000328-ILI-050823-004744</t>
  </si>
  <si>
    <t>San Jose (Pob.)</t>
  </si>
  <si>
    <t>00489819</t>
  </si>
  <si>
    <t>0003702-ILI-050823-SI00039</t>
  </si>
  <si>
    <t>Poblacion</t>
  </si>
  <si>
    <t>00487979</t>
  </si>
  <si>
    <t>0000328-ILI-050823-004724</t>
  </si>
  <si>
    <t>00425791</t>
  </si>
  <si>
    <t>0004415-ILI-051523-2103177</t>
  </si>
  <si>
    <t>Camansi</t>
  </si>
  <si>
    <t>00489928</t>
  </si>
  <si>
    <t>0002156-ILI-050123-0123_00002</t>
  </si>
  <si>
    <t>Magsaysay</t>
  </si>
  <si>
    <t>00489942</t>
  </si>
  <si>
    <t>P7A</t>
  </si>
  <si>
    <t>0005652-ILI-051523-22</t>
  </si>
  <si>
    <t>00489899</t>
  </si>
  <si>
    <t>0003672-ILI-043023-04302023_3</t>
  </si>
  <si>
    <t>066014</t>
  </si>
  <si>
    <t>PUROK-3</t>
  </si>
  <si>
    <t>0004415-ILI-051623-2103220</t>
  </si>
  <si>
    <t>Il Papa</t>
  </si>
  <si>
    <t>165</t>
  </si>
  <si>
    <t>452B2F47816F4880A9C45CC4B2468D83</t>
  </si>
  <si>
    <t>34</t>
  </si>
  <si>
    <t>P-MASROWRAN</t>
  </si>
  <si>
    <t>0003702-ILI-050323-SI00030</t>
  </si>
  <si>
    <t>MABINI (DOÑA ALICIA) RURAL HEALTH UNIT</t>
  </si>
  <si>
    <t>0000328-ILI-050723-004670</t>
  </si>
  <si>
    <t>IP23-019456</t>
  </si>
  <si>
    <t>MHOP PUROK 5, POBLACION, MAWAB, DAVAO DE ORO</t>
  </si>
  <si>
    <t>0000328-ILI-050823-004728</t>
  </si>
  <si>
    <t>DAVAO DOCTORS HOSPITAL</t>
  </si>
  <si>
    <t>P-ILANG ILANG</t>
  </si>
  <si>
    <t>0003672-ILI-050323-05032023_3</t>
  </si>
  <si>
    <t>P-6</t>
  </si>
  <si>
    <t>PUROK 9</t>
  </si>
  <si>
    <t>JA ALEGRE504-072</t>
  </si>
  <si>
    <t>KAPALONG MUNICIPAL HEALTH OFFICE</t>
  </si>
  <si>
    <t>D3E9FFD0B9914E899213ADDD8EA11021</t>
  </si>
  <si>
    <t>0099-5-8923</t>
  </si>
  <si>
    <t>PUROK 3</t>
  </si>
  <si>
    <t>Imelda</t>
  </si>
  <si>
    <t>P- MATINABANGON</t>
  </si>
  <si>
    <t>PUROK 8</t>
  </si>
  <si>
    <t>P-B1</t>
  </si>
  <si>
    <t>P-2A BAJADA</t>
  </si>
  <si>
    <t>P6 KAGAWASAN</t>
  </si>
  <si>
    <t>6C726F33D7B9420C89987BCFE1BB5F75</t>
  </si>
  <si>
    <t>00157-1</t>
  </si>
  <si>
    <t>PUROK 6</t>
  </si>
  <si>
    <t>0007960-ILI-090523-00157-1</t>
  </si>
  <si>
    <t>P-9 KM 66</t>
  </si>
  <si>
    <t>P-4A</t>
  </si>
  <si>
    <t>P-3</t>
  </si>
  <si>
    <t>Malinawon</t>
  </si>
  <si>
    <t>P-7</t>
  </si>
  <si>
    <t>Nueva Visayas</t>
  </si>
  <si>
    <t>Elizalde (Somil)</t>
  </si>
  <si>
    <t>Saosao</t>
  </si>
  <si>
    <t>P-11</t>
  </si>
  <si>
    <t>0005840-ILI-060123-28338</t>
  </si>
  <si>
    <t>P-1A</t>
  </si>
  <si>
    <t>0005840-ILI-052223-10304738</t>
  </si>
  <si>
    <t>Nuevo Iloco</t>
  </si>
  <si>
    <t>0005840-ILI-052323-10304123</t>
  </si>
  <si>
    <t>Teresa</t>
  </si>
  <si>
    <t>0034462-ILI-060823-28573</t>
  </si>
  <si>
    <t>Malamodao</t>
  </si>
  <si>
    <t>0007247-ILI-061323-039482</t>
  </si>
  <si>
    <t>PURO 6</t>
  </si>
  <si>
    <t>0007247-ILI-061323-060222</t>
  </si>
  <si>
    <t>0005840-ILI-060423-10304864</t>
  </si>
  <si>
    <t>0005840-ILI-060423-10304866</t>
  </si>
  <si>
    <t>Kinuban</t>
  </si>
  <si>
    <t>0000268-ILI-061023-1050463</t>
  </si>
  <si>
    <t>Upper Ulip</t>
  </si>
  <si>
    <t>003-06152023</t>
  </si>
  <si>
    <t>0007960-ILI-061523-3-06152023</t>
  </si>
  <si>
    <t>Kaligutan</t>
  </si>
  <si>
    <t>004-06152023</t>
  </si>
  <si>
    <t>PUROK 3-A</t>
  </si>
  <si>
    <t>0007960-ILI-061523-4-06152023</t>
  </si>
  <si>
    <t>13-75-36</t>
  </si>
  <si>
    <t>C1EE1A1573644BD6B5D7E6C16C9BE581</t>
  </si>
  <si>
    <t>P 46</t>
  </si>
  <si>
    <t>0005840-ILI-061323-10304959</t>
  </si>
  <si>
    <t>IP23-020846</t>
  </si>
  <si>
    <t>P-5, RIZAL, MONKAYO, DAVAO DE ORO</t>
  </si>
  <si>
    <t>0004534-ILI-062223-P23-020846</t>
  </si>
  <si>
    <t>Rizal</t>
  </si>
  <si>
    <t>P-4B</t>
  </si>
  <si>
    <t>0005840-ILI-061323-26994</t>
  </si>
  <si>
    <t>SI00010</t>
  </si>
  <si>
    <t>PUROK 19</t>
  </si>
  <si>
    <t>0003702-ILI-062723-SI00010</t>
  </si>
  <si>
    <t>SAN ISIDRO MUNICIPAL HEALTH OFFICE</t>
  </si>
  <si>
    <t>SI000111</t>
  </si>
  <si>
    <t>0003702-ILI-062723-SI000111</t>
  </si>
  <si>
    <t>0007247-ILI-062623-052263</t>
  </si>
  <si>
    <t>Amor Cruz</t>
  </si>
  <si>
    <t>006-06262023</t>
  </si>
  <si>
    <t>PUROK 2</t>
  </si>
  <si>
    <t>0007960-ILI-062623-6-06262023</t>
  </si>
  <si>
    <t>0005840-ILI-061223-10304947</t>
  </si>
  <si>
    <t>Panibasan</t>
  </si>
  <si>
    <t>PUROK 10</t>
  </si>
  <si>
    <t>0023478-ILI-061823-114172</t>
  </si>
  <si>
    <t>0005840-ILI-061123-10304937</t>
  </si>
  <si>
    <t>0005840-ILI-061223-10304944</t>
  </si>
  <si>
    <t>007-06262023</t>
  </si>
  <si>
    <t>0007960-ILI-062623-7-06262023</t>
  </si>
  <si>
    <t>P-12</t>
  </si>
  <si>
    <t>0005840-ILI-061123-28369</t>
  </si>
  <si>
    <t>0005840-ILI-061523-28379</t>
  </si>
  <si>
    <t>P-8</t>
  </si>
  <si>
    <t>0005840-ILI-061323-19333</t>
  </si>
  <si>
    <t>005-06262023</t>
  </si>
  <si>
    <t>PUROK 13-A</t>
  </si>
  <si>
    <t>0007960-ILI-062623-5-06262023</t>
  </si>
  <si>
    <t>008-06262023</t>
  </si>
  <si>
    <t>PUROK 1</t>
  </si>
  <si>
    <t>0007960-ILI-062623-8-06262023</t>
  </si>
  <si>
    <t>0005840-ILI-061323-10304212</t>
  </si>
  <si>
    <t>P-19</t>
  </si>
  <si>
    <t>0005840-ILI-062223-10304876</t>
  </si>
  <si>
    <t>P-8A</t>
  </si>
  <si>
    <t>0005840-ILI-062123-27245</t>
  </si>
  <si>
    <t>0005840-ILI-062423-28411</t>
  </si>
  <si>
    <t>Salvacion</t>
  </si>
  <si>
    <t>0005840-ILI-062423-28398</t>
  </si>
  <si>
    <t>Concepcion</t>
  </si>
  <si>
    <t>PUROK 1A</t>
  </si>
  <si>
    <t>0034462-ILI-062223-01-19-54</t>
  </si>
  <si>
    <t>Sawangan</t>
  </si>
  <si>
    <t>0017-1-07102023</t>
  </si>
  <si>
    <t>0007960-ILI-071023-1-07102023</t>
  </si>
  <si>
    <t>Cebulida</t>
  </si>
  <si>
    <t>0018-2-07102023</t>
  </si>
  <si>
    <t>0007960-ILI-071023-2-07102023</t>
  </si>
  <si>
    <t>0019-3-07102023</t>
  </si>
  <si>
    <t>0007960-ILI-071023-3-07102023</t>
  </si>
  <si>
    <t>0020-4-07102023</t>
  </si>
  <si>
    <t>PUROK 7</t>
  </si>
  <si>
    <t>0007960-ILI-071023-4-07102023</t>
  </si>
  <si>
    <t>Datu Ampunan</t>
  </si>
  <si>
    <t>0021-5-07102023</t>
  </si>
  <si>
    <t>0007960-ILI-071023-5-07102023</t>
  </si>
  <si>
    <t>Binasbas</t>
  </si>
  <si>
    <t>0022-6-07102023</t>
  </si>
  <si>
    <t>0007960-ILI-071023-6-07102023</t>
  </si>
  <si>
    <t>Anitap</t>
  </si>
  <si>
    <t>0023-7-07102023</t>
  </si>
  <si>
    <t>PUROK MILLION</t>
  </si>
  <si>
    <t>0007960-ILI-071023-7-07102023</t>
  </si>
  <si>
    <t>Santo Nino</t>
  </si>
  <si>
    <t>0024-8-07102023</t>
  </si>
  <si>
    <t>0007960-ILI-071023-8-07102023</t>
  </si>
  <si>
    <t>Kidawa</t>
  </si>
  <si>
    <t>0025-9-07102023</t>
  </si>
  <si>
    <t>0007960-ILI-071023-9-07102023</t>
  </si>
  <si>
    <t>Kapatagan</t>
  </si>
  <si>
    <t>0026-10-07102023</t>
  </si>
  <si>
    <t>0007960-ILI-071023-0-07102023</t>
  </si>
  <si>
    <t>0028-12-07102023</t>
  </si>
  <si>
    <t>Inacayan</t>
  </si>
  <si>
    <t>162453</t>
  </si>
  <si>
    <t>3DF46F771F9F4FC8BAD13CFF438BA895</t>
  </si>
  <si>
    <t>009-07062023</t>
  </si>
  <si>
    <t>PUROK 12</t>
  </si>
  <si>
    <t>0007960-ILI-070623-9-07062023</t>
  </si>
  <si>
    <t>0010-07062023</t>
  </si>
  <si>
    <t>0007960-ILI-070623-0-07062023</t>
  </si>
  <si>
    <t>0011-07062023</t>
  </si>
  <si>
    <t>0007960-ILI-070623-1-07062023</t>
  </si>
  <si>
    <t>0012-07062023</t>
  </si>
  <si>
    <t>0007960-ILI-070623-2-07062023</t>
  </si>
  <si>
    <t>Andap</t>
  </si>
  <si>
    <t>0013-07062023</t>
  </si>
  <si>
    <t>0007960-ILI-070623-3-07062023</t>
  </si>
  <si>
    <t>0014-07062023</t>
  </si>
  <si>
    <t>0007960-ILI-070623-4-07062023</t>
  </si>
  <si>
    <t>Sabud</t>
  </si>
  <si>
    <t>0015-07062023</t>
  </si>
  <si>
    <t>PUROK 2-A</t>
  </si>
  <si>
    <t>0007960-ILI-070623-5-07062023</t>
  </si>
  <si>
    <t>0016-8-07062023</t>
  </si>
  <si>
    <t>PUROK 3, BUHI</t>
  </si>
  <si>
    <t>0007960-ILI-070623-8-07062023</t>
  </si>
  <si>
    <t>Ampawid</t>
  </si>
  <si>
    <t>0053-1-71923</t>
  </si>
  <si>
    <t>0007960-ILI-071823-53-1-71923</t>
  </si>
  <si>
    <t>0054-2-71923</t>
  </si>
  <si>
    <t>PUROK 11</t>
  </si>
  <si>
    <t>0007960-ILI-071823-54-2-71923</t>
  </si>
  <si>
    <t>Aguinaldo</t>
  </si>
  <si>
    <t>0034-1-07142023</t>
  </si>
  <si>
    <t>0007960-ILI-071423-1-07142023</t>
  </si>
  <si>
    <t>0035-2-07142023</t>
  </si>
  <si>
    <t>0007960-ILI-071423-2-07142023</t>
  </si>
  <si>
    <t>Naga</t>
  </si>
  <si>
    <t>0036-3-07142023</t>
  </si>
  <si>
    <t>0007960-ILI-071423-3-07142023</t>
  </si>
  <si>
    <t>0037-4-07142023</t>
  </si>
  <si>
    <t>0007960-ILI-071423-4-07142023</t>
  </si>
  <si>
    <t>0038-5-07142023</t>
  </si>
  <si>
    <t>0007960-ILI-071423-5-07142023</t>
  </si>
  <si>
    <t>Panamoren</t>
  </si>
  <si>
    <t>0039-6-07142023</t>
  </si>
  <si>
    <t>0007960-ILI-071423-6-07142023</t>
  </si>
  <si>
    <t>0041-8-07142023</t>
  </si>
  <si>
    <t>0007960-ILI-071423-8-07142023</t>
  </si>
  <si>
    <t>0042-9-07142023</t>
  </si>
  <si>
    <t>0007960-ILI-071423-9-07142023</t>
  </si>
  <si>
    <t>0029-1-7132023</t>
  </si>
  <si>
    <t>0007960-ILI-071323--1-7132023</t>
  </si>
  <si>
    <t>Bullucan</t>
  </si>
  <si>
    <t>0030-2-07132023</t>
  </si>
  <si>
    <t>0007960-ILI-071323-2-07132023</t>
  </si>
  <si>
    <t>0031-3-07132023</t>
  </si>
  <si>
    <t>0007960-ILI-071323-3-07132023</t>
  </si>
  <si>
    <t>Kilagding</t>
  </si>
  <si>
    <t>0033-5-07132023</t>
  </si>
  <si>
    <t>0007960-ILI-071323-5-07132023</t>
  </si>
  <si>
    <t>PRK 2</t>
  </si>
  <si>
    <t>0000275-ILI-070723-3534590</t>
  </si>
  <si>
    <t>Bongbong</t>
  </si>
  <si>
    <t>0005840-ILI-070823-27567</t>
  </si>
  <si>
    <t>New Sibonga</t>
  </si>
  <si>
    <t>0005840-ILI-071023-28377</t>
  </si>
  <si>
    <t>17-40-39</t>
  </si>
  <si>
    <t>P-9 RIVERSIDE</t>
  </si>
  <si>
    <t>0000253-ILI-071823-17-40-39</t>
  </si>
  <si>
    <t>COMPOSTELA VALLEY PROVINCIAL HOSPITAL - PANTUKAN</t>
  </si>
  <si>
    <t>Napnapan</t>
  </si>
  <si>
    <t>18-33-03</t>
  </si>
  <si>
    <t>0000253-ILI-071723-18-33-03</t>
  </si>
  <si>
    <t>Cadunan</t>
  </si>
  <si>
    <t>18-33-63</t>
  </si>
  <si>
    <t>0000253-ILI-072023-18-33-63</t>
  </si>
  <si>
    <t>17-18-19</t>
  </si>
  <si>
    <t>0000253-ILI-072123-17-18-19</t>
  </si>
  <si>
    <t>Tibagon</t>
  </si>
  <si>
    <t>18-33-89</t>
  </si>
  <si>
    <t>0000253-ILI-072123-18-33-89</t>
  </si>
  <si>
    <t>Magnaga</t>
  </si>
  <si>
    <t>0075-1-71923</t>
  </si>
  <si>
    <t>0007960-ILI-072123-75-1-71923</t>
  </si>
  <si>
    <t>0076-2-72123</t>
  </si>
  <si>
    <t>0007960-ILI-072123-76-2-72123</t>
  </si>
  <si>
    <t>0077-3-72123</t>
  </si>
  <si>
    <t>0007960-ILI-072123-77-3-72123</t>
  </si>
  <si>
    <t>0078-4-72123</t>
  </si>
  <si>
    <t>0007960-ILI-072123-78-4-72123</t>
  </si>
  <si>
    <t>0079-5-72123</t>
  </si>
  <si>
    <t>0007960-ILI-072123-79-5-72123</t>
  </si>
  <si>
    <t>004-1-71723</t>
  </si>
  <si>
    <t>0007960-ILI-072023-04-1-71723</t>
  </si>
  <si>
    <t>0064-1-72023</t>
  </si>
  <si>
    <t>0007960-ILI-072023-64-1-72023</t>
  </si>
  <si>
    <t>0066-3-72023</t>
  </si>
  <si>
    <t>0007960-ILI-072023-66-3-72023</t>
  </si>
  <si>
    <t>0067-4-72023</t>
  </si>
  <si>
    <t>0007960-ILI-072023-67-4-72023</t>
  </si>
  <si>
    <t>0068-5-72023</t>
  </si>
  <si>
    <t>0007960-ILI-072023-68-5-72023</t>
  </si>
  <si>
    <t>0069-6-72023</t>
  </si>
  <si>
    <t>0007960-ILI-072023-69-6-72023</t>
  </si>
  <si>
    <t>Langtud</t>
  </si>
  <si>
    <t>0070-7-72023</t>
  </si>
  <si>
    <t>0007960-ILI-072023-70-7-72023</t>
  </si>
  <si>
    <t>0071-8-72023</t>
  </si>
  <si>
    <t>PUROK 4, KIBAGUIO</t>
  </si>
  <si>
    <t>0007960-ILI-072023-71-8-72023</t>
  </si>
  <si>
    <t>0072-9-72023</t>
  </si>
  <si>
    <t>0007960-ILI-072023-72-9-72023</t>
  </si>
  <si>
    <t>0074-11-72023</t>
  </si>
  <si>
    <t>0007960-ILI-072023-4-11-72023</t>
  </si>
  <si>
    <t>0055-3-71823</t>
  </si>
  <si>
    <t>0007960-ILI-071823-55-3-71823</t>
  </si>
  <si>
    <t>0056-4-71823</t>
  </si>
  <si>
    <t>0007960-ILI-071823-56-4-71823</t>
  </si>
  <si>
    <t>0052-20-71723</t>
  </si>
  <si>
    <t>0007960-ILI-071723-2-20-71723</t>
  </si>
  <si>
    <t>0056-4-71723</t>
  </si>
  <si>
    <t>0007960-ILI-071723-56-4-71723</t>
  </si>
  <si>
    <t>0050-8-7172023</t>
  </si>
  <si>
    <t>0007960-ILI-071723--8-7172023</t>
  </si>
  <si>
    <t>0049-7-71723</t>
  </si>
  <si>
    <t>0007960-ILI-071723-49-7-71723</t>
  </si>
  <si>
    <t>0048-6-71723</t>
  </si>
  <si>
    <t>0007960-ILI-071723-48-6-71723</t>
  </si>
  <si>
    <t>0043-1-71723</t>
  </si>
  <si>
    <t>PUROK MANGA</t>
  </si>
  <si>
    <t>0007960-ILI-071723-43-1-71723</t>
  </si>
  <si>
    <t>0044-2-71723</t>
  </si>
  <si>
    <t>PUROK SUNKIST</t>
  </si>
  <si>
    <t>0007960-ILI-071723-44-2-71723</t>
  </si>
  <si>
    <t>0045-3-71723</t>
  </si>
  <si>
    <t>0007960-ILI-071723-45-3-71723</t>
  </si>
  <si>
    <t>0046-4-71723</t>
  </si>
  <si>
    <t>0007960-ILI-071723-46-4-71723</t>
  </si>
  <si>
    <t>0057-1-71923</t>
  </si>
  <si>
    <t>0007960-ILI-071923-57-1-71923</t>
  </si>
  <si>
    <t>0058-2-71923</t>
  </si>
  <si>
    <t>0007960-ILI-071923-58-2-71923</t>
  </si>
  <si>
    <t>0059-3-71923</t>
  </si>
  <si>
    <t>0007960-ILI-071923-59-3-71923</t>
  </si>
  <si>
    <t>0061-5-71923</t>
  </si>
  <si>
    <t>0007960-ILI-071923-61-5-71923</t>
  </si>
  <si>
    <t>0060-4-71923</t>
  </si>
  <si>
    <t>0007960-ILI-071923-60-4-71923</t>
  </si>
  <si>
    <t>0063-7-71923</t>
  </si>
  <si>
    <t>0007960-ILI-071923-63-7-71923</t>
  </si>
  <si>
    <t>0062-6-71923</t>
  </si>
  <si>
    <t>0007960-ILI-071923-62-6-71923</t>
  </si>
  <si>
    <t>B7820727E98D4EFE9E4C1FFE94B1216A</t>
  </si>
  <si>
    <t>P-1B</t>
  </si>
  <si>
    <t>0005840-ILI-071723-10305316</t>
  </si>
  <si>
    <t>0005840-ILI-071723-10305319</t>
  </si>
  <si>
    <t>0088-9-8223</t>
  </si>
  <si>
    <t>PUROK 4, BUHI</t>
  </si>
  <si>
    <t>0007960-ILI-080223-088-9-8223</t>
  </si>
  <si>
    <t>0081-2-8223</t>
  </si>
  <si>
    <t>0007960-ILI-080223-081-2-8223</t>
  </si>
  <si>
    <t>Mangloy</t>
  </si>
  <si>
    <t>0082-3-8223</t>
  </si>
  <si>
    <t>0007960-ILI-080223-082-3-8223</t>
  </si>
  <si>
    <t>Melale</t>
  </si>
  <si>
    <t>0083-4-8223</t>
  </si>
  <si>
    <t>0007960-ILI-080223-3-4-822023</t>
  </si>
  <si>
    <t>0084-5-8223</t>
  </si>
  <si>
    <t>0007960-ILI-080223-084-5-8223</t>
  </si>
  <si>
    <t>0093-2-8323</t>
  </si>
  <si>
    <t>0007960-ILI-080323-093-2-8323</t>
  </si>
  <si>
    <t>PRK 5</t>
  </si>
  <si>
    <t>0000275-ILI-080223-3541278</t>
  </si>
  <si>
    <t>0085-6-8223</t>
  </si>
  <si>
    <t>0007960-ILI-080223-085-6-8223</t>
  </si>
  <si>
    <t>0080-1-8223</t>
  </si>
  <si>
    <t>0007960-ILI-080223-080-1-8223</t>
  </si>
  <si>
    <t>El Katipunan</t>
  </si>
  <si>
    <t>00210-12</t>
  </si>
  <si>
    <t>0007960-ILI-100523-00210-12</t>
  </si>
  <si>
    <t>0094-3-8323</t>
  </si>
  <si>
    <t>PUORK 1</t>
  </si>
  <si>
    <t>0007960-ILI-080323-094-3-8323</t>
  </si>
  <si>
    <t>0089-10-8223</t>
  </si>
  <si>
    <t>0007960-ILI-080223-89-10-8223</t>
  </si>
  <si>
    <t>Longanapan</t>
  </si>
  <si>
    <t>0090-11-8223</t>
  </si>
  <si>
    <t>0007960-ILI-080223-85-11-8223</t>
  </si>
  <si>
    <t>0086-12-8223</t>
  </si>
  <si>
    <t>PUROK 2, LINUMBAAN</t>
  </si>
  <si>
    <t>0007960-ILI-080223-86-12-8223</t>
  </si>
  <si>
    <t>0092-1-8323</t>
  </si>
  <si>
    <t>PUROK MANGGA</t>
  </si>
  <si>
    <t>0007960-ILI-080323-092-1-8323</t>
  </si>
  <si>
    <t>0086-7-8223</t>
  </si>
  <si>
    <t>0007960-ILI-080223-086-7-8223</t>
  </si>
  <si>
    <t>Macopa</t>
  </si>
  <si>
    <t>0005840-ILI-072423-10305579</t>
  </si>
  <si>
    <t>0005840-ILI-072423-10305580</t>
  </si>
  <si>
    <t>0005840-ILI-072423-10305577</t>
  </si>
  <si>
    <t>00111-6-81123</t>
  </si>
  <si>
    <t>0007960-ILI-081123-11-6-81123</t>
  </si>
  <si>
    <t>0005840-ILI-073123-24211</t>
  </si>
  <si>
    <t>Elizalde</t>
  </si>
  <si>
    <t>0010-5-81123</t>
  </si>
  <si>
    <t>0007960-ILI-081123-10-5-81123</t>
  </si>
  <si>
    <t>Mabuhay</t>
  </si>
  <si>
    <t>0005840-ILI-072623-0007249</t>
  </si>
  <si>
    <t>0096-2-8923</t>
  </si>
  <si>
    <t>0007960-ILI-080823-096-2-8923</t>
  </si>
  <si>
    <t>0095-1-8923</t>
  </si>
  <si>
    <t>0007960-ILI-080823-095-1-8923</t>
  </si>
  <si>
    <t xml:space="preserve">Nabunturan </t>
  </si>
  <si>
    <t>0004413-ILI-042823-00403899</t>
  </si>
  <si>
    <t>00106-1</t>
  </si>
  <si>
    <t>0007960-ILI-081123-00106-1</t>
  </si>
  <si>
    <t>00102-8-8923</t>
  </si>
  <si>
    <t>0007960-ILI-080823-102-8-8923</t>
  </si>
  <si>
    <t>0005840-ILI-080323-28452</t>
  </si>
  <si>
    <t>Pangutosan</t>
  </si>
  <si>
    <t>PUROK 4A</t>
  </si>
  <si>
    <t>0005288-ILI-081223-490338</t>
  </si>
  <si>
    <t>00103-9-8923</t>
  </si>
  <si>
    <t>0007960-ILI-080823-103-9-8923</t>
  </si>
  <si>
    <t>0004413-ILI-050523-00373383</t>
  </si>
  <si>
    <t>0005840-ILI-073123-28439</t>
  </si>
  <si>
    <t>0097-3-8923</t>
  </si>
  <si>
    <t>0007960-ILI-080823-097-3-8923</t>
  </si>
  <si>
    <t>00109-4-81123</t>
  </si>
  <si>
    <t>0007960-ILI-081123-09-4-81123</t>
  </si>
  <si>
    <t>00101-7-8923</t>
  </si>
  <si>
    <t>0007960-ILI-080823-101-7-8923</t>
  </si>
  <si>
    <t>0005840-ILI-072423-28416</t>
  </si>
  <si>
    <t>0098-4-8923</t>
  </si>
  <si>
    <t>0007960-ILI-080823-098-4-8923</t>
  </si>
  <si>
    <t>00100-6-8923</t>
  </si>
  <si>
    <t>0007960-ILI-080823-100-6-8923</t>
  </si>
  <si>
    <t>0005840-ILI-072423-10305576</t>
  </si>
  <si>
    <t>0005840-ILI-072423-10305574</t>
  </si>
  <si>
    <t>0005840-ILI-080123-10304610</t>
  </si>
  <si>
    <t>0004413-ILI-042723-00490436</t>
  </si>
  <si>
    <t>0004413-ILI-042223-00489930</t>
  </si>
  <si>
    <t>0004413-ILI-042123-00448461</t>
  </si>
  <si>
    <t>Camanlangan</t>
  </si>
  <si>
    <t>00105-11-8923</t>
  </si>
  <si>
    <t>0007960-ILI-080823-05-11-8923</t>
  </si>
  <si>
    <t>0004413-ILI-041923-00489641</t>
  </si>
  <si>
    <t>IP23-022584</t>
  </si>
  <si>
    <t>P10, KAPATAGAN, LAAK, DAVAO DE ORO</t>
  </si>
  <si>
    <t>0004534-ILI-081123-P23-022584</t>
  </si>
  <si>
    <t>00107-2</t>
  </si>
  <si>
    <t>PUROK BOMBIL</t>
  </si>
  <si>
    <t>0007960-ILI-081123-00107-2</t>
  </si>
  <si>
    <t>00104-10-8923</t>
  </si>
  <si>
    <t>0007960-ILI-080823-04-10-8923</t>
  </si>
  <si>
    <t>00108-3-81123</t>
  </si>
  <si>
    <t>0007960-ILI-081123-08-3-81123</t>
  </si>
  <si>
    <t>P-ZONE 2</t>
  </si>
  <si>
    <t>0005840-ILI-080123-10305048</t>
  </si>
  <si>
    <t>Masara</t>
  </si>
  <si>
    <t>IP23-022790</t>
  </si>
  <si>
    <t>P6, MAHOGANY ST., MANAT, NABUNTURAN, DAVAO DE ORO</t>
  </si>
  <si>
    <t>0004534-ILI-081723-P23-022790</t>
  </si>
  <si>
    <t>Manat</t>
  </si>
  <si>
    <t>00131-10-82423</t>
  </si>
  <si>
    <t>0007960-ILI-082423-1-10-82423</t>
  </si>
  <si>
    <t>PUROK16</t>
  </si>
  <si>
    <t>0034462-ILI-082223-30044</t>
  </si>
  <si>
    <t>00119-7-82323</t>
  </si>
  <si>
    <t>0007960-ILI-082323-19-7-82323</t>
  </si>
  <si>
    <t>00130-9-82423</t>
  </si>
  <si>
    <t>PUROK 1B</t>
  </si>
  <si>
    <t>0007960-ILI-082423-30-9-82423</t>
  </si>
  <si>
    <t>00125-4-82423</t>
  </si>
  <si>
    <t>0007960-ILI-082423-25-4-82423</t>
  </si>
  <si>
    <t>PUROK A-2</t>
  </si>
  <si>
    <t>0002479-ILI-082423-051400</t>
  </si>
  <si>
    <t>DIGOS DOCTORS' HOSPITAL, INC.</t>
  </si>
  <si>
    <t>Pindasan</t>
  </si>
  <si>
    <t>00116-4-82323</t>
  </si>
  <si>
    <t>PUROK 13</t>
  </si>
  <si>
    <t>0007960-ILI-082323-16-4-82323</t>
  </si>
  <si>
    <t>0005840-ILI-081523-28498</t>
  </si>
  <si>
    <t>0005840-ILI-081723-28503</t>
  </si>
  <si>
    <t>0005840-ILI-081923-26350</t>
  </si>
  <si>
    <t>Mipangi</t>
  </si>
  <si>
    <t>00127-6-82423</t>
  </si>
  <si>
    <t>0007960-ILI-082423-27-6-82423</t>
  </si>
  <si>
    <t>Datu Davao</t>
  </si>
  <si>
    <t>00122-1-82423</t>
  </si>
  <si>
    <t>0007960-ILI-082423-22-1-82423</t>
  </si>
  <si>
    <t>0005840-ILI-081623-20355</t>
  </si>
  <si>
    <t>Tuboran</t>
  </si>
  <si>
    <t>00120-9-82323</t>
  </si>
  <si>
    <t>0007960-ILI-082323-20-9-82323</t>
  </si>
  <si>
    <t>0005840-ILI-081323-28486</t>
  </si>
  <si>
    <t>0013-1-82423</t>
  </si>
  <si>
    <t>0007960-ILI-082323-13-1-82423</t>
  </si>
  <si>
    <t>00114-2-82323</t>
  </si>
  <si>
    <t>0005840-ILI-081623-10305231</t>
  </si>
  <si>
    <t>0034462-ILI-072423-012667</t>
  </si>
  <si>
    <t>00115-3-82323</t>
  </si>
  <si>
    <t>0007960-ILI-082323-15-3-82323</t>
  </si>
  <si>
    <t>0005840-ILI-081523-10305225</t>
  </si>
  <si>
    <t>0005840-ILI-081523-10305223</t>
  </si>
  <si>
    <t>00128-7-82423</t>
  </si>
  <si>
    <t>0007960-ILI-082423-28-7-82423</t>
  </si>
  <si>
    <t>0005840-ILI-081723-28504</t>
  </si>
  <si>
    <t>00129-8-82423</t>
  </si>
  <si>
    <t>0007960-ILI-082423-29-8-82423</t>
  </si>
  <si>
    <t>00123-2-82423</t>
  </si>
  <si>
    <t>0007960-ILI-082423-23-2-82423</t>
  </si>
  <si>
    <t>00120-8-82323</t>
  </si>
  <si>
    <t>0007960-ILI-082323-20-8-82323</t>
  </si>
  <si>
    <t>0005840-ILI-081423-28489</t>
  </si>
  <si>
    <t>0034462-ILI-081523-29922</t>
  </si>
  <si>
    <t>0005840-ILI-081623-10305236</t>
  </si>
  <si>
    <t>P MANDARIN</t>
  </si>
  <si>
    <t>0000275-ILI-082123-3545762</t>
  </si>
  <si>
    <t>00118-6-82323</t>
  </si>
  <si>
    <t>0007960-ILI-082323-18-6-82323</t>
  </si>
  <si>
    <t>0005840-ILI-081423-28493</t>
  </si>
  <si>
    <t>00126-5-82423</t>
  </si>
  <si>
    <t>0007960-ILI-082423-26-5-82423</t>
  </si>
  <si>
    <t>00140-9</t>
  </si>
  <si>
    <t>0007960-ILI-083123-00140-9</t>
  </si>
  <si>
    <t>0000275-ILI-082423-3519865</t>
  </si>
  <si>
    <t>00145-4</t>
  </si>
  <si>
    <t>0007960-ILI-090423-00145-4</t>
  </si>
  <si>
    <t>00134-3</t>
  </si>
  <si>
    <t>0007960-ILI-083123-00134-3</t>
  </si>
  <si>
    <t>00146-5</t>
  </si>
  <si>
    <t>0007960-ILI-090423-00146-5</t>
  </si>
  <si>
    <t>00144-3</t>
  </si>
  <si>
    <t>0007960-ILI-090423-00144-3</t>
  </si>
  <si>
    <t>0034462-ILI-090423-30170</t>
  </si>
  <si>
    <t>00141-10</t>
  </si>
  <si>
    <t>0007960-ILI-083123-00141-10</t>
  </si>
  <si>
    <t>00139-8</t>
  </si>
  <si>
    <t>0007960-ILI-083123-00139-8</t>
  </si>
  <si>
    <t>00142-1</t>
  </si>
  <si>
    <t>0007960-ILI-090423-00142-1</t>
  </si>
  <si>
    <t>00147-6</t>
  </si>
  <si>
    <t>LS</t>
  </si>
  <si>
    <t>0007960-ILI-090423-00147-6</t>
  </si>
  <si>
    <t>00143-2</t>
  </si>
  <si>
    <t>PUROK 2, LS</t>
  </si>
  <si>
    <t>0007960-ILI-090423-00143-2</t>
  </si>
  <si>
    <t>00136-5</t>
  </si>
  <si>
    <t>0007960-ILI-083123-00136-5</t>
  </si>
  <si>
    <t>0034462-ILI-090323-012246</t>
  </si>
  <si>
    <t>Tagbaros</t>
  </si>
  <si>
    <t>00132-1</t>
  </si>
  <si>
    <t>0007960-ILI-083123-00132-1</t>
  </si>
  <si>
    <t>00132-2</t>
  </si>
  <si>
    <t>0007960-ILI-083123-00132-2</t>
  </si>
  <si>
    <t>00138-7</t>
  </si>
  <si>
    <t>0007960-ILI-083123-00138-7</t>
  </si>
  <si>
    <t>00135-4</t>
  </si>
  <si>
    <t>0007960-ILI-083123-00135-4</t>
  </si>
  <si>
    <t>00166-6</t>
  </si>
  <si>
    <t>0007960-ILI-090623-00166-6</t>
  </si>
  <si>
    <t>Banbanon</t>
  </si>
  <si>
    <t>00151-10</t>
  </si>
  <si>
    <t>0007960-ILI-090423-00151-10</t>
  </si>
  <si>
    <t>0005840-ILI-090623-27552</t>
  </si>
  <si>
    <t>0034462-ILI-081723-0000256</t>
  </si>
  <si>
    <t>Bawani</t>
  </si>
  <si>
    <t>0034462-ILI-091123-008949</t>
  </si>
  <si>
    <t>00159-3</t>
  </si>
  <si>
    <t>0007960-ILI-090523-00159-3</t>
  </si>
  <si>
    <t>Belmonte</t>
  </si>
  <si>
    <t>PUROK 14 UPPER GUISOK</t>
  </si>
  <si>
    <t>0034462-ILI-071623-012615</t>
  </si>
  <si>
    <t>0034462-ILI-080323-29679</t>
  </si>
  <si>
    <t>Babag</t>
  </si>
  <si>
    <t>0034462-ILI-082923-008845</t>
  </si>
  <si>
    <t>Golden Valley</t>
  </si>
  <si>
    <t>0034462-ILI-081123-29843</t>
  </si>
  <si>
    <t>00149-8</t>
  </si>
  <si>
    <t>PUROK CENTENIAL</t>
  </si>
  <si>
    <t>0007960-ILI-090423-00149-8</t>
  </si>
  <si>
    <t>Santo Niño</t>
  </si>
  <si>
    <t>00154-13</t>
  </si>
  <si>
    <t>0007960-ILI-090423-00154-13</t>
  </si>
  <si>
    <t>PRK. SANTOL</t>
  </si>
  <si>
    <t>0005077-ILI-090923-142327</t>
  </si>
  <si>
    <t>Magangit</t>
  </si>
  <si>
    <t>0034462-ILI-081723-29972</t>
  </si>
  <si>
    <t>Banglasan</t>
  </si>
  <si>
    <t>00156-15</t>
  </si>
  <si>
    <t>0007960-ILI-090423-00156-15</t>
  </si>
  <si>
    <t>00161-1</t>
  </si>
  <si>
    <t>0007960-ILI-090623-00161-1</t>
  </si>
  <si>
    <t>0034462-ILI-080423-29708</t>
  </si>
  <si>
    <t>00167-7</t>
  </si>
  <si>
    <t>0007960-ILI-090623-00167-7</t>
  </si>
  <si>
    <t>00163-3</t>
  </si>
  <si>
    <t>0007960-ILI-090623-00163-3</t>
  </si>
  <si>
    <t>00169-9</t>
  </si>
  <si>
    <t>0007960-ILI-090723-00169-9</t>
  </si>
  <si>
    <t>00170-10</t>
  </si>
  <si>
    <t>0007960-ILI-090723-00170-10</t>
  </si>
  <si>
    <t>0034462-ILI-091123-17716</t>
  </si>
  <si>
    <t>0034462-ILI-081823-29984</t>
  </si>
  <si>
    <t>00155-14</t>
  </si>
  <si>
    <t>0007960-ILI-090423-00155-14</t>
  </si>
  <si>
    <t>00160-4</t>
  </si>
  <si>
    <t>0007960-ILI-090523-00160-4</t>
  </si>
  <si>
    <t>00164-4</t>
  </si>
  <si>
    <t>0007960-ILI-090623-00164-4</t>
  </si>
  <si>
    <t>00150-9</t>
  </si>
  <si>
    <t>0007960-ILI-090423-00150-9</t>
  </si>
  <si>
    <t>0034462-ILI-080323-003737</t>
  </si>
  <si>
    <t>0034462-ILI-090223-4219</t>
  </si>
  <si>
    <t>00158-2</t>
  </si>
  <si>
    <t>PUROK 17-A</t>
  </si>
  <si>
    <t>0007960-ILI-090523-00158-2</t>
  </si>
  <si>
    <t>00148-7</t>
  </si>
  <si>
    <t>0007960-ILI-090423-00148-7</t>
  </si>
  <si>
    <t>00152-11</t>
  </si>
  <si>
    <t>0007960-ILI-090423-00152-11</t>
  </si>
  <si>
    <t>0005840-ILI-090923-28328</t>
  </si>
  <si>
    <t>0034462-ILI-081723-007469</t>
  </si>
  <si>
    <t>0034462-ILI-090123-8338</t>
  </si>
  <si>
    <t>00168-8</t>
  </si>
  <si>
    <t>0007960-ILI-090623-00168-8</t>
  </si>
  <si>
    <t>00171-11</t>
  </si>
  <si>
    <t>0007960-ILI-090623-00171-11</t>
  </si>
  <si>
    <t>00173-13</t>
  </si>
  <si>
    <t>0007960-ILI-090623-00173-13</t>
  </si>
  <si>
    <t>00165-5</t>
  </si>
  <si>
    <t>0007960-ILI-090623-00165-5</t>
  </si>
  <si>
    <t>00174-14</t>
  </si>
  <si>
    <t>0007960-ILI-090623-00174-14</t>
  </si>
  <si>
    <t>00172-12</t>
  </si>
  <si>
    <t>0007960-ILI-090623-00172-12</t>
  </si>
  <si>
    <t>00185-12</t>
  </si>
  <si>
    <t>0007960-ILI-091523-00185-12</t>
  </si>
  <si>
    <t>0034462-ILI-091123-30465</t>
  </si>
  <si>
    <t>0007960-ILI-091523-00177</t>
  </si>
  <si>
    <t>PUROK WALING WALING</t>
  </si>
  <si>
    <t>0034462-ILI-073123-29604</t>
  </si>
  <si>
    <t>0034462-ILI-042423-010496</t>
  </si>
  <si>
    <t>0034462-ILI-071023-009036</t>
  </si>
  <si>
    <t>0034462-ILI-072923-19167</t>
  </si>
  <si>
    <t>00185-11</t>
  </si>
  <si>
    <t>PUROK 3A</t>
  </si>
  <si>
    <t>0007960-ILI-091523-00185-11</t>
  </si>
  <si>
    <t>0034462-ILI-091823-001223</t>
  </si>
  <si>
    <t>0034462-ILI-042123-001834</t>
  </si>
  <si>
    <t>0034462-ILI-070523-012566</t>
  </si>
  <si>
    <t>0007960-ILI-091523-00176</t>
  </si>
  <si>
    <t>PUROK PAGBABAYA</t>
  </si>
  <si>
    <t>0034462-ILI-042523-010411</t>
  </si>
  <si>
    <t>0007960-ILI-091523-00178</t>
  </si>
  <si>
    <t>0034462-ILI-071523-012610</t>
  </si>
  <si>
    <t>0007960-ILI-091523-00180</t>
  </si>
  <si>
    <t>0007960-ILI-091523-00181</t>
  </si>
  <si>
    <t>0034462-ILI-091823-20413</t>
  </si>
  <si>
    <t>0007960-ILI-091523-00175</t>
  </si>
  <si>
    <t>0034462-ILI-072123-012647</t>
  </si>
  <si>
    <t>0034462-ILI-091823-30615</t>
  </si>
  <si>
    <t>0034462-ILI-091123-30452</t>
  </si>
  <si>
    <t>New Leyte</t>
  </si>
  <si>
    <t>0034462-ILI-091823-30640</t>
  </si>
  <si>
    <t>0034462-ILI-071423-006851</t>
  </si>
  <si>
    <t>00184-10</t>
  </si>
  <si>
    <t>0007960-ILI-091523-00184-10</t>
  </si>
  <si>
    <t>00183-9</t>
  </si>
  <si>
    <t>0007960-ILI-091523-00183-9</t>
  </si>
  <si>
    <t>0034462-ILI-091923-30656</t>
  </si>
  <si>
    <t>0034462-ILI-071323-012603</t>
  </si>
  <si>
    <t>00198-13</t>
  </si>
  <si>
    <t>0007960-ILI-091823-00198-13</t>
  </si>
  <si>
    <t>00195-10</t>
  </si>
  <si>
    <t>0007960-ILI-091823-00195-10</t>
  </si>
  <si>
    <t>00190-5</t>
  </si>
  <si>
    <t>0007960-ILI-091823-00190-5</t>
  </si>
  <si>
    <t>00191-6</t>
  </si>
  <si>
    <t>0007960-ILI-091823-00191-6</t>
  </si>
  <si>
    <t>00189-4</t>
  </si>
  <si>
    <t>0007960-ILI-091823-00189-4</t>
  </si>
  <si>
    <t>00193-8</t>
  </si>
  <si>
    <t>0007960-ILI-091823-00193-8</t>
  </si>
  <si>
    <t>00192-7</t>
  </si>
  <si>
    <t>0007960-ILI-091823-00192-7</t>
  </si>
  <si>
    <t>00187-2</t>
  </si>
  <si>
    <t>0007960-ILI-091823-00187-2</t>
  </si>
  <si>
    <t>0034462-ILI-022823-010055</t>
  </si>
  <si>
    <t>00188-3</t>
  </si>
  <si>
    <t>0007960-ILI-091823-00188-3</t>
  </si>
  <si>
    <t>00196-11</t>
  </si>
  <si>
    <t>0007960-ILI-091823-00196-11</t>
  </si>
  <si>
    <t>0034462-ILI-040523-012111</t>
  </si>
  <si>
    <t>0034462-ILI-041423-011116</t>
  </si>
  <si>
    <t>00197-12</t>
  </si>
  <si>
    <t>0007960-ILI-091823-00197-12</t>
  </si>
  <si>
    <t>00186-1</t>
  </si>
  <si>
    <t>0007960-ILI-091823-00186-1</t>
  </si>
  <si>
    <t>00194-9</t>
  </si>
  <si>
    <t>0007960-ILI-091823-00194-9</t>
  </si>
  <si>
    <t>0034462-ILI-100123-30974</t>
  </si>
  <si>
    <t>00201-3</t>
  </si>
  <si>
    <t>0007960-ILI-100523-00201-3</t>
  </si>
  <si>
    <t>00246-27</t>
  </si>
  <si>
    <t>0007960-ILI-100923-00246-27</t>
  </si>
  <si>
    <t>00222-3</t>
  </si>
  <si>
    <t>0007960-ILI-100923-00222-3</t>
  </si>
  <si>
    <t>00203-5</t>
  </si>
  <si>
    <t>0007960-ILI-100523-00203-5</t>
  </si>
  <si>
    <t>00223-4</t>
  </si>
  <si>
    <t>0007960-ILI-100923-00223-4</t>
  </si>
  <si>
    <t>00220-1</t>
  </si>
  <si>
    <t>0007960-ILI-100923-00220-1</t>
  </si>
  <si>
    <t>0225-6</t>
  </si>
  <si>
    <t>0007960-ILI-100923-0225-6</t>
  </si>
  <si>
    <t>00199-1</t>
  </si>
  <si>
    <t>0007960-ILI-100523-00199-1</t>
  </si>
  <si>
    <t>00251-32</t>
  </si>
  <si>
    <t>0007960-ILI-100923-00251-32</t>
  </si>
  <si>
    <t>00251-33</t>
  </si>
  <si>
    <t>0007960-ILI-100923-00251-33</t>
  </si>
  <si>
    <t>00249-30</t>
  </si>
  <si>
    <t>[PUROK 17-A</t>
  </si>
  <si>
    <t>0008856-ILI-100923-00249-30</t>
  </si>
  <si>
    <t>LAAK (POB) BARANGAY HEALTH STATION</t>
  </si>
  <si>
    <t>00216-18</t>
  </si>
  <si>
    <t>0007960-ILI-100523-00216-18</t>
  </si>
  <si>
    <t>0034462-ILI-100923-10760</t>
  </si>
  <si>
    <t>000227-8</t>
  </si>
  <si>
    <t>0007960-ILI-100923-000227-8</t>
  </si>
  <si>
    <t>Doña Josefa</t>
  </si>
  <si>
    <t>00219-21</t>
  </si>
  <si>
    <t>0007960-ILI-100523-00219-21</t>
  </si>
  <si>
    <t>00207-9</t>
  </si>
  <si>
    <t>0007960-ILI-100523-00207-9</t>
  </si>
  <si>
    <t>00204-6</t>
  </si>
  <si>
    <t>0007960-ILI-100523-00204-6</t>
  </si>
  <si>
    <t>00244-25</t>
  </si>
  <si>
    <t>0007960-ILI-100923-00244-25</t>
  </si>
  <si>
    <t>00243-24</t>
  </si>
  <si>
    <t>0007960-ILI-100923-00243-24</t>
  </si>
  <si>
    <t>00256-37</t>
  </si>
  <si>
    <t>0007960-ILI-100923-00256-37</t>
  </si>
  <si>
    <t>00212-14</t>
  </si>
  <si>
    <t>PUROK 1-B</t>
  </si>
  <si>
    <t>0007960-ILI-100523-00212-14</t>
  </si>
  <si>
    <t>00224-5</t>
  </si>
  <si>
    <t>0007960-ILI-100923-00224-5</t>
  </si>
  <si>
    <t>00245-26</t>
  </si>
  <si>
    <t>0007960-ILI-100923-00245-26</t>
  </si>
  <si>
    <t>00226-7</t>
  </si>
  <si>
    <t>0007960-ILI-100923-00226-7</t>
  </si>
  <si>
    <t>00241-22</t>
  </si>
  <si>
    <t>0007960-ILI-100923-00241-22</t>
  </si>
  <si>
    <t>00238-19</t>
  </si>
  <si>
    <t>0007960-ILI-100923-00238-19</t>
  </si>
  <si>
    <t>00230-11</t>
  </si>
  <si>
    <t>0007960-ILI-100923-00230-11</t>
  </si>
  <si>
    <t>00231-12</t>
  </si>
  <si>
    <t>0007960-ILI-100923-00231-12</t>
  </si>
  <si>
    <t>00205-7</t>
  </si>
  <si>
    <t>0007960-ILI-100523-00205-7</t>
  </si>
  <si>
    <t>00248-29</t>
  </si>
  <si>
    <t>0007960-ILI-100923-00248-29</t>
  </si>
  <si>
    <t>0255-36</t>
  </si>
  <si>
    <t>0007960-ILI-100923-0255-36</t>
  </si>
  <si>
    <t>00239-20</t>
  </si>
  <si>
    <t>0007960-ILI-100923-00239-20</t>
  </si>
  <si>
    <t>00214-16</t>
  </si>
  <si>
    <t>0007960-ILI-100523-00214-16</t>
  </si>
  <si>
    <t>00215-17</t>
  </si>
  <si>
    <t>0007960-ILI-100523-00215-17</t>
  </si>
  <si>
    <t>00247-28</t>
  </si>
  <si>
    <t>0007960-ILI-100923-00247-28</t>
  </si>
  <si>
    <t>00235-16</t>
  </si>
  <si>
    <t>0007960-ILI-100923-00235-16</t>
  </si>
  <si>
    <t>00253-34</t>
  </si>
  <si>
    <t>0007960-ILI-100923-00253-34</t>
  </si>
  <si>
    <t>00254-35</t>
  </si>
  <si>
    <t>0007960-ILI-100923-00254-35</t>
  </si>
  <si>
    <t>00229-10</t>
  </si>
  <si>
    <t>0007960-ILI-100923-00229-10</t>
  </si>
  <si>
    <t>00236-17</t>
  </si>
  <si>
    <t>0007960-ILI-100923-00236-17</t>
  </si>
  <si>
    <t>00240-21</t>
  </si>
  <si>
    <t>0007960-ILI-100923-00240-21</t>
  </si>
  <si>
    <t>00242-23</t>
  </si>
  <si>
    <t>0007960-ILI-100923-00242-23</t>
  </si>
  <si>
    <t>00206-8</t>
  </si>
  <si>
    <t>0007960-ILI-100523-00206-8</t>
  </si>
  <si>
    <t>00250-31</t>
  </si>
  <si>
    <t>0007960-ILI-100923-00250-31</t>
  </si>
  <si>
    <t>00228-9</t>
  </si>
  <si>
    <t>0007960-ILI-100923-00228-9</t>
  </si>
  <si>
    <t>00211-13</t>
  </si>
  <si>
    <t>0007960-ILI-100523-00211-13</t>
  </si>
  <si>
    <t>00218-20</t>
  </si>
  <si>
    <t>0007960-ILI-100523-00218-20</t>
  </si>
  <si>
    <t>00209-11</t>
  </si>
  <si>
    <t>0007960-ILI-100523-00209-11</t>
  </si>
  <si>
    <t>00237-8</t>
  </si>
  <si>
    <t>0007960-ILI-100923-00237-8</t>
  </si>
  <si>
    <t>00257-38</t>
  </si>
  <si>
    <t>0007960-ILI-100923-00257-38</t>
  </si>
  <si>
    <t>00232-13</t>
  </si>
  <si>
    <t>0007960-ILI-100923-00232-13</t>
  </si>
  <si>
    <t>00233-14</t>
  </si>
  <si>
    <t>0007960-ILI-100923-00233-14</t>
  </si>
  <si>
    <t>00234-15</t>
  </si>
  <si>
    <t>0007960-ILI-100923-00234-15</t>
  </si>
  <si>
    <t>00213-15</t>
  </si>
  <si>
    <t>0007960-ILI-100523-00213-15</t>
  </si>
  <si>
    <t>00217-19</t>
  </si>
  <si>
    <t>0007960-ILI-100523-00217-19</t>
  </si>
  <si>
    <t>0034462-ILI-101023-31256</t>
  </si>
  <si>
    <t>0005288-ILI-100823-493672</t>
  </si>
  <si>
    <t>0034462-ILI-101623-010838</t>
  </si>
  <si>
    <t>MONK000048</t>
  </si>
  <si>
    <t>PUROK DURANTA</t>
  </si>
  <si>
    <t>0000054-ILI-102323-MONK000048</t>
  </si>
  <si>
    <t>MONKAYO RURAL HEALTH UNIT</t>
  </si>
  <si>
    <t>Union</t>
  </si>
  <si>
    <t>MONK000047</t>
  </si>
  <si>
    <t>0000054-ILI-102023-MONK000047</t>
  </si>
  <si>
    <t>0034462-ILI-101723-31464</t>
  </si>
  <si>
    <t>MONK000049</t>
  </si>
  <si>
    <t>0000054-ILI-102323-MONK000049</t>
  </si>
  <si>
    <t>0004415-ILI-101823-2108356</t>
  </si>
  <si>
    <t>GONZALES MARANAN MEDICAL CENTER, INC.</t>
  </si>
  <si>
    <t>0000054-ILI-102623-MONK000049</t>
  </si>
  <si>
    <t>0034462-ILI-102823-001329</t>
  </si>
  <si>
    <t>MONK000052</t>
  </si>
  <si>
    <t>0000054-ILI-102723-MONK000052</t>
  </si>
  <si>
    <t>MONK000053</t>
  </si>
  <si>
    <t>0000054-ILI-102723-MONK000053</t>
  </si>
  <si>
    <t>0009591-ILI-102623-MONK000049</t>
  </si>
  <si>
    <t>AWAO BARANGAY HEALTH STATION</t>
  </si>
  <si>
    <t>Pasian</t>
  </si>
  <si>
    <t>PRK. 13</t>
  </si>
  <si>
    <t>0045561-ILI-111123-30997</t>
  </si>
  <si>
    <t>TAGUM MEDICAL CITY</t>
  </si>
  <si>
    <t>0034462-ILI-110623-31976</t>
  </si>
  <si>
    <t>Calabcab</t>
  </si>
  <si>
    <t>PUROK 18</t>
  </si>
  <si>
    <t>0034462-ILI-112023-32331</t>
  </si>
  <si>
    <t>0034462-ILI-111823-013575</t>
  </si>
  <si>
    <t>0034462-ILI-112723-32535</t>
  </si>
  <si>
    <t>0034462-ILI-112623-32480</t>
  </si>
  <si>
    <t>0034462-ILI-112523-012553</t>
  </si>
  <si>
    <t>MAR122023-03</t>
  </si>
  <si>
    <t>SAMPAGUITA BLOCK 3</t>
  </si>
  <si>
    <t>0035936-ILI-112923-R122023-03</t>
  </si>
  <si>
    <t>BAGONG SILANG BARANGAY HEALTH STATION</t>
  </si>
  <si>
    <t>Bagong Silang</t>
  </si>
  <si>
    <t>MAR122023-01</t>
  </si>
  <si>
    <t>PUROK LAWAAN B</t>
  </si>
  <si>
    <t>0027950-ILI-112923-R122023-01</t>
  </si>
  <si>
    <t>MAR122023-04</t>
  </si>
  <si>
    <t>BLOCK 4 LOT 6-A KIM JAMES SUBDIVISION</t>
  </si>
  <si>
    <t>0027950-ILI-112923-R122023-04</t>
  </si>
  <si>
    <t>MAR122023-05</t>
  </si>
  <si>
    <t>PUROK LUZVIMIND</t>
  </si>
  <si>
    <t>0009316-ILI-113023-R122023-05</t>
  </si>
  <si>
    <t>KATIPUNAN BARANGAY HEALTH STATION</t>
  </si>
  <si>
    <t>Katipunan</t>
  </si>
  <si>
    <t>MAR122023-07</t>
  </si>
  <si>
    <t>PUROK MABINI</t>
  </si>
  <si>
    <t>0009442-ILI-113023-R122023-07</t>
  </si>
  <si>
    <t>NEW PANAY BARANGAY HEALTH STATION</t>
  </si>
  <si>
    <t>New Panay</t>
  </si>
  <si>
    <t>MAR122023-08</t>
  </si>
  <si>
    <t>PUROK MADAUGON</t>
  </si>
  <si>
    <t>0009316-ILI-120123-R122023-08</t>
  </si>
  <si>
    <t>MAR122023-06</t>
  </si>
  <si>
    <t>PUROK NARRA B</t>
  </si>
  <si>
    <t>0026904-ILI-113023-R122023-06</t>
  </si>
  <si>
    <t>POBLACION WEST BARANGAY HEALTH STATION</t>
  </si>
  <si>
    <t>MAR122023-02</t>
  </si>
  <si>
    <t>PUROK BUYO</t>
  </si>
  <si>
    <t>0026904-ILI-112923-R122023-02</t>
  </si>
  <si>
    <t>00-03-42</t>
  </si>
  <si>
    <t>0034462-ILI-120923-00-03-42</t>
  </si>
  <si>
    <t>MAR122023-09</t>
  </si>
  <si>
    <t>Coronobe</t>
  </si>
  <si>
    <t>0009306-ILI-120623-R122023-09</t>
  </si>
  <si>
    <t>CORONOBE BARANGAY HEALTH STATION</t>
  </si>
  <si>
    <t>MAR122023-10</t>
  </si>
  <si>
    <t>0026904-ILI-120623-R122023-10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</si>
</sst>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0.0"/>
  </numFmts>
  <fonts count="3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0"/>
      <color indexed="8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14" fontId="0" fillId="0" borderId="0" xfId="0" applyNumberFormat="1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wrapText="1"/>
    </xf>
    <xf numFmtId="1" fontId="1" fillId="0" borderId="2" xfId="1" applyNumberFormat="1" applyFont="1" applyBorder="1" applyAlignment="1">
      <alignment horizontal="right" wrapText="1"/>
    </xf>
    <xf numFmtId="2" fontId="1" fillId="0" borderId="2" xfId="1" applyNumberFormat="1" applyFont="1" applyBorder="1" applyAlignment="1">
      <alignment horizontal="right" wrapText="1"/>
    </xf>
    <xf numFmtId="14" fontId="1" fillId="2" borderId="1" xfId="1" applyNumberFormat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14" fontId="1" fillId="0" borderId="2" xfId="1" applyNumberFormat="1" applyFont="1" applyBorder="1" applyAlignment="1">
      <alignment horizontal="right" wrapText="1"/>
    </xf>
    <xf numFmtId="0" fontId="2" fillId="0" borderId="0" xfId="1"/>
    <xf numFmtId="164" fontId="1" fillId="0" borderId="2" xfId="1" applyNumberFormat="1" applyFont="1" applyBorder="1" applyAlignment="1">
      <alignment horizontal="right" wrapText="1"/>
    </xf>
    <xf numFmtId="165" fontId="1" fillId="0" borderId="2" xfId="1" applyNumberFormat="1" applyFont="1" applyBorder="1" applyAlignment="1">
      <alignment horizontal="right" wrapText="1"/>
    </xf>
    <xf numFmtId="0" fontId="0" fillId="0" borderId="2" xfId="0" applyBorder="1"/>
    <xf numFmtId="14" fontId="0" fillId="0" borderId="2" xfId="0" applyNumberFormat="1" applyBorder="1"/>
    <xf numFmtId="14" fontId="2" fillId="0" borderId="0" xfId="1" applyNumberFormat="1"/>
    <xf numFmtId="14" fontId="0" fillId="3" borderId="0" xfId="0" applyNumberFormat="1" applyFill="1"/>
    <xf numFmtId="0" fontId="0" fillId="0" borderId="2" xfId="0" quotePrefix="1" applyBorder="1"/>
    <xf numFmtId="0" fontId="0" fillId="0" borderId="0" xfId="0" quotePrefix="1"/>
    <xf numFmtId="0" fontId="1" fillId="0" borderId="0" xfId="1" applyFont="1" applyAlignment="1">
      <alignment wrapText="1"/>
    </xf>
    <xf numFmtId="1" fontId="1" fillId="0" borderId="0" xfId="1" applyNumberFormat="1" applyFont="1" applyAlignment="1">
      <alignment horizontal="right" wrapText="1"/>
    </xf>
    <xf numFmtId="2" fontId="1" fillId="0" borderId="0" xfId="1" applyNumberFormat="1" applyFont="1" applyAlignment="1">
      <alignment horizontal="right" wrapText="1"/>
    </xf>
    <xf numFmtId="14" fontId="1" fillId="0" borderId="0" xfId="1" applyNumberFormat="1" applyFont="1" applyAlignment="1">
      <alignment horizontal="right" wrapText="1"/>
    </xf>
    <xf numFmtId="14" fontId="2" fillId="3" borderId="2" xfId="1" applyNumberFormat="1" applyFill="1" applyBorder="1"/>
    <xf numFmtId="0" fontId="1" fillId="0" borderId="0" xfId="1" applyFont="1" applyAlignment="1">
      <alignment horizontal="right" wrapText="1"/>
    </xf>
    <xf numFmtId="164" fontId="1" fillId="0" borderId="0" xfId="1" applyNumberFormat="1" applyFont="1" applyAlignment="1">
      <alignment horizontal="right" wrapText="1"/>
    </xf>
    <xf numFmtId="0" fontId="2" fillId="0" borderId="2" xfId="1" applyBorder="1"/>
    <xf numFmtId="0" fontId="1" fillId="0" borderId="0" xfId="1" applyFont="1" applyBorder="1" applyAlignment="1">
      <alignment wrapText="1"/>
    </xf>
    <xf numFmtId="14" fontId="1" fillId="0" borderId="0" xfId="1" applyNumberFormat="1" applyFont="1" applyBorder="1" applyAlignment="1">
      <alignment horizontal="right" wrapText="1"/>
    </xf>
    <xf numFmtId="0" fontId="1" fillId="0" borderId="0" xfId="1" applyFont="1" applyBorder="1" applyAlignment="1">
      <alignment horizontal="right" wrapText="1"/>
    </xf>
    <xf numFmtId="14" fontId="0" fillId="0" borderId="0" xfId="0" applyNumberFormat="1" applyBorder="1"/>
    <xf numFmtId="164" fontId="1" fillId="0" borderId="0" xfId="1" applyNumberFormat="1" applyFont="1" applyBorder="1" applyAlignment="1">
      <alignment horizontal="right" wrapText="1"/>
    </xf>
    <xf numFmtId="0" fontId="0" fillId="0" borderId="0" xfId="0" applyBorder="1"/>
  </cellXfs>
  <cellStyles count="2">
    <cellStyle name="Normal" xfId="0" builtinId="0"/>
    <cellStyle name="Normal_Sheet1" xfId="1" xr:uid="{00000000-0005-0000-0000-000031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34"/>
  <sheetViews>
    <sheetView tabSelected="1" topLeftCell="O1" workbookViewId="0">
      <pane ySplit="1" topLeftCell="A2" activePane="bottomLeft" state="frozen"/>
      <selection activeCell="R1" sqref="R1"/>
      <selection pane="bottomLeft" activeCell="W2" sqref="W2"/>
    </sheetView>
  </sheetViews>
  <sheetFormatPr defaultColWidth="11.42578125" defaultRowHeight="30" customHeight="1"/>
  <cols>
    <col min="2" max="2" width="11.42578125" customWidth="1"/>
    <col min="3" max="6" width="11.42578125" hidden="1" customWidth="1"/>
    <col min="8" max="11" width="11.42578125" customWidth="1"/>
    <col min="12" max="12" width="11.42578125" style="1" customWidth="1"/>
    <col min="13" max="13" width="11.42578125" customWidth="1"/>
    <col min="14" max="14" width="22.85546875" customWidth="1"/>
    <col min="15" max="15" width="21" customWidth="1"/>
    <col min="16" max="17" width="11.42578125" customWidth="1"/>
    <col min="18" max="18" width="12.28515625" style="1" bestFit="1" customWidth="1"/>
    <col min="19" max="19" width="11.42578125" style="1" customWidth="1"/>
    <col min="20" max="20" width="11.42578125" customWidth="1"/>
    <col min="23" max="23" width="16.42578125" bestFit="1" customWidth="1"/>
    <col min="24" max="24" width="17.85546875" bestFit="1" customWidth="1"/>
    <col min="25" max="25" width="18.5703125" bestFit="1" customWidth="1"/>
    <col min="26" max="26" width="20.28515625" bestFit="1" customWidth="1"/>
    <col min="27" max="27" width="19.5703125" bestFit="1" customWidth="1"/>
    <col min="34" max="34" width="82.42578125" customWidth="1"/>
    <col min="37" max="37" width="27.140625" customWidth="1"/>
  </cols>
  <sheetData>
    <row r="1" spans="1:44" ht="29.2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6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6" t="s">
        <v>17</v>
      </c>
      <c r="S1" s="6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ht="30" customHeight="1">
      <c r="A2" s="3" t="s">
        <v>44</v>
      </c>
      <c r="B2" s="3" t="s">
        <v>45</v>
      </c>
      <c r="C2" s="3" t="s">
        <v>46</v>
      </c>
      <c r="D2" s="3" t="s">
        <v>130</v>
      </c>
      <c r="E2" s="3" t="s">
        <v>48</v>
      </c>
      <c r="F2" s="3" t="s">
        <v>131</v>
      </c>
      <c r="G2" s="3" t="s">
        <v>48</v>
      </c>
      <c r="H2" s="4">
        <f t="shared" ref="H2:H35" si="0">IF(DATEDIF(L2,S2,"m")&gt;12,DATEDIF(L2,S2,"y"),(DATEDIF(L2,S2,"m")/12))</f>
        <v>59</v>
      </c>
      <c r="I2" s="7">
        <f t="shared" ref="I2:I35" si="1">DATEDIF(L2,S2,"M")</f>
        <v>719</v>
      </c>
      <c r="J2" s="7">
        <f t="shared" ref="J2:J35" si="2">DATEDIF(L2,S2,"D")</f>
        <v>21893</v>
      </c>
      <c r="K2" s="3" t="s">
        <v>64</v>
      </c>
      <c r="L2" s="8">
        <v>23048</v>
      </c>
      <c r="M2" s="3" t="s">
        <v>45</v>
      </c>
      <c r="N2" s="3" t="s">
        <v>83</v>
      </c>
      <c r="O2" s="3" t="s">
        <v>52</v>
      </c>
      <c r="P2" s="3" t="s">
        <v>2524</v>
      </c>
      <c r="Q2" s="7">
        <v>0</v>
      </c>
      <c r="R2" s="8">
        <v>44951</v>
      </c>
      <c r="S2" s="8">
        <v>44941</v>
      </c>
      <c r="T2" s="3" t="s">
        <v>54</v>
      </c>
      <c r="U2" s="3" t="s">
        <v>55</v>
      </c>
      <c r="V2" s="9"/>
      <c r="W2" s="10">
        <v>44879</v>
      </c>
      <c r="X2" s="7">
        <v>2</v>
      </c>
      <c r="Y2" s="7">
        <v>10</v>
      </c>
      <c r="Z2" s="7">
        <v>1</v>
      </c>
      <c r="AA2" s="7">
        <f>INT((S2-DATE(YEAR(S2-WEEKDAY(S2-0)+4),1,4)+WEEKDAY(DATE(YEAR(S2-WEEKDAY(S2-0)+4),1,4))+6)/7)</f>
        <v>3</v>
      </c>
      <c r="AB2" s="3" t="s">
        <v>2525</v>
      </c>
      <c r="AC2" s="7">
        <v>53</v>
      </c>
      <c r="AD2" s="7">
        <v>0</v>
      </c>
      <c r="AE2" s="7">
        <v>0</v>
      </c>
      <c r="AF2" s="3" t="s">
        <v>48</v>
      </c>
      <c r="AG2" s="7">
        <v>2023</v>
      </c>
      <c r="AH2" s="3" t="s">
        <v>133</v>
      </c>
      <c r="AI2" s="3" t="s">
        <v>106</v>
      </c>
      <c r="AJ2" s="3" t="s">
        <v>48</v>
      </c>
      <c r="AK2" s="3" t="s">
        <v>1453</v>
      </c>
      <c r="AL2" s="3" t="s">
        <v>59</v>
      </c>
      <c r="AM2" s="3" t="s">
        <v>115</v>
      </c>
      <c r="AN2" s="3" t="s">
        <v>61</v>
      </c>
      <c r="AO2" s="3" t="s">
        <v>62</v>
      </c>
      <c r="AP2" s="3" t="s">
        <v>69</v>
      </c>
      <c r="AQ2" s="3" t="s">
        <v>61</v>
      </c>
      <c r="AR2" s="3" t="s">
        <v>48</v>
      </c>
    </row>
    <row r="3" spans="1:44" ht="30" customHeight="1">
      <c r="A3" s="3" t="s">
        <v>44</v>
      </c>
      <c r="B3" s="3" t="s">
        <v>45</v>
      </c>
      <c r="C3" s="3" t="s">
        <v>46</v>
      </c>
      <c r="D3" s="3" t="s">
        <v>100</v>
      </c>
      <c r="E3" s="3" t="s">
        <v>48</v>
      </c>
      <c r="F3" s="3" t="s">
        <v>48</v>
      </c>
      <c r="G3" s="3" t="s">
        <v>48</v>
      </c>
      <c r="H3" s="5">
        <f>IF(DATEDIF(L3,S3,"m")&gt;12,DATEDIF(L3,S3,"y"),(DATEDIF(L3,S3,"m")/12))</f>
        <v>0.66666666666666663</v>
      </c>
      <c r="I3" s="7">
        <f>DATEDIF(L3,S3,"M")</f>
        <v>8</v>
      </c>
      <c r="J3" s="7">
        <f>DATEDIF(L3,S3,"D")</f>
        <v>273</v>
      </c>
      <c r="K3" s="3" t="s">
        <v>51</v>
      </c>
      <c r="L3" s="8">
        <v>44692</v>
      </c>
      <c r="M3" s="3" t="s">
        <v>45</v>
      </c>
      <c r="N3" s="3" t="s">
        <v>73</v>
      </c>
      <c r="O3" s="3" t="s">
        <v>52</v>
      </c>
      <c r="P3" s="3" t="s">
        <v>91</v>
      </c>
      <c r="Q3" s="7">
        <v>1</v>
      </c>
      <c r="R3" s="8">
        <v>44967</v>
      </c>
      <c r="S3" s="8">
        <v>44965</v>
      </c>
      <c r="T3" s="3" t="s">
        <v>54</v>
      </c>
      <c r="U3" s="3" t="s">
        <v>55</v>
      </c>
      <c r="V3" s="9"/>
      <c r="W3" s="10">
        <v>44978</v>
      </c>
      <c r="X3" s="7">
        <v>11</v>
      </c>
      <c r="Y3" s="7">
        <v>2</v>
      </c>
      <c r="Z3" s="7">
        <v>2</v>
      </c>
      <c r="AA3" s="7">
        <f>INT((S3-DATE(YEAR(S3-WEEKDAY(S3-0)+4),1,4)+WEEKDAY(DATE(YEAR(S3-WEEKDAY(S3-0)+4),1,4))+6)/7)</f>
        <v>6</v>
      </c>
      <c r="AB3" s="3" t="s">
        <v>469</v>
      </c>
      <c r="AC3" s="7">
        <v>68</v>
      </c>
      <c r="AD3" s="7">
        <v>0</v>
      </c>
      <c r="AE3" s="7">
        <v>0</v>
      </c>
      <c r="AF3" s="3" t="s">
        <v>48</v>
      </c>
      <c r="AG3" s="7">
        <v>2023</v>
      </c>
      <c r="AH3" s="3" t="s">
        <v>223</v>
      </c>
      <c r="AI3" s="3" t="s">
        <v>106</v>
      </c>
      <c r="AJ3" s="3" t="s">
        <v>252</v>
      </c>
      <c r="AK3" s="3" t="s">
        <v>470</v>
      </c>
      <c r="AL3" s="3" t="s">
        <v>59</v>
      </c>
      <c r="AM3" s="3" t="s">
        <v>99</v>
      </c>
      <c r="AN3" s="3" t="s">
        <v>61</v>
      </c>
      <c r="AO3" s="3" t="s">
        <v>62</v>
      </c>
      <c r="AP3" s="3" t="s">
        <v>69</v>
      </c>
      <c r="AQ3" s="3" t="s">
        <v>61</v>
      </c>
      <c r="AR3" s="3" t="s">
        <v>48</v>
      </c>
    </row>
    <row r="4" spans="1:44" ht="30" customHeight="1">
      <c r="A4" s="3" t="s">
        <v>44</v>
      </c>
      <c r="B4" s="3" t="s">
        <v>45</v>
      </c>
      <c r="C4" s="3" t="s">
        <v>46</v>
      </c>
      <c r="D4" s="3" t="s">
        <v>108</v>
      </c>
      <c r="E4" s="3" t="s">
        <v>48</v>
      </c>
      <c r="F4" s="3" t="s">
        <v>108</v>
      </c>
      <c r="G4" s="3" t="s">
        <v>1393</v>
      </c>
      <c r="H4" s="4">
        <f>IF(DATEDIF(L4,S4,"m")&gt;12,DATEDIF(L4,S4,"y"),(DATEDIF(L4,S4,"m")/12))</f>
        <v>3</v>
      </c>
      <c r="I4" s="7">
        <f>DATEDIF(L4,S4,"M")</f>
        <v>44</v>
      </c>
      <c r="J4" s="7">
        <f>DATEDIF(L4,S4,"D")</f>
        <v>1350</v>
      </c>
      <c r="K4" s="3" t="s">
        <v>64</v>
      </c>
      <c r="L4" s="8">
        <v>43633</v>
      </c>
      <c r="M4" s="3" t="s">
        <v>45</v>
      </c>
      <c r="N4" s="3" t="s">
        <v>73</v>
      </c>
      <c r="O4" s="3" t="s">
        <v>52</v>
      </c>
      <c r="P4" s="3" t="s">
        <v>962</v>
      </c>
      <c r="Q4" s="7">
        <v>0</v>
      </c>
      <c r="R4" s="8">
        <v>44985</v>
      </c>
      <c r="S4" s="8">
        <v>44983</v>
      </c>
      <c r="T4" s="3" t="s">
        <v>54</v>
      </c>
      <c r="U4" s="3" t="s">
        <v>55</v>
      </c>
      <c r="V4" s="9"/>
      <c r="W4" s="10">
        <v>44902</v>
      </c>
      <c r="X4" s="7">
        <v>6</v>
      </c>
      <c r="Y4" s="7">
        <v>2</v>
      </c>
      <c r="Z4" s="7">
        <v>2</v>
      </c>
      <c r="AA4" s="7">
        <f>INT((S4-DATE(YEAR(S4-WEEKDAY(S4-0)+4),1,4)+WEEKDAY(DATE(YEAR(S4-WEEKDAY(S4-0)+4),1,4))+6)/7)</f>
        <v>9</v>
      </c>
      <c r="AB4" s="3" t="s">
        <v>1394</v>
      </c>
      <c r="AC4" s="7">
        <v>49</v>
      </c>
      <c r="AD4" s="7">
        <v>0</v>
      </c>
      <c r="AE4" s="7">
        <v>0</v>
      </c>
      <c r="AF4" s="3" t="s">
        <v>48</v>
      </c>
      <c r="AG4" s="7">
        <v>2023</v>
      </c>
      <c r="AH4" s="3" t="s">
        <v>112</v>
      </c>
      <c r="AI4" s="3" t="s">
        <v>113</v>
      </c>
      <c r="AJ4" s="3" t="s">
        <v>48</v>
      </c>
      <c r="AK4" s="3" t="s">
        <v>114</v>
      </c>
      <c r="AL4" s="3" t="s">
        <v>59</v>
      </c>
      <c r="AM4" s="3" t="s">
        <v>115</v>
      </c>
      <c r="AN4" s="3" t="s">
        <v>61</v>
      </c>
      <c r="AO4" s="3" t="s">
        <v>62</v>
      </c>
      <c r="AP4" s="3" t="s">
        <v>69</v>
      </c>
      <c r="AQ4" s="3" t="s">
        <v>61</v>
      </c>
      <c r="AR4" s="3" t="s">
        <v>519</v>
      </c>
    </row>
    <row r="5" spans="1:44" ht="30" customHeight="1">
      <c r="A5" s="3" t="s">
        <v>44</v>
      </c>
      <c r="B5" s="3" t="s">
        <v>45</v>
      </c>
      <c r="C5" s="3" t="s">
        <v>46</v>
      </c>
      <c r="D5" s="3" t="s">
        <v>130</v>
      </c>
      <c r="E5" s="3" t="s">
        <v>48</v>
      </c>
      <c r="F5" s="3" t="s">
        <v>131</v>
      </c>
      <c r="G5" s="3" t="s">
        <v>48</v>
      </c>
      <c r="H5" s="4">
        <f>IF(DATEDIF(L5,S5,"m")&gt;12,DATEDIF(L5,S5,"y"),(DATEDIF(L5,S5,"m")/12))</f>
        <v>33</v>
      </c>
      <c r="I5" s="7">
        <f>DATEDIF(L5,S5,"M")</f>
        <v>399</v>
      </c>
      <c r="J5" s="7">
        <f>DATEDIF(L5,S5,"D")</f>
        <v>12168</v>
      </c>
      <c r="K5" s="3" t="s">
        <v>51</v>
      </c>
      <c r="L5" s="8">
        <v>32781</v>
      </c>
      <c r="M5" s="3" t="s">
        <v>45</v>
      </c>
      <c r="N5" s="3" t="s">
        <v>83</v>
      </c>
      <c r="O5" s="3" t="s">
        <v>52</v>
      </c>
      <c r="P5" s="3" t="s">
        <v>103</v>
      </c>
      <c r="Q5" s="7">
        <v>0</v>
      </c>
      <c r="R5" s="8">
        <v>44950</v>
      </c>
      <c r="S5" s="8">
        <v>44949</v>
      </c>
      <c r="T5" s="3" t="s">
        <v>54</v>
      </c>
      <c r="U5" s="3" t="s">
        <v>55</v>
      </c>
      <c r="V5" s="9"/>
      <c r="W5" s="10">
        <v>44930</v>
      </c>
      <c r="X5" s="7">
        <v>3</v>
      </c>
      <c r="Y5" s="7">
        <v>1</v>
      </c>
      <c r="Z5" s="7">
        <v>1</v>
      </c>
      <c r="AA5" s="7">
        <f>INT((S5-DATE(YEAR(S5-WEEKDAY(S5-0)+4),1,4)+WEEKDAY(DATE(YEAR(S5-WEEKDAY(S5-0)+4),1,4))+6)/7)</f>
        <v>4</v>
      </c>
      <c r="AB5" s="3" t="s">
        <v>973</v>
      </c>
      <c r="AC5" s="7">
        <v>77</v>
      </c>
      <c r="AD5" s="7">
        <v>0</v>
      </c>
      <c r="AE5" s="7">
        <v>0</v>
      </c>
      <c r="AF5" s="3" t="s">
        <v>48</v>
      </c>
      <c r="AG5" s="7">
        <v>2023</v>
      </c>
      <c r="AH5" s="3" t="s">
        <v>133</v>
      </c>
      <c r="AI5" s="3" t="s">
        <v>106</v>
      </c>
      <c r="AJ5" s="3" t="s">
        <v>48</v>
      </c>
      <c r="AK5" s="12" t="s">
        <v>140</v>
      </c>
      <c r="AL5" s="3" t="s">
        <v>59</v>
      </c>
      <c r="AM5" s="3" t="s">
        <v>48</v>
      </c>
      <c r="AN5" s="3" t="s">
        <v>61</v>
      </c>
      <c r="AO5" s="3" t="s">
        <v>62</v>
      </c>
      <c r="AP5" s="3" t="s">
        <v>69</v>
      </c>
      <c r="AQ5" s="3" t="s">
        <v>61</v>
      </c>
      <c r="AR5" s="3" t="s">
        <v>48</v>
      </c>
    </row>
    <row r="6" spans="1:44" ht="30" customHeight="1">
      <c r="A6" s="3" t="s">
        <v>44</v>
      </c>
      <c r="B6" s="3" t="s">
        <v>45</v>
      </c>
      <c r="C6" s="3" t="s">
        <v>46</v>
      </c>
      <c r="D6" s="3" t="s">
        <v>70</v>
      </c>
      <c r="E6" s="3" t="s">
        <v>48</v>
      </c>
      <c r="F6" s="3" t="s">
        <v>71</v>
      </c>
      <c r="G6" s="3" t="s">
        <v>570</v>
      </c>
      <c r="H6" s="4">
        <f>IF(DATEDIF(L6,S6,"m")&gt;12,DATEDIF(L6,S6,"y"),(DATEDIF(L6,S6,"m")/12))</f>
        <v>19</v>
      </c>
      <c r="I6" s="7">
        <f>DATEDIF(L6,S6,"M")</f>
        <v>238</v>
      </c>
      <c r="J6" s="7">
        <f>DATEDIF(L6,S6,"D")</f>
        <v>7250</v>
      </c>
      <c r="K6" s="3" t="s">
        <v>64</v>
      </c>
      <c r="L6" s="8">
        <v>37677</v>
      </c>
      <c r="M6" s="3" t="s">
        <v>45</v>
      </c>
      <c r="N6" s="3" t="s">
        <v>164</v>
      </c>
      <c r="O6" s="3" t="s">
        <v>52</v>
      </c>
      <c r="P6" s="3" t="s">
        <v>137</v>
      </c>
      <c r="Q6" s="7">
        <v>1</v>
      </c>
      <c r="R6" s="8">
        <v>44928</v>
      </c>
      <c r="S6" s="8">
        <v>44927</v>
      </c>
      <c r="T6" s="3" t="s">
        <v>54</v>
      </c>
      <c r="U6" s="3" t="s">
        <v>55</v>
      </c>
      <c r="V6" s="9"/>
      <c r="W6" s="10">
        <v>44932</v>
      </c>
      <c r="X6" s="7">
        <v>4</v>
      </c>
      <c r="Y6" s="7">
        <v>1</v>
      </c>
      <c r="Z6" s="7">
        <v>1</v>
      </c>
      <c r="AA6" s="7">
        <f>INT((S6-DATE(YEAR(S6-WEEKDAY(S6-0)+4),1,4)+WEEKDAY(DATE(YEAR(S6-WEEKDAY(S6-0)+4),1,4))+6)/7)</f>
        <v>1</v>
      </c>
      <c r="AB6" s="3" t="s">
        <v>571</v>
      </c>
      <c r="AC6" s="7">
        <v>595</v>
      </c>
      <c r="AD6" s="7">
        <v>0</v>
      </c>
      <c r="AE6" s="7">
        <v>1</v>
      </c>
      <c r="AF6" s="3" t="s">
        <v>48</v>
      </c>
      <c r="AG6" s="7">
        <v>2023</v>
      </c>
      <c r="AH6" s="3" t="s">
        <v>76</v>
      </c>
      <c r="AI6" s="3" t="s">
        <v>166</v>
      </c>
      <c r="AJ6" s="3" t="s">
        <v>78</v>
      </c>
      <c r="AK6" s="3" t="s">
        <v>572</v>
      </c>
      <c r="AL6" s="3" t="s">
        <v>59</v>
      </c>
      <c r="AM6" s="3" t="s">
        <v>60</v>
      </c>
      <c r="AN6" s="3" t="s">
        <v>61</v>
      </c>
      <c r="AO6" s="3" t="s">
        <v>62</v>
      </c>
      <c r="AP6" s="3" t="s">
        <v>69</v>
      </c>
      <c r="AQ6" s="3" t="s">
        <v>61</v>
      </c>
      <c r="AR6" s="3" t="s">
        <v>48</v>
      </c>
    </row>
    <row r="7" spans="1:44" ht="30" customHeight="1">
      <c r="A7" s="3" t="s">
        <v>44</v>
      </c>
      <c r="B7" s="3" t="s">
        <v>45</v>
      </c>
      <c r="C7" s="3" t="s">
        <v>46</v>
      </c>
      <c r="D7" s="3" t="s">
        <v>70</v>
      </c>
      <c r="E7" s="3" t="s">
        <v>48</v>
      </c>
      <c r="F7" s="3" t="s">
        <v>71</v>
      </c>
      <c r="G7" s="3" t="s">
        <v>666</v>
      </c>
      <c r="H7" s="4">
        <f>IF(DATEDIF(L7,S7,"m")&gt;12,DATEDIF(L7,S7,"y"),(DATEDIF(L7,S7,"m")/12))</f>
        <v>4</v>
      </c>
      <c r="I7" s="7">
        <f>DATEDIF(L7,S7,"M")</f>
        <v>58</v>
      </c>
      <c r="J7" s="7">
        <f>DATEDIF(L7,S7,"D")</f>
        <v>1768</v>
      </c>
      <c r="K7" s="3" t="s">
        <v>64</v>
      </c>
      <c r="L7" s="8">
        <v>43159</v>
      </c>
      <c r="M7" s="3" t="s">
        <v>45</v>
      </c>
      <c r="N7" s="3" t="s">
        <v>159</v>
      </c>
      <c r="O7" s="3" t="s">
        <v>52</v>
      </c>
      <c r="P7" s="3" t="s">
        <v>667</v>
      </c>
      <c r="Q7" s="7">
        <v>1</v>
      </c>
      <c r="R7" s="8">
        <v>44928</v>
      </c>
      <c r="S7" s="8">
        <v>44927</v>
      </c>
      <c r="T7" s="3" t="s">
        <v>54</v>
      </c>
      <c r="U7" s="3" t="s">
        <v>55</v>
      </c>
      <c r="V7" s="9"/>
      <c r="W7" s="10">
        <v>44932</v>
      </c>
      <c r="X7" s="7">
        <v>4</v>
      </c>
      <c r="Y7" s="7">
        <v>1</v>
      </c>
      <c r="Z7" s="7">
        <v>1</v>
      </c>
      <c r="AA7" s="7">
        <f>INT((S7-DATE(YEAR(S7-WEEKDAY(S7-0)+4),1,4)+WEEKDAY(DATE(YEAR(S7-WEEKDAY(S7-0)+4),1,4))+6)/7)</f>
        <v>1</v>
      </c>
      <c r="AB7" s="3" t="s">
        <v>668</v>
      </c>
      <c r="AC7" s="7">
        <v>589</v>
      </c>
      <c r="AD7" s="7">
        <v>0</v>
      </c>
      <c r="AE7" s="7">
        <v>1</v>
      </c>
      <c r="AF7" s="3" t="s">
        <v>48</v>
      </c>
      <c r="AG7" s="7">
        <v>2023</v>
      </c>
      <c r="AH7" s="3" t="s">
        <v>76</v>
      </c>
      <c r="AI7" s="3" t="s">
        <v>77</v>
      </c>
      <c r="AJ7" s="3" t="s">
        <v>78</v>
      </c>
      <c r="AK7" s="3" t="s">
        <v>162</v>
      </c>
      <c r="AL7" s="3" t="s">
        <v>59</v>
      </c>
      <c r="AM7" s="3" t="s">
        <v>60</v>
      </c>
      <c r="AN7" s="3" t="s">
        <v>61</v>
      </c>
      <c r="AO7" s="3" t="s">
        <v>62</v>
      </c>
      <c r="AP7" s="3" t="s">
        <v>69</v>
      </c>
      <c r="AQ7" s="3" t="s">
        <v>61</v>
      </c>
      <c r="AR7" s="3" t="s">
        <v>48</v>
      </c>
    </row>
    <row r="8" spans="1:44" ht="30" customHeight="1">
      <c r="A8" s="3" t="s">
        <v>44</v>
      </c>
      <c r="B8" s="3" t="s">
        <v>45</v>
      </c>
      <c r="C8" s="3" t="s">
        <v>46</v>
      </c>
      <c r="D8" s="3" t="s">
        <v>70</v>
      </c>
      <c r="E8" s="3" t="s">
        <v>48</v>
      </c>
      <c r="F8" s="3" t="s">
        <v>71</v>
      </c>
      <c r="G8" s="3" t="s">
        <v>723</v>
      </c>
      <c r="H8" s="4">
        <f>IF(DATEDIF(L8,S8,"m")&gt;12,DATEDIF(L8,S8,"y"),(DATEDIF(L8,S8,"m")/12))</f>
        <v>10</v>
      </c>
      <c r="I8" s="7">
        <f>DATEDIF(L8,S8,"M")</f>
        <v>120</v>
      </c>
      <c r="J8" s="7">
        <f>DATEDIF(L8,S8,"D")</f>
        <v>3656</v>
      </c>
      <c r="K8" s="3" t="s">
        <v>64</v>
      </c>
      <c r="L8" s="8">
        <v>41271</v>
      </c>
      <c r="M8" s="3" t="s">
        <v>45</v>
      </c>
      <c r="N8" s="3" t="s">
        <v>187</v>
      </c>
      <c r="O8" s="3" t="s">
        <v>52</v>
      </c>
      <c r="P8" s="3" t="s">
        <v>91</v>
      </c>
      <c r="Q8" s="7">
        <v>1</v>
      </c>
      <c r="R8" s="8">
        <v>44928</v>
      </c>
      <c r="S8" s="8">
        <v>44927</v>
      </c>
      <c r="T8" s="3" t="s">
        <v>54</v>
      </c>
      <c r="U8" s="3" t="s">
        <v>55</v>
      </c>
      <c r="V8" s="9"/>
      <c r="W8" s="10">
        <v>44932</v>
      </c>
      <c r="X8" s="7">
        <v>4</v>
      </c>
      <c r="Y8" s="7">
        <v>1</v>
      </c>
      <c r="Z8" s="7">
        <v>1</v>
      </c>
      <c r="AA8" s="7">
        <f>INT((S8-DATE(YEAR(S8-WEEKDAY(S8-0)+4),1,4)+WEEKDAY(DATE(YEAR(S8-WEEKDAY(S8-0)+4),1,4))+6)/7)</f>
        <v>1</v>
      </c>
      <c r="AB8" s="3" t="s">
        <v>724</v>
      </c>
      <c r="AC8" s="7">
        <v>596</v>
      </c>
      <c r="AD8" s="7">
        <v>0</v>
      </c>
      <c r="AE8" s="7">
        <v>1</v>
      </c>
      <c r="AF8" s="3" t="s">
        <v>48</v>
      </c>
      <c r="AG8" s="7">
        <v>2023</v>
      </c>
      <c r="AH8" s="3" t="s">
        <v>76</v>
      </c>
      <c r="AI8" s="3" t="s">
        <v>166</v>
      </c>
      <c r="AJ8" s="3" t="s">
        <v>78</v>
      </c>
      <c r="AK8" s="3" t="s">
        <v>725</v>
      </c>
      <c r="AL8" s="3" t="s">
        <v>59</v>
      </c>
      <c r="AM8" s="3" t="s">
        <v>60</v>
      </c>
      <c r="AN8" s="3" t="s">
        <v>61</v>
      </c>
      <c r="AO8" s="3" t="s">
        <v>62</v>
      </c>
      <c r="AP8" s="3" t="s">
        <v>69</v>
      </c>
      <c r="AQ8" s="3" t="s">
        <v>61</v>
      </c>
      <c r="AR8" s="3" t="s">
        <v>48</v>
      </c>
    </row>
    <row r="9" spans="1:44" ht="30" customHeight="1">
      <c r="A9" s="3" t="s">
        <v>44</v>
      </c>
      <c r="B9" s="3" t="s">
        <v>45</v>
      </c>
      <c r="C9" s="3" t="s">
        <v>46</v>
      </c>
      <c r="D9" s="3" t="s">
        <v>70</v>
      </c>
      <c r="E9" s="3" t="s">
        <v>48</v>
      </c>
      <c r="F9" s="3" t="s">
        <v>71</v>
      </c>
      <c r="G9" s="3" t="s">
        <v>774</v>
      </c>
      <c r="H9" s="4">
        <f>IF(DATEDIF(L9,S9,"m")&gt;12,DATEDIF(L9,S9,"y"),(DATEDIF(L9,S9,"m")/12))</f>
        <v>11</v>
      </c>
      <c r="I9" s="7">
        <f>DATEDIF(L9,S9,"M")</f>
        <v>135</v>
      </c>
      <c r="J9" s="7">
        <f>DATEDIF(L9,S9,"D")</f>
        <v>4136</v>
      </c>
      <c r="K9" s="3" t="s">
        <v>64</v>
      </c>
      <c r="L9" s="8">
        <v>40791</v>
      </c>
      <c r="M9" s="3" t="s">
        <v>45</v>
      </c>
      <c r="N9" s="3" t="s">
        <v>329</v>
      </c>
      <c r="O9" s="3" t="s">
        <v>52</v>
      </c>
      <c r="P9" s="3" t="s">
        <v>74</v>
      </c>
      <c r="Q9" s="7">
        <v>1</v>
      </c>
      <c r="R9" s="8">
        <v>44928</v>
      </c>
      <c r="S9" s="8">
        <v>44927</v>
      </c>
      <c r="T9" s="3" t="s">
        <v>54</v>
      </c>
      <c r="U9" s="3" t="s">
        <v>55</v>
      </c>
      <c r="V9" s="9"/>
      <c r="W9" s="10">
        <v>44932</v>
      </c>
      <c r="X9" s="7">
        <v>4</v>
      </c>
      <c r="Y9" s="7">
        <v>1</v>
      </c>
      <c r="Z9" s="7">
        <v>1</v>
      </c>
      <c r="AA9" s="7">
        <f>INT((S9-DATE(YEAR(S9-WEEKDAY(S9-0)+4),1,4)+WEEKDAY(DATE(YEAR(S9-WEEKDAY(S9-0)+4),1,4))+6)/7)</f>
        <v>1</v>
      </c>
      <c r="AB9" s="3" t="s">
        <v>775</v>
      </c>
      <c r="AC9" s="7">
        <v>593</v>
      </c>
      <c r="AD9" s="7">
        <v>0</v>
      </c>
      <c r="AE9" s="7">
        <v>1</v>
      </c>
      <c r="AF9" s="3" t="s">
        <v>48</v>
      </c>
      <c r="AG9" s="7">
        <v>2023</v>
      </c>
      <c r="AH9" s="3" t="s">
        <v>76</v>
      </c>
      <c r="AI9" s="3" t="s">
        <v>166</v>
      </c>
      <c r="AJ9" s="3" t="s">
        <v>78</v>
      </c>
      <c r="AK9" s="3" t="s">
        <v>162</v>
      </c>
      <c r="AL9" s="3" t="s">
        <v>59</v>
      </c>
      <c r="AM9" s="3" t="s">
        <v>60</v>
      </c>
      <c r="AN9" s="3" t="s">
        <v>61</v>
      </c>
      <c r="AO9" s="3" t="s">
        <v>62</v>
      </c>
      <c r="AP9" s="3" t="s">
        <v>69</v>
      </c>
      <c r="AQ9" s="3" t="s">
        <v>61</v>
      </c>
      <c r="AR9" s="3" t="s">
        <v>48</v>
      </c>
    </row>
    <row r="10" spans="1:44" ht="30" customHeight="1">
      <c r="A10" s="3" t="s">
        <v>44</v>
      </c>
      <c r="B10" s="3" t="s">
        <v>45</v>
      </c>
      <c r="C10" s="3" t="s">
        <v>46</v>
      </c>
      <c r="D10" s="3" t="s">
        <v>70</v>
      </c>
      <c r="E10" s="3" t="s">
        <v>48</v>
      </c>
      <c r="F10" s="3" t="s">
        <v>71</v>
      </c>
      <c r="G10" s="3" t="s">
        <v>1125</v>
      </c>
      <c r="H10" s="4">
        <f>IF(DATEDIF(L10,S10,"m")&gt;12,DATEDIF(L10,S10,"y"),(DATEDIF(L10,S10,"m")/12))</f>
        <v>33</v>
      </c>
      <c r="I10" s="7">
        <f>DATEDIF(L10,S10,"M")</f>
        <v>402</v>
      </c>
      <c r="J10" s="7">
        <f>DATEDIF(L10,S10,"D")</f>
        <v>12249</v>
      </c>
      <c r="K10" s="3" t="s">
        <v>64</v>
      </c>
      <c r="L10" s="8">
        <v>32678</v>
      </c>
      <c r="M10" s="3" t="s">
        <v>45</v>
      </c>
      <c r="N10" s="3" t="s">
        <v>90</v>
      </c>
      <c r="O10" s="3" t="s">
        <v>52</v>
      </c>
      <c r="P10" s="3" t="s">
        <v>84</v>
      </c>
      <c r="Q10" s="7">
        <v>1</v>
      </c>
      <c r="R10" s="8">
        <v>44928</v>
      </c>
      <c r="S10" s="8">
        <v>44927</v>
      </c>
      <c r="T10" s="3" t="s">
        <v>54</v>
      </c>
      <c r="U10" s="3" t="s">
        <v>55</v>
      </c>
      <c r="V10" s="9"/>
      <c r="W10" s="10">
        <v>44932</v>
      </c>
      <c r="X10" s="7">
        <v>4</v>
      </c>
      <c r="Y10" s="7">
        <v>1</v>
      </c>
      <c r="Z10" s="7">
        <v>1</v>
      </c>
      <c r="AA10" s="7">
        <f>INT((S10-DATE(YEAR(S10-WEEKDAY(S10-0)+4),1,4)+WEEKDAY(DATE(YEAR(S10-WEEKDAY(S10-0)+4),1,4))+6)/7)</f>
        <v>1</v>
      </c>
      <c r="AB10" s="3" t="s">
        <v>1126</v>
      </c>
      <c r="AC10" s="7">
        <v>588</v>
      </c>
      <c r="AD10" s="7">
        <v>0</v>
      </c>
      <c r="AE10" s="7">
        <v>1</v>
      </c>
      <c r="AF10" s="3" t="s">
        <v>48</v>
      </c>
      <c r="AG10" s="7">
        <v>2023</v>
      </c>
      <c r="AH10" s="3" t="s">
        <v>76</v>
      </c>
      <c r="AI10" s="3" t="s">
        <v>166</v>
      </c>
      <c r="AJ10" s="3" t="s">
        <v>78</v>
      </c>
      <c r="AK10" s="18" t="s">
        <v>554</v>
      </c>
      <c r="AL10" s="3" t="s">
        <v>59</v>
      </c>
      <c r="AM10" s="3" t="s">
        <v>60</v>
      </c>
      <c r="AN10" s="3" t="s">
        <v>61</v>
      </c>
      <c r="AO10" s="3" t="s">
        <v>62</v>
      </c>
      <c r="AP10" s="3" t="s">
        <v>69</v>
      </c>
      <c r="AQ10" s="3" t="s">
        <v>61</v>
      </c>
      <c r="AR10" s="3" t="s">
        <v>48</v>
      </c>
    </row>
    <row r="11" spans="1:44" ht="30" customHeight="1">
      <c r="A11" s="3" t="s">
        <v>44</v>
      </c>
      <c r="B11" s="3" t="s">
        <v>45</v>
      </c>
      <c r="C11" s="3" t="s">
        <v>46</v>
      </c>
      <c r="D11" s="3" t="s">
        <v>70</v>
      </c>
      <c r="E11" s="3" t="s">
        <v>48</v>
      </c>
      <c r="F11" s="3" t="s">
        <v>71</v>
      </c>
      <c r="G11" s="3" t="s">
        <v>1162</v>
      </c>
      <c r="H11" s="4">
        <f>IF(DATEDIF(L11,S11,"m")&gt;12,DATEDIF(L11,S11,"y"),(DATEDIF(L11,S11,"m")/12))</f>
        <v>10</v>
      </c>
      <c r="I11" s="7">
        <f>DATEDIF(L11,S11,"M")</f>
        <v>120</v>
      </c>
      <c r="J11" s="7">
        <f>DATEDIF(L11,S11,"D")</f>
        <v>3675</v>
      </c>
      <c r="K11" s="3" t="s">
        <v>64</v>
      </c>
      <c r="L11" s="8">
        <v>41256</v>
      </c>
      <c r="M11" s="3" t="s">
        <v>45</v>
      </c>
      <c r="N11" s="3" t="s">
        <v>329</v>
      </c>
      <c r="O11" s="3" t="s">
        <v>52</v>
      </c>
      <c r="P11" s="3" t="s">
        <v>1163</v>
      </c>
      <c r="Q11" s="7">
        <v>1</v>
      </c>
      <c r="R11" s="8">
        <v>44932</v>
      </c>
      <c r="S11" s="8">
        <v>44931</v>
      </c>
      <c r="T11" s="3" t="s">
        <v>54</v>
      </c>
      <c r="U11" s="3" t="s">
        <v>55</v>
      </c>
      <c r="V11" s="9"/>
      <c r="W11" s="10">
        <v>44932</v>
      </c>
      <c r="X11" s="7">
        <v>0</v>
      </c>
      <c r="Y11" s="7">
        <v>1</v>
      </c>
      <c r="Z11" s="7">
        <v>1</v>
      </c>
      <c r="AA11" s="7">
        <f>INT((S11-DATE(YEAR(S11-WEEKDAY(S11-0)+4),1,4)+WEEKDAY(DATE(YEAR(S11-WEEKDAY(S11-0)+4),1,4))+6)/7)</f>
        <v>1</v>
      </c>
      <c r="AB11" s="3" t="s">
        <v>1164</v>
      </c>
      <c r="AC11" s="7">
        <v>598</v>
      </c>
      <c r="AD11" s="23">
        <v>0</v>
      </c>
      <c r="AE11" s="7">
        <v>1</v>
      </c>
      <c r="AF11" s="3" t="s">
        <v>48</v>
      </c>
      <c r="AG11" s="7">
        <v>2023</v>
      </c>
      <c r="AH11" s="18" t="s">
        <v>76</v>
      </c>
      <c r="AI11" s="3" t="s">
        <v>166</v>
      </c>
      <c r="AJ11" s="3" t="s">
        <v>78</v>
      </c>
      <c r="AK11" s="3" t="s">
        <v>162</v>
      </c>
      <c r="AL11" s="3" t="s">
        <v>59</v>
      </c>
      <c r="AM11" s="3" t="s">
        <v>60</v>
      </c>
      <c r="AN11" s="3" t="s">
        <v>61</v>
      </c>
      <c r="AO11" s="3" t="s">
        <v>62</v>
      </c>
      <c r="AP11" s="3" t="s">
        <v>69</v>
      </c>
      <c r="AQ11" s="3" t="s">
        <v>61</v>
      </c>
      <c r="AR11" s="3" t="s">
        <v>48</v>
      </c>
    </row>
    <row r="12" spans="1:44" ht="30" customHeight="1">
      <c r="A12" s="3" t="s">
        <v>44</v>
      </c>
      <c r="B12" s="3" t="s">
        <v>45</v>
      </c>
      <c r="C12" s="3" t="s">
        <v>46</v>
      </c>
      <c r="D12" s="3" t="s">
        <v>70</v>
      </c>
      <c r="E12" s="3" t="s">
        <v>48</v>
      </c>
      <c r="F12" s="3" t="s">
        <v>71</v>
      </c>
      <c r="G12" s="3" t="s">
        <v>1341</v>
      </c>
      <c r="H12" s="4">
        <f>IF(DATEDIF(L12,S12,"m")&gt;12,DATEDIF(L12,S12,"y"),(DATEDIF(L12,S12,"m")/12))</f>
        <v>6</v>
      </c>
      <c r="I12" s="7">
        <f>DATEDIF(L12,S12,"M")</f>
        <v>72</v>
      </c>
      <c r="J12" s="7">
        <f>DATEDIF(L12,S12,"D")</f>
        <v>2205</v>
      </c>
      <c r="K12" s="3" t="s">
        <v>51</v>
      </c>
      <c r="L12" s="8">
        <v>42722</v>
      </c>
      <c r="M12" s="3" t="s">
        <v>45</v>
      </c>
      <c r="N12" s="3" t="s">
        <v>329</v>
      </c>
      <c r="O12" s="3" t="s">
        <v>52</v>
      </c>
      <c r="P12" s="3" t="s">
        <v>169</v>
      </c>
      <c r="Q12" s="7">
        <v>1</v>
      </c>
      <c r="R12" s="8">
        <v>44928</v>
      </c>
      <c r="S12" s="8">
        <v>44927</v>
      </c>
      <c r="T12" s="3" t="s">
        <v>54</v>
      </c>
      <c r="U12" s="3" t="s">
        <v>55</v>
      </c>
      <c r="V12" s="9"/>
      <c r="W12" s="10">
        <v>44932</v>
      </c>
      <c r="X12" s="7">
        <v>4</v>
      </c>
      <c r="Y12" s="7">
        <v>1</v>
      </c>
      <c r="Z12" s="7">
        <v>1</v>
      </c>
      <c r="AA12" s="7">
        <f>INT((S12-DATE(YEAR(S12-WEEKDAY(S12-0)+4),1,4)+WEEKDAY(DATE(YEAR(S12-WEEKDAY(S12-0)+4),1,4))+6)/7)</f>
        <v>1</v>
      </c>
      <c r="AB12" s="3" t="s">
        <v>1342</v>
      </c>
      <c r="AC12" s="7">
        <v>594</v>
      </c>
      <c r="AD12" s="7">
        <v>0</v>
      </c>
      <c r="AE12" s="7">
        <v>1</v>
      </c>
      <c r="AF12" s="3" t="s">
        <v>48</v>
      </c>
      <c r="AG12" s="7">
        <v>2023</v>
      </c>
      <c r="AH12" s="3" t="s">
        <v>76</v>
      </c>
      <c r="AI12" s="3" t="s">
        <v>166</v>
      </c>
      <c r="AJ12" s="3" t="s">
        <v>78</v>
      </c>
      <c r="AK12" s="3" t="s">
        <v>1343</v>
      </c>
      <c r="AL12" s="3" t="s">
        <v>59</v>
      </c>
      <c r="AM12" s="3" t="s">
        <v>60</v>
      </c>
      <c r="AN12" s="3" t="s">
        <v>61</v>
      </c>
      <c r="AO12" s="3" t="s">
        <v>62</v>
      </c>
      <c r="AP12" s="3" t="s">
        <v>69</v>
      </c>
      <c r="AQ12" s="3" t="s">
        <v>61</v>
      </c>
      <c r="AR12" s="3" t="s">
        <v>48</v>
      </c>
    </row>
    <row r="13" spans="1:44" ht="30" customHeight="1">
      <c r="A13" s="3" t="s">
        <v>44</v>
      </c>
      <c r="B13" s="3" t="s">
        <v>45</v>
      </c>
      <c r="C13" s="3" t="s">
        <v>46</v>
      </c>
      <c r="D13" s="3" t="s">
        <v>70</v>
      </c>
      <c r="E13" s="3" t="s">
        <v>48</v>
      </c>
      <c r="F13" s="3" t="s">
        <v>71</v>
      </c>
      <c r="G13" s="3" t="s">
        <v>2039</v>
      </c>
      <c r="H13" s="4">
        <f>IF(DATEDIF(L13,S13,"m")&gt;12,DATEDIF(L13,S13,"y"),(DATEDIF(L13,S13,"m")/12))</f>
        <v>25</v>
      </c>
      <c r="I13" s="7">
        <f>DATEDIF(L13,S13,"M")</f>
        <v>301</v>
      </c>
      <c r="J13" s="7">
        <f>DATEDIF(L13,S13,"D")</f>
        <v>9169</v>
      </c>
      <c r="K13" s="3" t="s">
        <v>64</v>
      </c>
      <c r="L13" s="8">
        <v>35760</v>
      </c>
      <c r="M13" s="3" t="s">
        <v>45</v>
      </c>
      <c r="N13" s="3" t="s">
        <v>90</v>
      </c>
      <c r="O13" s="3" t="s">
        <v>52</v>
      </c>
      <c r="P13" s="3" t="s">
        <v>169</v>
      </c>
      <c r="Q13" s="7">
        <v>1</v>
      </c>
      <c r="R13" s="8">
        <v>44930</v>
      </c>
      <c r="S13" s="8">
        <v>44929</v>
      </c>
      <c r="T13" s="3" t="s">
        <v>54</v>
      </c>
      <c r="U13" s="3" t="s">
        <v>55</v>
      </c>
      <c r="V13" s="9"/>
      <c r="W13" s="10">
        <v>44932</v>
      </c>
      <c r="X13" s="7">
        <v>2</v>
      </c>
      <c r="Y13" s="7">
        <v>1</v>
      </c>
      <c r="Z13" s="7">
        <v>1</v>
      </c>
      <c r="AA13" s="7">
        <f>INT((S13-DATE(YEAR(S13-WEEKDAY(S13-0)+4),1,4)+WEEKDAY(DATE(YEAR(S13-WEEKDAY(S13-0)+4),1,4))+6)/7)</f>
        <v>1</v>
      </c>
      <c r="AB13" s="3" t="s">
        <v>2040</v>
      </c>
      <c r="AC13" s="7">
        <v>597</v>
      </c>
      <c r="AD13" s="7">
        <v>0</v>
      </c>
      <c r="AE13" s="7">
        <v>1</v>
      </c>
      <c r="AF13" s="3" t="s">
        <v>48</v>
      </c>
      <c r="AG13" s="7">
        <v>2023</v>
      </c>
      <c r="AH13" s="3" t="s">
        <v>76</v>
      </c>
      <c r="AI13" s="3" t="s">
        <v>166</v>
      </c>
      <c r="AJ13" s="3" t="s">
        <v>78</v>
      </c>
      <c r="AK13" s="3" t="s">
        <v>346</v>
      </c>
      <c r="AL13" s="3" t="s">
        <v>59</v>
      </c>
      <c r="AM13" s="3" t="s">
        <v>60</v>
      </c>
      <c r="AN13" s="3" t="s">
        <v>61</v>
      </c>
      <c r="AO13" s="3" t="s">
        <v>62</v>
      </c>
      <c r="AP13" s="3" t="s">
        <v>69</v>
      </c>
      <c r="AQ13" s="3" t="s">
        <v>61</v>
      </c>
      <c r="AR13" s="3" t="s">
        <v>48</v>
      </c>
    </row>
    <row r="14" spans="1:44" ht="30" customHeight="1">
      <c r="A14" s="3" t="s">
        <v>44</v>
      </c>
      <c r="B14" s="3" t="s">
        <v>45</v>
      </c>
      <c r="C14" s="3" t="s">
        <v>46</v>
      </c>
      <c r="D14" s="3" t="s">
        <v>70</v>
      </c>
      <c r="E14" s="3" t="s">
        <v>48</v>
      </c>
      <c r="F14" s="3" t="s">
        <v>71</v>
      </c>
      <c r="G14" s="3" t="s">
        <v>2061</v>
      </c>
      <c r="H14" s="4">
        <f>IF(DATEDIF(L14,S14,"m")&gt;12,DATEDIF(L14,S14,"y"),(DATEDIF(L14,S14,"m")/12))</f>
        <v>13</v>
      </c>
      <c r="I14" s="7">
        <f>DATEDIF(L14,S14,"M")</f>
        <v>162</v>
      </c>
      <c r="J14" s="7">
        <f>DATEDIF(L14,S14,"D")</f>
        <v>4949</v>
      </c>
      <c r="K14" s="3" t="s">
        <v>51</v>
      </c>
      <c r="L14" s="8">
        <v>39978</v>
      </c>
      <c r="M14" s="3" t="s">
        <v>45</v>
      </c>
      <c r="N14" s="3" t="s">
        <v>329</v>
      </c>
      <c r="O14" s="3" t="s">
        <v>52</v>
      </c>
      <c r="P14" s="3" t="s">
        <v>169</v>
      </c>
      <c r="Q14" s="7">
        <v>1</v>
      </c>
      <c r="R14" s="8">
        <v>44928</v>
      </c>
      <c r="S14" s="8">
        <v>44927</v>
      </c>
      <c r="T14" s="3" t="s">
        <v>54</v>
      </c>
      <c r="U14" s="3" t="s">
        <v>55</v>
      </c>
      <c r="V14" s="9"/>
      <c r="W14" s="10">
        <v>44932</v>
      </c>
      <c r="X14" s="7">
        <v>4</v>
      </c>
      <c r="Y14" s="7">
        <v>1</v>
      </c>
      <c r="Z14" s="7">
        <v>1</v>
      </c>
      <c r="AA14" s="7">
        <f>INT((S14-DATE(YEAR(S14-WEEKDAY(S14-0)+4),1,4)+WEEKDAY(DATE(YEAR(S14-WEEKDAY(S14-0)+4),1,4))+6)/7)</f>
        <v>1</v>
      </c>
      <c r="AB14" s="3" t="s">
        <v>2062</v>
      </c>
      <c r="AC14" s="7">
        <v>590</v>
      </c>
      <c r="AD14" s="7">
        <v>0</v>
      </c>
      <c r="AE14" s="7">
        <v>1</v>
      </c>
      <c r="AF14" s="3" t="s">
        <v>48</v>
      </c>
      <c r="AG14" s="7">
        <v>2023</v>
      </c>
      <c r="AH14" s="3" t="s">
        <v>76</v>
      </c>
      <c r="AI14" s="3" t="s">
        <v>166</v>
      </c>
      <c r="AJ14" s="3" t="s">
        <v>78</v>
      </c>
      <c r="AK14" s="18" t="s">
        <v>1926</v>
      </c>
      <c r="AL14" s="3" t="s">
        <v>59</v>
      </c>
      <c r="AM14" s="3" t="s">
        <v>60</v>
      </c>
      <c r="AN14" s="3" t="s">
        <v>61</v>
      </c>
      <c r="AO14" s="3" t="s">
        <v>62</v>
      </c>
      <c r="AP14" s="3" t="s">
        <v>69</v>
      </c>
      <c r="AQ14" s="3" t="s">
        <v>61</v>
      </c>
      <c r="AR14" s="3" t="s">
        <v>48</v>
      </c>
    </row>
    <row r="15" spans="1:44" ht="30" customHeight="1">
      <c r="A15" s="3" t="s">
        <v>44</v>
      </c>
      <c r="B15" s="3" t="s">
        <v>45</v>
      </c>
      <c r="C15" s="3" t="s">
        <v>46</v>
      </c>
      <c r="D15" s="3" t="s">
        <v>70</v>
      </c>
      <c r="E15" s="3" t="s">
        <v>48</v>
      </c>
      <c r="F15" s="3" t="s">
        <v>71</v>
      </c>
      <c r="G15" s="3" t="s">
        <v>2313</v>
      </c>
      <c r="H15" s="4">
        <f>IF(DATEDIF(L15,S15,"m")&gt;12,DATEDIF(L15,S15,"y"),(DATEDIF(L15,S15,"m")/12))</f>
        <v>73</v>
      </c>
      <c r="I15" s="7">
        <f>DATEDIF(L15,S15,"M")</f>
        <v>876</v>
      </c>
      <c r="J15" s="7">
        <f>DATEDIF(L15,S15,"D")</f>
        <v>26668</v>
      </c>
      <c r="K15" s="3" t="s">
        <v>51</v>
      </c>
      <c r="L15" s="8">
        <v>18259</v>
      </c>
      <c r="M15" s="3" t="s">
        <v>45</v>
      </c>
      <c r="N15" s="3" t="s">
        <v>159</v>
      </c>
      <c r="O15" s="3" t="s">
        <v>52</v>
      </c>
      <c r="P15" s="3" t="s">
        <v>2314</v>
      </c>
      <c r="Q15" s="7">
        <v>1</v>
      </c>
      <c r="R15" s="8">
        <v>44928</v>
      </c>
      <c r="S15" s="8">
        <v>44927</v>
      </c>
      <c r="T15" s="3" t="s">
        <v>54</v>
      </c>
      <c r="U15" s="3" t="s">
        <v>55</v>
      </c>
      <c r="V15" s="9"/>
      <c r="W15" s="10">
        <v>44932</v>
      </c>
      <c r="X15" s="7">
        <v>4</v>
      </c>
      <c r="Y15" s="7">
        <v>1</v>
      </c>
      <c r="Z15" s="7">
        <v>1</v>
      </c>
      <c r="AA15" s="7">
        <f>INT((S15-DATE(YEAR(S15-WEEKDAY(S15-0)+4),1,4)+WEEKDAY(DATE(YEAR(S15-WEEKDAY(S15-0)+4),1,4))+6)/7)</f>
        <v>1</v>
      </c>
      <c r="AB15" s="3" t="s">
        <v>2315</v>
      </c>
      <c r="AC15" s="7">
        <v>591</v>
      </c>
      <c r="AD15" s="7">
        <v>0</v>
      </c>
      <c r="AE15" s="7">
        <v>1</v>
      </c>
      <c r="AF15" s="3" t="s">
        <v>48</v>
      </c>
      <c r="AG15" s="7">
        <v>2023</v>
      </c>
      <c r="AH15" s="3" t="s">
        <v>76</v>
      </c>
      <c r="AI15" s="3" t="s">
        <v>77</v>
      </c>
      <c r="AJ15" s="3" t="s">
        <v>78</v>
      </c>
      <c r="AK15" s="3" t="s">
        <v>162</v>
      </c>
      <c r="AL15" s="3" t="s">
        <v>59</v>
      </c>
      <c r="AM15" s="3" t="s">
        <v>60</v>
      </c>
      <c r="AN15" s="3" t="s">
        <v>61</v>
      </c>
      <c r="AO15" s="3" t="s">
        <v>62</v>
      </c>
      <c r="AP15" s="3" t="s">
        <v>69</v>
      </c>
      <c r="AQ15" s="3" t="s">
        <v>69</v>
      </c>
      <c r="AR15" s="3" t="s">
        <v>48</v>
      </c>
    </row>
    <row r="16" spans="1:44" ht="30" customHeight="1">
      <c r="A16" s="3" t="s">
        <v>44</v>
      </c>
      <c r="B16" s="3" t="s">
        <v>45</v>
      </c>
      <c r="C16" s="3" t="s">
        <v>46</v>
      </c>
      <c r="D16" s="3" t="s">
        <v>130</v>
      </c>
      <c r="E16" s="3" t="s">
        <v>48</v>
      </c>
      <c r="F16" s="3" t="s">
        <v>131</v>
      </c>
      <c r="G16" s="3" t="s">
        <v>48</v>
      </c>
      <c r="H16" s="4">
        <f>IF(DATEDIF(L16,S16,"m")&gt;12,DATEDIF(L16,S16,"y"),(DATEDIF(L16,S16,"m")/12))</f>
        <v>1</v>
      </c>
      <c r="I16" s="7">
        <f>DATEDIF(L16,S16,"M")</f>
        <v>13</v>
      </c>
      <c r="J16" s="7">
        <f>DATEDIF(L16,S16,"D")</f>
        <v>401</v>
      </c>
      <c r="K16" s="3" t="s">
        <v>51</v>
      </c>
      <c r="L16" s="8">
        <v>44528</v>
      </c>
      <c r="M16" s="3" t="s">
        <v>45</v>
      </c>
      <c r="N16" s="3" t="s">
        <v>83</v>
      </c>
      <c r="O16" s="3" t="s">
        <v>52</v>
      </c>
      <c r="P16" s="3" t="s">
        <v>91</v>
      </c>
      <c r="Q16" s="7">
        <v>0</v>
      </c>
      <c r="R16" s="8">
        <v>44931</v>
      </c>
      <c r="S16" s="8">
        <v>44929</v>
      </c>
      <c r="T16" s="3" t="s">
        <v>54</v>
      </c>
      <c r="U16" s="3" t="s">
        <v>55</v>
      </c>
      <c r="V16" s="9"/>
      <c r="W16" s="10">
        <v>44935</v>
      </c>
      <c r="X16" s="7">
        <v>4</v>
      </c>
      <c r="Y16" s="7">
        <v>2</v>
      </c>
      <c r="Z16" s="7">
        <v>1</v>
      </c>
      <c r="AA16" s="7">
        <f>INT((S16-DATE(YEAR(S16-WEEKDAY(S16-0)+4),1,4)+WEEKDAY(DATE(YEAR(S16-WEEKDAY(S16-0)+4),1,4))+6)/7)</f>
        <v>1</v>
      </c>
      <c r="AB16" s="3" t="s">
        <v>132</v>
      </c>
      <c r="AC16" s="7">
        <v>83</v>
      </c>
      <c r="AD16" s="7">
        <v>0</v>
      </c>
      <c r="AE16" s="7">
        <v>0</v>
      </c>
      <c r="AF16" s="3" t="s">
        <v>48</v>
      </c>
      <c r="AG16" s="7">
        <v>2023</v>
      </c>
      <c r="AH16" s="3" t="s">
        <v>133</v>
      </c>
      <c r="AI16" s="3" t="s">
        <v>106</v>
      </c>
      <c r="AJ16" s="3" t="s">
        <v>48</v>
      </c>
      <c r="AK16" s="3" t="s">
        <v>134</v>
      </c>
      <c r="AL16" s="3" t="s">
        <v>59</v>
      </c>
      <c r="AM16" s="3" t="s">
        <v>115</v>
      </c>
      <c r="AN16" s="3" t="s">
        <v>61</v>
      </c>
      <c r="AO16" s="3" t="s">
        <v>62</v>
      </c>
      <c r="AP16" s="3" t="s">
        <v>69</v>
      </c>
      <c r="AQ16" s="3" t="s">
        <v>61</v>
      </c>
      <c r="AR16" s="3" t="s">
        <v>48</v>
      </c>
    </row>
    <row r="17" spans="1:44" ht="30" customHeight="1">
      <c r="A17" s="3" t="s">
        <v>44</v>
      </c>
      <c r="B17" s="3" t="s">
        <v>45</v>
      </c>
      <c r="C17" s="3" t="s">
        <v>46</v>
      </c>
      <c r="D17" s="3" t="s">
        <v>130</v>
      </c>
      <c r="E17" s="3" t="s">
        <v>48</v>
      </c>
      <c r="F17" s="3" t="s">
        <v>131</v>
      </c>
      <c r="G17" s="3" t="s">
        <v>48</v>
      </c>
      <c r="H17" s="4">
        <f>IF(DATEDIF(L17,S17,"m")&gt;12,DATEDIF(L17,S17,"y"),(DATEDIF(L17,S17,"m")/12))</f>
        <v>1</v>
      </c>
      <c r="I17" s="7">
        <f>DATEDIF(L17,S17,"M")</f>
        <v>14</v>
      </c>
      <c r="J17" s="7">
        <f>DATEDIF(L17,S17,"D")</f>
        <v>445</v>
      </c>
      <c r="K17" s="3" t="s">
        <v>64</v>
      </c>
      <c r="L17" s="8">
        <v>44483</v>
      </c>
      <c r="M17" s="3" t="s">
        <v>45</v>
      </c>
      <c r="N17" s="3" t="s">
        <v>83</v>
      </c>
      <c r="O17" s="3" t="s">
        <v>52</v>
      </c>
      <c r="P17" s="3" t="s">
        <v>137</v>
      </c>
      <c r="Q17" s="7">
        <v>0</v>
      </c>
      <c r="R17" s="8">
        <v>44931</v>
      </c>
      <c r="S17" s="8">
        <v>44928</v>
      </c>
      <c r="T17" s="3" t="s">
        <v>54</v>
      </c>
      <c r="U17" s="3" t="s">
        <v>55</v>
      </c>
      <c r="V17" s="9"/>
      <c r="W17" s="10">
        <v>44935</v>
      </c>
      <c r="X17" s="7">
        <v>4</v>
      </c>
      <c r="Y17" s="7">
        <v>3</v>
      </c>
      <c r="Z17" s="7">
        <v>1</v>
      </c>
      <c r="AA17" s="7">
        <f>INT((S17-DATE(YEAR(S17-WEEKDAY(S17-0)+4),1,4)+WEEKDAY(DATE(YEAR(S17-WEEKDAY(S17-0)+4),1,4))+6)/7)</f>
        <v>1</v>
      </c>
      <c r="AB17" s="3" t="s">
        <v>153</v>
      </c>
      <c r="AC17" s="7">
        <v>84</v>
      </c>
      <c r="AD17" s="7">
        <v>0</v>
      </c>
      <c r="AE17" s="7">
        <v>0</v>
      </c>
      <c r="AF17" s="3" t="s">
        <v>48</v>
      </c>
      <c r="AG17" s="7">
        <v>2023</v>
      </c>
      <c r="AH17" s="3" t="s">
        <v>133</v>
      </c>
      <c r="AI17" s="3" t="s">
        <v>106</v>
      </c>
      <c r="AJ17" s="3" t="s">
        <v>48</v>
      </c>
      <c r="AK17" s="3" t="s">
        <v>154</v>
      </c>
      <c r="AL17" s="3" t="s">
        <v>59</v>
      </c>
      <c r="AM17" s="3" t="s">
        <v>115</v>
      </c>
      <c r="AN17" s="3" t="s">
        <v>61</v>
      </c>
      <c r="AO17" s="3" t="s">
        <v>62</v>
      </c>
      <c r="AP17" s="3" t="s">
        <v>69</v>
      </c>
      <c r="AQ17" s="3" t="s">
        <v>61</v>
      </c>
      <c r="AR17" s="3" t="s">
        <v>48</v>
      </c>
    </row>
    <row r="18" spans="1:44" ht="30" customHeight="1">
      <c r="A18" s="3" t="s">
        <v>44</v>
      </c>
      <c r="B18" s="3" t="s">
        <v>45</v>
      </c>
      <c r="C18" s="3" t="s">
        <v>46</v>
      </c>
      <c r="D18" s="3" t="s">
        <v>186</v>
      </c>
      <c r="E18" s="3" t="s">
        <v>48</v>
      </c>
      <c r="F18" s="3" t="s">
        <v>271</v>
      </c>
      <c r="G18" s="3" t="s">
        <v>340</v>
      </c>
      <c r="H18" s="5">
        <f>IF(DATEDIF(L18,S18,"m")&gt;12,DATEDIF(L18,S18,"y"),(DATEDIF(L18,S18,"m")/12))</f>
        <v>0.41666666666666669</v>
      </c>
      <c r="I18" s="7">
        <f>DATEDIF(L18,S18,"M")</f>
        <v>5</v>
      </c>
      <c r="J18" s="7">
        <f>DATEDIF(L18,S18,"D")</f>
        <v>181</v>
      </c>
      <c r="K18" s="3" t="s">
        <v>64</v>
      </c>
      <c r="L18" s="8">
        <v>44749</v>
      </c>
      <c r="M18" s="3" t="s">
        <v>45</v>
      </c>
      <c r="N18" s="3" t="s">
        <v>187</v>
      </c>
      <c r="O18" s="3" t="s">
        <v>52</v>
      </c>
      <c r="P18" s="3" t="s">
        <v>341</v>
      </c>
      <c r="Q18" s="7">
        <v>0</v>
      </c>
      <c r="R18" s="8">
        <v>44932</v>
      </c>
      <c r="S18" s="8">
        <v>44930</v>
      </c>
      <c r="T18" s="3" t="s">
        <v>54</v>
      </c>
      <c r="U18" s="3" t="s">
        <v>55</v>
      </c>
      <c r="V18" s="9"/>
      <c r="W18" s="10">
        <v>44935</v>
      </c>
      <c r="X18" s="7">
        <v>3</v>
      </c>
      <c r="Y18" s="7">
        <v>2</v>
      </c>
      <c r="Z18" s="7">
        <v>1</v>
      </c>
      <c r="AA18" s="7">
        <f>INT((S18-DATE(YEAR(S18-WEEKDAY(S18-0)+4),1,4)+WEEKDAY(DATE(YEAR(S18-WEEKDAY(S18-0)+4),1,4))+6)/7)</f>
        <v>1</v>
      </c>
      <c r="AB18" s="3" t="s">
        <v>342</v>
      </c>
      <c r="AC18" s="7">
        <v>80</v>
      </c>
      <c r="AD18" s="7">
        <v>0</v>
      </c>
      <c r="AE18" s="7">
        <v>0</v>
      </c>
      <c r="AF18" s="3" t="s">
        <v>48</v>
      </c>
      <c r="AG18" s="7">
        <v>2023</v>
      </c>
      <c r="AH18" s="3" t="s">
        <v>276</v>
      </c>
      <c r="AI18" s="3" t="s">
        <v>191</v>
      </c>
      <c r="AJ18" s="3" t="s">
        <v>186</v>
      </c>
      <c r="AK18" s="3" t="s">
        <v>277</v>
      </c>
      <c r="AL18" s="3" t="s">
        <v>59</v>
      </c>
      <c r="AM18" s="3" t="s">
        <v>60</v>
      </c>
      <c r="AN18" s="3" t="s">
        <v>61</v>
      </c>
      <c r="AO18" s="3" t="s">
        <v>62</v>
      </c>
      <c r="AP18" s="3" t="s">
        <v>69</v>
      </c>
      <c r="AQ18" s="3" t="s">
        <v>61</v>
      </c>
      <c r="AR18" s="3" t="s">
        <v>48</v>
      </c>
    </row>
    <row r="19" spans="1:44" ht="30" customHeight="1">
      <c r="A19" s="3" t="s">
        <v>44</v>
      </c>
      <c r="B19" s="3" t="s">
        <v>45</v>
      </c>
      <c r="C19" s="3" t="s">
        <v>80</v>
      </c>
      <c r="D19" s="3" t="s">
        <v>81</v>
      </c>
      <c r="E19" s="3" t="s">
        <v>48</v>
      </c>
      <c r="F19" s="3" t="s">
        <v>444</v>
      </c>
      <c r="G19" s="3" t="s">
        <v>445</v>
      </c>
      <c r="H19" s="5">
        <f>IF(DATEDIF(L19,S19,"m")&gt;12,DATEDIF(L19,S19,"y"),(DATEDIF(L19,S19,"m")/12))</f>
        <v>0.33333333333333331</v>
      </c>
      <c r="I19" s="7">
        <f>DATEDIF(L19,S19,"M")</f>
        <v>4</v>
      </c>
      <c r="J19" s="7">
        <f>DATEDIF(L19,S19,"D")</f>
        <v>135</v>
      </c>
      <c r="K19" s="3" t="s">
        <v>51</v>
      </c>
      <c r="L19" s="8">
        <v>44796</v>
      </c>
      <c r="M19" s="3" t="s">
        <v>45</v>
      </c>
      <c r="N19" s="3" t="s">
        <v>101</v>
      </c>
      <c r="O19" s="3" t="s">
        <v>52</v>
      </c>
      <c r="P19" s="3" t="s">
        <v>169</v>
      </c>
      <c r="Q19" s="7">
        <v>1</v>
      </c>
      <c r="R19" s="8">
        <v>44931</v>
      </c>
      <c r="S19" s="8">
        <v>44931</v>
      </c>
      <c r="T19" s="3" t="s">
        <v>54</v>
      </c>
      <c r="U19" s="3" t="s">
        <v>55</v>
      </c>
      <c r="V19" s="9"/>
      <c r="W19" s="10">
        <v>44935</v>
      </c>
      <c r="X19" s="7">
        <v>4</v>
      </c>
      <c r="Y19" s="7">
        <v>0</v>
      </c>
      <c r="Z19" s="7">
        <v>1</v>
      </c>
      <c r="AA19" s="7">
        <f>INT((S19-DATE(YEAR(S19-WEEKDAY(S19-0)+4),1,4)+WEEKDAY(DATE(YEAR(S19-WEEKDAY(S19-0)+4),1,4))+6)/7)</f>
        <v>1</v>
      </c>
      <c r="AB19" s="3" t="s">
        <v>446</v>
      </c>
      <c r="AC19" s="7">
        <v>88</v>
      </c>
      <c r="AD19" s="7">
        <v>0</v>
      </c>
      <c r="AE19" s="7">
        <v>0</v>
      </c>
      <c r="AF19" s="3" t="s">
        <v>48</v>
      </c>
      <c r="AG19" s="7">
        <v>2023</v>
      </c>
      <c r="AH19" s="3" t="s">
        <v>447</v>
      </c>
      <c r="AI19" s="3" t="s">
        <v>48</v>
      </c>
      <c r="AJ19" s="3" t="s">
        <v>48</v>
      </c>
      <c r="AK19" s="3" t="s">
        <v>448</v>
      </c>
      <c r="AL19" s="3" t="s">
        <v>59</v>
      </c>
      <c r="AM19" s="3" t="s">
        <v>99</v>
      </c>
      <c r="AN19" s="3" t="s">
        <v>61</v>
      </c>
      <c r="AO19" s="3" t="s">
        <v>62</v>
      </c>
      <c r="AP19" s="3" t="s">
        <v>69</v>
      </c>
      <c r="AQ19" s="3" t="s">
        <v>61</v>
      </c>
      <c r="AR19" s="3" t="s">
        <v>48</v>
      </c>
    </row>
    <row r="20" spans="1:44" ht="30" customHeight="1">
      <c r="A20" s="3" t="s">
        <v>44</v>
      </c>
      <c r="B20" s="3" t="s">
        <v>45</v>
      </c>
      <c r="C20" s="3" t="s">
        <v>46</v>
      </c>
      <c r="D20" s="3" t="s">
        <v>186</v>
      </c>
      <c r="E20" s="3" t="s">
        <v>48</v>
      </c>
      <c r="F20" s="3" t="s">
        <v>271</v>
      </c>
      <c r="G20" s="3" t="s">
        <v>1002</v>
      </c>
      <c r="H20" s="4">
        <f>IF(DATEDIF(L20,S20,"m")&gt;12,DATEDIF(L20,S20,"y"),(DATEDIF(L20,S20,"m")/12))</f>
        <v>2</v>
      </c>
      <c r="I20" s="7">
        <f>DATEDIF(L20,S20,"M")</f>
        <v>31</v>
      </c>
      <c r="J20" s="7">
        <f>DATEDIF(L20,S20,"D")</f>
        <v>946</v>
      </c>
      <c r="K20" s="3" t="s">
        <v>64</v>
      </c>
      <c r="L20" s="8">
        <v>43983</v>
      </c>
      <c r="M20" s="3" t="s">
        <v>45</v>
      </c>
      <c r="N20" s="3" t="s">
        <v>187</v>
      </c>
      <c r="O20" s="3" t="s">
        <v>52</v>
      </c>
      <c r="P20" s="3" t="s">
        <v>970</v>
      </c>
      <c r="Q20" s="7">
        <v>0</v>
      </c>
      <c r="R20" s="8">
        <v>44932</v>
      </c>
      <c r="S20" s="8">
        <v>44929</v>
      </c>
      <c r="T20" s="3" t="s">
        <v>54</v>
      </c>
      <c r="U20" s="3" t="s">
        <v>55</v>
      </c>
      <c r="V20" s="9"/>
      <c r="W20" s="10">
        <v>44935</v>
      </c>
      <c r="X20" s="7">
        <v>3</v>
      </c>
      <c r="Y20" s="7">
        <v>3</v>
      </c>
      <c r="Z20" s="7">
        <v>1</v>
      </c>
      <c r="AA20" s="7">
        <f>INT((S20-DATE(YEAR(S20-WEEKDAY(S20-0)+4),1,4)+WEEKDAY(DATE(YEAR(S20-WEEKDAY(S20-0)+4),1,4))+6)/7)</f>
        <v>1</v>
      </c>
      <c r="AB20" s="3" t="s">
        <v>1003</v>
      </c>
      <c r="AC20" s="7">
        <v>82</v>
      </c>
      <c r="AD20" s="7">
        <v>0</v>
      </c>
      <c r="AE20" s="7">
        <v>0</v>
      </c>
      <c r="AF20" s="3" t="s">
        <v>48</v>
      </c>
      <c r="AG20" s="7">
        <v>2023</v>
      </c>
      <c r="AH20" s="3" t="s">
        <v>276</v>
      </c>
      <c r="AI20" s="3" t="s">
        <v>191</v>
      </c>
      <c r="AJ20" s="3" t="s">
        <v>186</v>
      </c>
      <c r="AK20" s="3" t="s">
        <v>883</v>
      </c>
      <c r="AL20" s="3" t="s">
        <v>59</v>
      </c>
      <c r="AM20" s="3" t="s">
        <v>60</v>
      </c>
      <c r="AN20" s="3" t="s">
        <v>61</v>
      </c>
      <c r="AO20" s="3" t="s">
        <v>62</v>
      </c>
      <c r="AP20" s="3" t="s">
        <v>69</v>
      </c>
      <c r="AQ20" s="3" t="s">
        <v>61</v>
      </c>
      <c r="AR20" s="3" t="s">
        <v>48</v>
      </c>
    </row>
    <row r="21" spans="1:44" ht="30" customHeight="1">
      <c r="A21" s="3" t="s">
        <v>44</v>
      </c>
      <c r="B21" s="3" t="s">
        <v>45</v>
      </c>
      <c r="C21" s="3" t="s">
        <v>46</v>
      </c>
      <c r="D21" s="3" t="s">
        <v>186</v>
      </c>
      <c r="E21" s="3" t="s">
        <v>48</v>
      </c>
      <c r="F21" s="3" t="s">
        <v>271</v>
      </c>
      <c r="G21" s="3" t="s">
        <v>1033</v>
      </c>
      <c r="H21" s="4">
        <f>IF(DATEDIF(L21,S21,"m")&gt;12,DATEDIF(L21,S21,"y"),(DATEDIF(L21,S21,"m")/12))</f>
        <v>40</v>
      </c>
      <c r="I21" s="7">
        <f>DATEDIF(L21,S21,"M")</f>
        <v>488</v>
      </c>
      <c r="J21" s="7">
        <f>DATEDIF(L21,S21,"D")</f>
        <v>14876</v>
      </c>
      <c r="K21" s="3" t="s">
        <v>64</v>
      </c>
      <c r="L21" s="8">
        <v>30054</v>
      </c>
      <c r="M21" s="3" t="s">
        <v>45</v>
      </c>
      <c r="N21" s="3" t="s">
        <v>187</v>
      </c>
      <c r="O21" s="3" t="s">
        <v>52</v>
      </c>
      <c r="P21" s="3" t="s">
        <v>1034</v>
      </c>
      <c r="Q21" s="7">
        <v>0</v>
      </c>
      <c r="R21" s="8">
        <v>44933</v>
      </c>
      <c r="S21" s="8">
        <v>44930</v>
      </c>
      <c r="T21" s="3" t="s">
        <v>54</v>
      </c>
      <c r="U21" s="3" t="s">
        <v>55</v>
      </c>
      <c r="V21" s="9"/>
      <c r="W21" s="10">
        <v>44935</v>
      </c>
      <c r="X21" s="7">
        <v>2</v>
      </c>
      <c r="Y21" s="7">
        <v>3</v>
      </c>
      <c r="Z21" s="7">
        <v>1</v>
      </c>
      <c r="AA21" s="7">
        <f>INT((S21-DATE(YEAR(S21-WEEKDAY(S21-0)+4),1,4)+WEEKDAY(DATE(YEAR(S21-WEEKDAY(S21-0)+4),1,4))+6)/7)</f>
        <v>1</v>
      </c>
      <c r="AB21" s="3" t="s">
        <v>1035</v>
      </c>
      <c r="AC21" s="7">
        <v>77</v>
      </c>
      <c r="AD21" s="7">
        <v>0</v>
      </c>
      <c r="AE21" s="7">
        <v>0</v>
      </c>
      <c r="AF21" s="3" t="s">
        <v>48</v>
      </c>
      <c r="AG21" s="7">
        <v>2023</v>
      </c>
      <c r="AH21" s="3" t="s">
        <v>276</v>
      </c>
      <c r="AI21" s="3" t="s">
        <v>191</v>
      </c>
      <c r="AJ21" s="3" t="s">
        <v>186</v>
      </c>
      <c r="AK21" s="3" t="s">
        <v>192</v>
      </c>
      <c r="AL21" s="3" t="s">
        <v>59</v>
      </c>
      <c r="AM21" s="3" t="s">
        <v>60</v>
      </c>
      <c r="AN21" s="3" t="s">
        <v>61</v>
      </c>
      <c r="AO21" s="3" t="s">
        <v>62</v>
      </c>
      <c r="AP21" s="3" t="s">
        <v>69</v>
      </c>
      <c r="AQ21" s="3" t="s">
        <v>61</v>
      </c>
      <c r="AR21" s="3" t="s">
        <v>48</v>
      </c>
    </row>
    <row r="22" spans="1:44" ht="30" customHeight="1">
      <c r="A22" s="3" t="s">
        <v>44</v>
      </c>
      <c r="B22" s="3" t="s">
        <v>45</v>
      </c>
      <c r="C22" s="3" t="s">
        <v>46</v>
      </c>
      <c r="D22" s="3" t="s">
        <v>186</v>
      </c>
      <c r="E22" s="3" t="s">
        <v>48</v>
      </c>
      <c r="F22" s="3" t="s">
        <v>271</v>
      </c>
      <c r="G22" s="3" t="s">
        <v>1089</v>
      </c>
      <c r="H22" s="4">
        <f>IF(DATEDIF(L22,S22,"m")&gt;12,DATEDIF(L22,S22,"y"),(DATEDIF(L22,S22,"m")/12))</f>
        <v>9</v>
      </c>
      <c r="I22" s="7">
        <f>DATEDIF(L22,S22,"M")</f>
        <v>116</v>
      </c>
      <c r="J22" s="7">
        <f>DATEDIF(L22,S22,"D")</f>
        <v>3548</v>
      </c>
      <c r="K22" s="3" t="s">
        <v>51</v>
      </c>
      <c r="L22" s="8">
        <v>41380</v>
      </c>
      <c r="M22" s="3" t="s">
        <v>45</v>
      </c>
      <c r="N22" s="3" t="s">
        <v>187</v>
      </c>
      <c r="O22" s="3" t="s">
        <v>52</v>
      </c>
      <c r="P22" s="3" t="s">
        <v>298</v>
      </c>
      <c r="Q22" s="7">
        <v>0</v>
      </c>
      <c r="R22" s="8">
        <v>44933</v>
      </c>
      <c r="S22" s="8">
        <v>44928</v>
      </c>
      <c r="T22" s="3" t="s">
        <v>54</v>
      </c>
      <c r="U22" s="3" t="s">
        <v>55</v>
      </c>
      <c r="V22" s="9"/>
      <c r="W22" s="10">
        <v>44935</v>
      </c>
      <c r="X22" s="7">
        <v>2</v>
      </c>
      <c r="Y22" s="7">
        <v>5</v>
      </c>
      <c r="Z22" s="7">
        <v>1</v>
      </c>
      <c r="AA22" s="7">
        <f>INT((S22-DATE(YEAR(S22-WEEKDAY(S22-0)+4),1,4)+WEEKDAY(DATE(YEAR(S22-WEEKDAY(S22-0)+4),1,4))+6)/7)</f>
        <v>1</v>
      </c>
      <c r="AB22" s="3" t="s">
        <v>1090</v>
      </c>
      <c r="AC22" s="7">
        <v>78</v>
      </c>
      <c r="AD22" s="7">
        <v>0</v>
      </c>
      <c r="AE22" s="7">
        <v>0</v>
      </c>
      <c r="AF22" s="3" t="s">
        <v>48</v>
      </c>
      <c r="AG22" s="7">
        <v>2023</v>
      </c>
      <c r="AH22" s="3" t="s">
        <v>276</v>
      </c>
      <c r="AI22" s="3" t="s">
        <v>191</v>
      </c>
      <c r="AJ22" s="3" t="s">
        <v>186</v>
      </c>
      <c r="AK22" s="3" t="s">
        <v>612</v>
      </c>
      <c r="AL22" s="3" t="s">
        <v>59</v>
      </c>
      <c r="AM22" s="3" t="s">
        <v>60</v>
      </c>
      <c r="AN22" s="3" t="s">
        <v>61</v>
      </c>
      <c r="AO22" s="3" t="s">
        <v>62</v>
      </c>
      <c r="AP22" s="3" t="s">
        <v>69</v>
      </c>
      <c r="AQ22" s="3" t="s">
        <v>61</v>
      </c>
      <c r="AR22" s="3" t="s">
        <v>48</v>
      </c>
    </row>
    <row r="23" spans="1:44" ht="30" customHeight="1">
      <c r="A23" s="3" t="s">
        <v>44</v>
      </c>
      <c r="B23" s="3" t="s">
        <v>45</v>
      </c>
      <c r="C23" s="3" t="s">
        <v>46</v>
      </c>
      <c r="D23" s="3" t="s">
        <v>186</v>
      </c>
      <c r="E23" s="3" t="s">
        <v>48</v>
      </c>
      <c r="F23" s="3" t="s">
        <v>271</v>
      </c>
      <c r="G23" s="3" t="s">
        <v>1855</v>
      </c>
      <c r="H23" s="5">
        <f>IF(DATEDIF(L23,S23,"m")&gt;12,DATEDIF(L23,S23,"y"),(DATEDIF(L23,S23,"m")/12))</f>
        <v>8.3333333333333329E-2</v>
      </c>
      <c r="I23" s="7">
        <f>DATEDIF(L23,S23,"M")</f>
        <v>1</v>
      </c>
      <c r="J23" s="7">
        <f>DATEDIF(L23,S23,"D")</f>
        <v>44</v>
      </c>
      <c r="K23" s="3" t="s">
        <v>64</v>
      </c>
      <c r="L23" s="8">
        <v>44887</v>
      </c>
      <c r="M23" s="3" t="s">
        <v>45</v>
      </c>
      <c r="N23" s="3" t="s">
        <v>187</v>
      </c>
      <c r="O23" s="3" t="s">
        <v>52</v>
      </c>
      <c r="P23" s="3" t="s">
        <v>137</v>
      </c>
      <c r="Q23" s="7">
        <v>1</v>
      </c>
      <c r="R23" s="8">
        <v>44932</v>
      </c>
      <c r="S23" s="8">
        <v>44931</v>
      </c>
      <c r="T23" s="3" t="s">
        <v>54</v>
      </c>
      <c r="U23" s="3" t="s">
        <v>55</v>
      </c>
      <c r="V23" s="9"/>
      <c r="W23" s="10">
        <v>44935</v>
      </c>
      <c r="X23" s="7">
        <v>3</v>
      </c>
      <c r="Y23" s="7">
        <v>1</v>
      </c>
      <c r="Z23" s="7">
        <v>1</v>
      </c>
      <c r="AA23" s="7">
        <f>INT((S23-DATE(YEAR(S23-WEEKDAY(S23-0)+4),1,4)+WEEKDAY(DATE(YEAR(S23-WEEKDAY(S23-0)+4),1,4))+6)/7)</f>
        <v>1</v>
      </c>
      <c r="AB23" s="3" t="s">
        <v>1856</v>
      </c>
      <c r="AC23" s="7">
        <v>81</v>
      </c>
      <c r="AD23" s="7">
        <v>0</v>
      </c>
      <c r="AE23" s="7">
        <v>0</v>
      </c>
      <c r="AF23" s="3" t="s">
        <v>48</v>
      </c>
      <c r="AG23" s="7">
        <v>2023</v>
      </c>
      <c r="AH23" s="3" t="s">
        <v>276</v>
      </c>
      <c r="AI23" s="3" t="s">
        <v>45</v>
      </c>
      <c r="AJ23" s="3" t="s">
        <v>186</v>
      </c>
      <c r="AK23" s="3" t="s">
        <v>830</v>
      </c>
      <c r="AL23" s="3" t="s">
        <v>59</v>
      </c>
      <c r="AM23" s="3" t="s">
        <v>60</v>
      </c>
      <c r="AN23" s="3" t="s">
        <v>61</v>
      </c>
      <c r="AO23" s="3" t="s">
        <v>62</v>
      </c>
      <c r="AP23" s="3" t="s">
        <v>69</v>
      </c>
      <c r="AQ23" s="3" t="s">
        <v>61</v>
      </c>
      <c r="AR23" s="3" t="s">
        <v>48</v>
      </c>
    </row>
    <row r="24" spans="1:44" ht="30" customHeight="1">
      <c r="A24" s="3" t="s">
        <v>44</v>
      </c>
      <c r="B24" s="3" t="s">
        <v>45</v>
      </c>
      <c r="C24" s="3" t="s">
        <v>46</v>
      </c>
      <c r="D24" s="3" t="s">
        <v>130</v>
      </c>
      <c r="E24" s="3" t="s">
        <v>48</v>
      </c>
      <c r="F24" s="3" t="s">
        <v>131</v>
      </c>
      <c r="G24" s="3" t="s">
        <v>48</v>
      </c>
      <c r="H24" s="4">
        <f>IF(DATEDIF(L24,S24,"m")&gt;12,DATEDIF(L24,S24,"y"),(DATEDIF(L24,S24,"m")/12))</f>
        <v>7</v>
      </c>
      <c r="I24" s="7">
        <f>DATEDIF(L24,S24,"M")</f>
        <v>92</v>
      </c>
      <c r="J24" s="7">
        <f>DATEDIF(L24,S24,"D")</f>
        <v>2823</v>
      </c>
      <c r="K24" s="3" t="s">
        <v>51</v>
      </c>
      <c r="L24" s="8">
        <v>42104</v>
      </c>
      <c r="M24" s="3" t="s">
        <v>45</v>
      </c>
      <c r="N24" s="3" t="s">
        <v>83</v>
      </c>
      <c r="O24" s="3" t="s">
        <v>52</v>
      </c>
      <c r="P24" s="3" t="s">
        <v>537</v>
      </c>
      <c r="Q24" s="7">
        <v>0</v>
      </c>
      <c r="R24" s="8">
        <v>44931</v>
      </c>
      <c r="S24" s="8">
        <v>44927</v>
      </c>
      <c r="T24" s="3" t="s">
        <v>54</v>
      </c>
      <c r="U24" s="3" t="s">
        <v>55</v>
      </c>
      <c r="V24" s="9"/>
      <c r="W24" s="10">
        <v>44935</v>
      </c>
      <c r="X24" s="7">
        <v>4</v>
      </c>
      <c r="Y24" s="7">
        <v>4</v>
      </c>
      <c r="Z24" s="7">
        <v>1</v>
      </c>
      <c r="AA24" s="7">
        <f>INT((S24-DATE(YEAR(S24-WEEKDAY(S24-0)+4),1,4)+WEEKDAY(DATE(YEAR(S24-WEEKDAY(S24-0)+4),1,4))+6)/7)</f>
        <v>1</v>
      </c>
      <c r="AB24" s="3" t="s">
        <v>1862</v>
      </c>
      <c r="AC24" s="7">
        <v>82</v>
      </c>
      <c r="AD24" s="7">
        <v>0</v>
      </c>
      <c r="AE24" s="7">
        <v>0</v>
      </c>
      <c r="AF24" s="3" t="s">
        <v>48</v>
      </c>
      <c r="AG24" s="7">
        <v>2023</v>
      </c>
      <c r="AH24" s="3" t="s">
        <v>133</v>
      </c>
      <c r="AI24" s="3" t="s">
        <v>106</v>
      </c>
      <c r="AJ24" s="3" t="s">
        <v>48</v>
      </c>
      <c r="AK24" s="3" t="s">
        <v>372</v>
      </c>
      <c r="AL24" s="3" t="s">
        <v>59</v>
      </c>
      <c r="AM24" s="3" t="s">
        <v>115</v>
      </c>
      <c r="AN24" s="3" t="s">
        <v>61</v>
      </c>
      <c r="AO24" s="3" t="s">
        <v>62</v>
      </c>
      <c r="AP24" s="3" t="s">
        <v>69</v>
      </c>
      <c r="AQ24" s="3" t="s">
        <v>61</v>
      </c>
      <c r="AR24" s="3" t="s">
        <v>48</v>
      </c>
    </row>
    <row r="25" spans="1:44" ht="30" customHeight="1">
      <c r="A25" s="3" t="s">
        <v>44</v>
      </c>
      <c r="B25" s="3" t="s">
        <v>45</v>
      </c>
      <c r="C25" s="3" t="s">
        <v>46</v>
      </c>
      <c r="D25" s="3" t="s">
        <v>130</v>
      </c>
      <c r="E25" s="3" t="s">
        <v>48</v>
      </c>
      <c r="F25" s="3" t="s">
        <v>131</v>
      </c>
      <c r="G25" s="3" t="s">
        <v>48</v>
      </c>
      <c r="H25" s="4">
        <f>IF(DATEDIF(L25,S25,"m")&gt;12,DATEDIF(L25,S25,"y"),(DATEDIF(L25,S25,"m")/12))</f>
        <v>3</v>
      </c>
      <c r="I25" s="7">
        <f>DATEDIF(L25,S25,"M")</f>
        <v>40</v>
      </c>
      <c r="J25" s="7">
        <f>DATEDIF(L25,S25,"D")</f>
        <v>1218</v>
      </c>
      <c r="K25" s="3" t="s">
        <v>51</v>
      </c>
      <c r="L25" s="8">
        <v>43711</v>
      </c>
      <c r="M25" s="3" t="s">
        <v>45</v>
      </c>
      <c r="N25" s="3" t="s">
        <v>83</v>
      </c>
      <c r="O25" s="3" t="s">
        <v>52</v>
      </c>
      <c r="P25" s="3" t="s">
        <v>91</v>
      </c>
      <c r="Q25" s="7">
        <v>0</v>
      </c>
      <c r="R25" s="8">
        <v>44931</v>
      </c>
      <c r="S25" s="8">
        <v>44929</v>
      </c>
      <c r="T25" s="3" t="s">
        <v>54</v>
      </c>
      <c r="U25" s="3" t="s">
        <v>55</v>
      </c>
      <c r="V25" s="9"/>
      <c r="W25" s="10">
        <v>44935</v>
      </c>
      <c r="X25" s="7">
        <v>4</v>
      </c>
      <c r="Y25" s="7">
        <v>2</v>
      </c>
      <c r="Z25" s="7">
        <v>1</v>
      </c>
      <c r="AA25" s="7">
        <f>INT((S25-DATE(YEAR(S25-WEEKDAY(S25-0)+4),1,4)+WEEKDAY(DATE(YEAR(S25-WEEKDAY(S25-0)+4),1,4))+6)/7)</f>
        <v>1</v>
      </c>
      <c r="AB25" s="3" t="s">
        <v>2303</v>
      </c>
      <c r="AC25" s="7">
        <v>85</v>
      </c>
      <c r="AD25" s="7">
        <v>0</v>
      </c>
      <c r="AE25" s="7">
        <v>0</v>
      </c>
      <c r="AF25" s="3" t="s">
        <v>48</v>
      </c>
      <c r="AG25" s="7">
        <v>2023</v>
      </c>
      <c r="AH25" s="3" t="s">
        <v>133</v>
      </c>
      <c r="AI25" s="3" t="s">
        <v>106</v>
      </c>
      <c r="AJ25" s="3" t="s">
        <v>48</v>
      </c>
      <c r="AK25" s="18" t="s">
        <v>459</v>
      </c>
      <c r="AL25" s="3" t="s">
        <v>59</v>
      </c>
      <c r="AM25" s="3" t="s">
        <v>115</v>
      </c>
      <c r="AN25" s="3" t="s">
        <v>61</v>
      </c>
      <c r="AO25" s="3" t="s">
        <v>62</v>
      </c>
      <c r="AP25" s="3" t="s">
        <v>69</v>
      </c>
      <c r="AQ25" s="3" t="s">
        <v>61</v>
      </c>
      <c r="AR25" s="3" t="s">
        <v>48</v>
      </c>
    </row>
    <row r="26" spans="1:44" ht="30" customHeight="1">
      <c r="A26" s="3" t="s">
        <v>44</v>
      </c>
      <c r="B26" s="3" t="s">
        <v>45</v>
      </c>
      <c r="C26" s="3" t="s">
        <v>46</v>
      </c>
      <c r="D26" s="3" t="s">
        <v>108</v>
      </c>
      <c r="E26" s="3" t="s">
        <v>48</v>
      </c>
      <c r="F26" s="3" t="s">
        <v>108</v>
      </c>
      <c r="G26" s="3" t="s">
        <v>391</v>
      </c>
      <c r="H26" s="4">
        <f>IF(DATEDIF(L26,S26,"m")&gt;12,DATEDIF(L26,S26,"y"),(DATEDIF(L26,S26,"m")/12))</f>
        <v>3</v>
      </c>
      <c r="I26" s="7">
        <f>DATEDIF(L26,S26,"M")</f>
        <v>36</v>
      </c>
      <c r="J26" s="7">
        <f>DATEDIF(L26,S26,"D")</f>
        <v>1121</v>
      </c>
      <c r="K26" s="3" t="s">
        <v>51</v>
      </c>
      <c r="L26" s="8">
        <v>43818</v>
      </c>
      <c r="M26" s="3" t="s">
        <v>45</v>
      </c>
      <c r="N26" s="3" t="s">
        <v>73</v>
      </c>
      <c r="O26" s="3" t="s">
        <v>52</v>
      </c>
      <c r="P26" s="3" t="s">
        <v>110</v>
      </c>
      <c r="Q26" s="7">
        <v>0</v>
      </c>
      <c r="R26" s="8">
        <v>44942</v>
      </c>
      <c r="S26" s="8">
        <v>44939</v>
      </c>
      <c r="T26" s="3" t="s">
        <v>54</v>
      </c>
      <c r="U26" s="3" t="s">
        <v>55</v>
      </c>
      <c r="V26" s="9"/>
      <c r="W26" s="10">
        <v>44949</v>
      </c>
      <c r="X26" s="7">
        <v>7</v>
      </c>
      <c r="Y26" s="7">
        <v>3</v>
      </c>
      <c r="Z26" s="7">
        <v>1</v>
      </c>
      <c r="AA26" s="7">
        <f>INT((S26-DATE(YEAR(S26-WEEKDAY(S26-0)+4),1,4)+WEEKDAY(DATE(YEAR(S26-WEEKDAY(S26-0)+4),1,4))+6)/7)</f>
        <v>2</v>
      </c>
      <c r="AB26" s="3" t="s">
        <v>950</v>
      </c>
      <c r="AC26" s="7">
        <v>142</v>
      </c>
      <c r="AD26" s="7">
        <v>0</v>
      </c>
      <c r="AE26" s="7">
        <v>0</v>
      </c>
      <c r="AF26" s="3" t="s">
        <v>48</v>
      </c>
      <c r="AG26" s="7">
        <v>2023</v>
      </c>
      <c r="AH26" s="3" t="s">
        <v>112</v>
      </c>
      <c r="AI26" s="3" t="s">
        <v>113</v>
      </c>
      <c r="AJ26" s="3" t="s">
        <v>48</v>
      </c>
      <c r="AK26" s="3" t="s">
        <v>114</v>
      </c>
      <c r="AL26" s="3" t="s">
        <v>59</v>
      </c>
      <c r="AM26" s="3" t="s">
        <v>115</v>
      </c>
      <c r="AN26" s="3" t="s">
        <v>61</v>
      </c>
      <c r="AO26" s="3" t="s">
        <v>62</v>
      </c>
      <c r="AP26" s="3" t="s">
        <v>69</v>
      </c>
      <c r="AQ26" s="3" t="s">
        <v>61</v>
      </c>
      <c r="AR26" s="3" t="s">
        <v>48</v>
      </c>
    </row>
    <row r="27" spans="1:44" ht="30" customHeight="1">
      <c r="A27" s="3" t="s">
        <v>44</v>
      </c>
      <c r="B27" s="3" t="s">
        <v>45</v>
      </c>
      <c r="C27" s="3" t="s">
        <v>46</v>
      </c>
      <c r="D27" s="3" t="s">
        <v>100</v>
      </c>
      <c r="E27" s="3" t="s">
        <v>48</v>
      </c>
      <c r="F27" s="3" t="s">
        <v>101</v>
      </c>
      <c r="G27" s="3" t="s">
        <v>250</v>
      </c>
      <c r="H27" s="4">
        <f>IF(DATEDIF(L27,S27,"m")&gt;12,DATEDIF(L27,S27,"y"),(DATEDIF(L27,S27,"m")/12))</f>
        <v>3</v>
      </c>
      <c r="I27" s="7">
        <f>DATEDIF(L27,S27,"M")</f>
        <v>38</v>
      </c>
      <c r="J27" s="7">
        <f>DATEDIF(L27,S27,"D")</f>
        <v>1159</v>
      </c>
      <c r="K27" s="3" t="s">
        <v>64</v>
      </c>
      <c r="L27" s="8">
        <v>43768</v>
      </c>
      <c r="M27" s="3" t="s">
        <v>45</v>
      </c>
      <c r="N27" s="3" t="s">
        <v>65</v>
      </c>
      <c r="O27" s="3" t="s">
        <v>52</v>
      </c>
      <c r="P27" s="3" t="s">
        <v>156</v>
      </c>
      <c r="Q27" s="7">
        <v>0</v>
      </c>
      <c r="R27" s="8">
        <v>44930</v>
      </c>
      <c r="S27" s="8">
        <v>44927</v>
      </c>
      <c r="T27" s="3" t="s">
        <v>54</v>
      </c>
      <c r="U27" s="3" t="s">
        <v>55</v>
      </c>
      <c r="V27" s="9"/>
      <c r="W27" s="10">
        <v>44936</v>
      </c>
      <c r="X27" s="7">
        <v>6</v>
      </c>
      <c r="Y27" s="7">
        <v>3</v>
      </c>
      <c r="Z27" s="7">
        <v>1</v>
      </c>
      <c r="AA27" s="7">
        <f>INT((S27-DATE(YEAR(S27-WEEKDAY(S27-0)+4),1,4)+WEEKDAY(DATE(YEAR(S27-WEEKDAY(S27-0)+4),1,4))+6)/7)</f>
        <v>1</v>
      </c>
      <c r="AB27" s="3" t="s">
        <v>251</v>
      </c>
      <c r="AC27" s="7">
        <v>99</v>
      </c>
      <c r="AD27" s="7">
        <v>0</v>
      </c>
      <c r="AE27" s="7">
        <v>0</v>
      </c>
      <c r="AF27" s="3" t="s">
        <v>48</v>
      </c>
      <c r="AG27" s="7">
        <v>2023</v>
      </c>
      <c r="AH27" s="3" t="s">
        <v>105</v>
      </c>
      <c r="AI27" s="3" t="s">
        <v>106</v>
      </c>
      <c r="AJ27" s="3" t="s">
        <v>252</v>
      </c>
      <c r="AK27" s="3" t="s">
        <v>253</v>
      </c>
      <c r="AL27" s="3" t="s">
        <v>59</v>
      </c>
      <c r="AM27" s="3" t="s">
        <v>99</v>
      </c>
      <c r="AN27" s="3" t="s">
        <v>61</v>
      </c>
      <c r="AO27" s="3" t="s">
        <v>62</v>
      </c>
      <c r="AP27" s="3" t="s">
        <v>69</v>
      </c>
      <c r="AQ27" s="3" t="s">
        <v>61</v>
      </c>
      <c r="AR27" s="3" t="s">
        <v>48</v>
      </c>
    </row>
    <row r="28" spans="1:44" ht="30" customHeight="1">
      <c r="A28" s="3" t="s">
        <v>44</v>
      </c>
      <c r="B28" s="3" t="s">
        <v>45</v>
      </c>
      <c r="C28" s="3" t="s">
        <v>46</v>
      </c>
      <c r="D28" s="3" t="s">
        <v>100</v>
      </c>
      <c r="E28" s="3" t="s">
        <v>48</v>
      </c>
      <c r="F28" s="3" t="s">
        <v>101</v>
      </c>
      <c r="G28" s="3" t="s">
        <v>314</v>
      </c>
      <c r="H28" s="4">
        <f>IF(DATEDIF(L28,S28,"m")&gt;12,DATEDIF(L28,S28,"y"),(DATEDIF(L28,S28,"m")/12))</f>
        <v>39</v>
      </c>
      <c r="I28" s="7">
        <f>DATEDIF(L28,S28,"M")</f>
        <v>471</v>
      </c>
      <c r="J28" s="7">
        <f>DATEDIF(L28,S28,"D")</f>
        <v>14357</v>
      </c>
      <c r="K28" s="3" t="s">
        <v>64</v>
      </c>
      <c r="L28" s="8">
        <v>30571</v>
      </c>
      <c r="M28" s="3" t="s">
        <v>45</v>
      </c>
      <c r="N28" s="3" t="s">
        <v>101</v>
      </c>
      <c r="O28" s="3" t="s">
        <v>52</v>
      </c>
      <c r="P28" s="3" t="s">
        <v>156</v>
      </c>
      <c r="Q28" s="7">
        <v>0</v>
      </c>
      <c r="R28" s="8">
        <v>44930</v>
      </c>
      <c r="S28" s="8">
        <v>44928</v>
      </c>
      <c r="T28" s="3" t="s">
        <v>54</v>
      </c>
      <c r="U28" s="3" t="s">
        <v>55</v>
      </c>
      <c r="V28" s="9"/>
      <c r="W28" s="10">
        <v>44936</v>
      </c>
      <c r="X28" s="7">
        <v>6</v>
      </c>
      <c r="Y28" s="7">
        <v>2</v>
      </c>
      <c r="Z28" s="7">
        <v>1</v>
      </c>
      <c r="AA28" s="7">
        <f>INT((S28-DATE(YEAR(S28-WEEKDAY(S28-0)+4),1,4)+WEEKDAY(DATE(YEAR(S28-WEEKDAY(S28-0)+4),1,4))+6)/7)</f>
        <v>1</v>
      </c>
      <c r="AB28" s="3" t="s">
        <v>315</v>
      </c>
      <c r="AC28" s="7">
        <v>98</v>
      </c>
      <c r="AD28" s="7">
        <v>0</v>
      </c>
      <c r="AE28" s="7">
        <v>0</v>
      </c>
      <c r="AF28" s="3" t="s">
        <v>48</v>
      </c>
      <c r="AG28" s="7">
        <v>2023</v>
      </c>
      <c r="AH28" s="3" t="s">
        <v>105</v>
      </c>
      <c r="AI28" s="3" t="s">
        <v>106</v>
      </c>
      <c r="AJ28" s="3" t="s">
        <v>100</v>
      </c>
      <c r="AK28" s="3" t="s">
        <v>316</v>
      </c>
      <c r="AL28" s="3" t="s">
        <v>59</v>
      </c>
      <c r="AM28" s="3" t="s">
        <v>99</v>
      </c>
      <c r="AN28" s="3" t="s">
        <v>61</v>
      </c>
      <c r="AO28" s="3" t="s">
        <v>62</v>
      </c>
      <c r="AP28" s="3" t="s">
        <v>69</v>
      </c>
      <c r="AQ28" s="3" t="s">
        <v>61</v>
      </c>
      <c r="AR28" s="3" t="s">
        <v>48</v>
      </c>
    </row>
    <row r="29" spans="1:44" ht="30" customHeight="1">
      <c r="A29" s="3" t="s">
        <v>44</v>
      </c>
      <c r="B29" s="3" t="s">
        <v>45</v>
      </c>
      <c r="C29" s="3" t="s">
        <v>46</v>
      </c>
      <c r="D29" s="3" t="s">
        <v>100</v>
      </c>
      <c r="E29" s="3" t="s">
        <v>48</v>
      </c>
      <c r="F29" s="3" t="s">
        <v>101</v>
      </c>
      <c r="G29" s="3" t="s">
        <v>396</v>
      </c>
      <c r="H29" s="4">
        <f>IF(DATEDIF(L29,S29,"m")&gt;12,DATEDIF(L29,S29,"y"),(DATEDIF(L29,S29,"m")/12))</f>
        <v>53</v>
      </c>
      <c r="I29" s="7">
        <f>DATEDIF(L29,S29,"M")</f>
        <v>638</v>
      </c>
      <c r="J29" s="7">
        <f>DATEDIF(L29,S29,"D")</f>
        <v>19436</v>
      </c>
      <c r="K29" s="3" t="s">
        <v>64</v>
      </c>
      <c r="L29" s="8">
        <v>25494</v>
      </c>
      <c r="M29" s="3" t="s">
        <v>45</v>
      </c>
      <c r="N29" s="3" t="s">
        <v>101</v>
      </c>
      <c r="O29" s="3" t="s">
        <v>52</v>
      </c>
      <c r="P29" s="3" t="s">
        <v>91</v>
      </c>
      <c r="Q29" s="7">
        <v>0</v>
      </c>
      <c r="R29" s="8">
        <v>44931</v>
      </c>
      <c r="S29" s="8">
        <v>44930</v>
      </c>
      <c r="T29" s="3" t="s">
        <v>54</v>
      </c>
      <c r="U29" s="3" t="s">
        <v>55</v>
      </c>
      <c r="V29" s="9"/>
      <c r="W29" s="10">
        <v>44936</v>
      </c>
      <c r="X29" s="7">
        <v>5</v>
      </c>
      <c r="Y29" s="7">
        <v>1</v>
      </c>
      <c r="Z29" s="7">
        <v>1</v>
      </c>
      <c r="AA29" s="7">
        <f>INT((S29-DATE(YEAR(S29-WEEKDAY(S29-0)+4),1,4)+WEEKDAY(DATE(YEAR(S29-WEEKDAY(S29-0)+4),1,4))+6)/7)</f>
        <v>1</v>
      </c>
      <c r="AB29" s="3" t="s">
        <v>397</v>
      </c>
      <c r="AC29" s="7">
        <v>96</v>
      </c>
      <c r="AD29" s="7">
        <v>0</v>
      </c>
      <c r="AE29" s="7">
        <v>0</v>
      </c>
      <c r="AF29" s="3" t="s">
        <v>48</v>
      </c>
      <c r="AG29" s="7">
        <v>2023</v>
      </c>
      <c r="AH29" s="3" t="s">
        <v>105</v>
      </c>
      <c r="AI29" s="3" t="s">
        <v>106</v>
      </c>
      <c r="AJ29" s="3" t="s">
        <v>100</v>
      </c>
      <c r="AK29" s="3" t="s">
        <v>282</v>
      </c>
      <c r="AL29" s="3" t="s">
        <v>59</v>
      </c>
      <c r="AM29" s="3" t="s">
        <v>99</v>
      </c>
      <c r="AN29" s="3" t="s">
        <v>61</v>
      </c>
      <c r="AO29" s="3" t="s">
        <v>62</v>
      </c>
      <c r="AP29" s="3" t="s">
        <v>69</v>
      </c>
      <c r="AQ29" s="3" t="s">
        <v>61</v>
      </c>
      <c r="AR29" s="3" t="s">
        <v>48</v>
      </c>
    </row>
    <row r="30" spans="1:44" ht="30" customHeight="1">
      <c r="A30" s="3" t="s">
        <v>44</v>
      </c>
      <c r="B30" s="3" t="s">
        <v>45</v>
      </c>
      <c r="C30" s="3" t="s">
        <v>46</v>
      </c>
      <c r="D30" s="3" t="s">
        <v>100</v>
      </c>
      <c r="E30" s="3" t="s">
        <v>48</v>
      </c>
      <c r="F30" s="3" t="s">
        <v>101</v>
      </c>
      <c r="G30" s="3" t="s">
        <v>684</v>
      </c>
      <c r="H30" s="4">
        <f>IF(DATEDIF(L30,S30,"m")&gt;12,DATEDIF(L30,S30,"y"),(DATEDIF(L30,S30,"m")/12))</f>
        <v>15</v>
      </c>
      <c r="I30" s="7">
        <f>DATEDIF(L30,S30,"M")</f>
        <v>188</v>
      </c>
      <c r="J30" s="7">
        <f>DATEDIF(L30,S30,"D")</f>
        <v>5748</v>
      </c>
      <c r="K30" s="3" t="s">
        <v>64</v>
      </c>
      <c r="L30" s="8">
        <v>39180</v>
      </c>
      <c r="M30" s="3" t="s">
        <v>45</v>
      </c>
      <c r="N30" s="3" t="s">
        <v>101</v>
      </c>
      <c r="O30" s="3" t="s">
        <v>52</v>
      </c>
      <c r="P30" s="3" t="s">
        <v>685</v>
      </c>
      <c r="Q30" s="7">
        <v>0</v>
      </c>
      <c r="R30" s="8">
        <v>44932</v>
      </c>
      <c r="S30" s="8">
        <v>44928</v>
      </c>
      <c r="T30" s="3" t="s">
        <v>54</v>
      </c>
      <c r="U30" s="3" t="s">
        <v>55</v>
      </c>
      <c r="V30" s="9"/>
      <c r="W30" s="10">
        <v>44936</v>
      </c>
      <c r="X30" s="7">
        <v>4</v>
      </c>
      <c r="Y30" s="7">
        <v>4</v>
      </c>
      <c r="Z30" s="7">
        <v>1</v>
      </c>
      <c r="AA30" s="7">
        <f>INT((S30-DATE(YEAR(S30-WEEKDAY(S30-0)+4),1,4)+WEEKDAY(DATE(YEAR(S30-WEEKDAY(S30-0)+4),1,4))+6)/7)</f>
        <v>1</v>
      </c>
      <c r="AB30" s="3" t="s">
        <v>686</v>
      </c>
      <c r="AC30" s="7">
        <v>102</v>
      </c>
      <c r="AD30" s="7">
        <v>0</v>
      </c>
      <c r="AE30" s="7">
        <v>0</v>
      </c>
      <c r="AF30" s="3" t="s">
        <v>48</v>
      </c>
      <c r="AG30" s="7">
        <v>2023</v>
      </c>
      <c r="AH30" s="3" t="s">
        <v>105</v>
      </c>
      <c r="AI30" s="3" t="s">
        <v>106</v>
      </c>
      <c r="AJ30" s="3" t="s">
        <v>100</v>
      </c>
      <c r="AK30" s="3" t="s">
        <v>162</v>
      </c>
      <c r="AL30" s="3" t="s">
        <v>59</v>
      </c>
      <c r="AM30" s="3" t="s">
        <v>99</v>
      </c>
      <c r="AN30" s="3" t="s">
        <v>61</v>
      </c>
      <c r="AO30" s="3" t="s">
        <v>62</v>
      </c>
      <c r="AP30" s="3" t="s">
        <v>69</v>
      </c>
      <c r="AQ30" s="3" t="s">
        <v>61</v>
      </c>
      <c r="AR30" s="3" t="s">
        <v>48</v>
      </c>
    </row>
    <row r="31" spans="1:44" ht="30" customHeight="1">
      <c r="A31" s="3" t="s">
        <v>44</v>
      </c>
      <c r="B31" s="3" t="s">
        <v>45</v>
      </c>
      <c r="C31" s="3" t="s">
        <v>46</v>
      </c>
      <c r="D31" s="3" t="s">
        <v>100</v>
      </c>
      <c r="E31" s="3" t="s">
        <v>48</v>
      </c>
      <c r="F31" s="3" t="s">
        <v>101</v>
      </c>
      <c r="G31" s="3" t="s">
        <v>871</v>
      </c>
      <c r="H31" s="5">
        <f>IF(DATEDIF(L31,S31,"m")&gt;12,DATEDIF(L31,S31,"y"),(DATEDIF(L31,S31,"m")/12))</f>
        <v>0.58333333333333337</v>
      </c>
      <c r="I31" s="7">
        <f>DATEDIF(L31,S31,"M")</f>
        <v>7</v>
      </c>
      <c r="J31" s="7">
        <f>DATEDIF(L31,S31,"D")</f>
        <v>216</v>
      </c>
      <c r="K31" s="3" t="s">
        <v>51</v>
      </c>
      <c r="L31" s="8">
        <v>44711</v>
      </c>
      <c r="M31" s="3" t="s">
        <v>45</v>
      </c>
      <c r="N31" s="3" t="s">
        <v>101</v>
      </c>
      <c r="O31" s="3" t="s">
        <v>52</v>
      </c>
      <c r="P31" s="3" t="s">
        <v>325</v>
      </c>
      <c r="Q31" s="7">
        <v>0</v>
      </c>
      <c r="R31" s="8">
        <v>44930</v>
      </c>
      <c r="S31" s="8">
        <v>44927</v>
      </c>
      <c r="T31" s="3" t="s">
        <v>54</v>
      </c>
      <c r="U31" s="3" t="s">
        <v>55</v>
      </c>
      <c r="V31" s="9"/>
      <c r="W31" s="10">
        <v>44936</v>
      </c>
      <c r="X31" s="7">
        <v>6</v>
      </c>
      <c r="Y31" s="7">
        <v>3</v>
      </c>
      <c r="Z31" s="7">
        <v>1</v>
      </c>
      <c r="AA31" s="7">
        <f>INT((S31-DATE(YEAR(S31-WEEKDAY(S31-0)+4),1,4)+WEEKDAY(DATE(YEAR(S31-WEEKDAY(S31-0)+4),1,4))+6)/7)</f>
        <v>1</v>
      </c>
      <c r="AB31" s="3" t="s">
        <v>872</v>
      </c>
      <c r="AC31" s="7">
        <v>92</v>
      </c>
      <c r="AD31" s="7">
        <v>0</v>
      </c>
      <c r="AE31" s="7">
        <v>0</v>
      </c>
      <c r="AF31" s="3" t="s">
        <v>48</v>
      </c>
      <c r="AG31" s="7">
        <v>2023</v>
      </c>
      <c r="AH31" s="3" t="s">
        <v>105</v>
      </c>
      <c r="AI31" s="3" t="s">
        <v>106</v>
      </c>
      <c r="AJ31" s="3" t="s">
        <v>100</v>
      </c>
      <c r="AK31" s="3" t="s">
        <v>865</v>
      </c>
      <c r="AL31" s="3" t="s">
        <v>59</v>
      </c>
      <c r="AM31" s="3" t="s">
        <v>99</v>
      </c>
      <c r="AN31" s="3" t="s">
        <v>61</v>
      </c>
      <c r="AO31" s="3" t="s">
        <v>62</v>
      </c>
      <c r="AP31" s="3" t="s">
        <v>69</v>
      </c>
      <c r="AQ31" s="3" t="s">
        <v>61</v>
      </c>
      <c r="AR31" s="3" t="s">
        <v>48</v>
      </c>
    </row>
    <row r="32" spans="1:44" ht="30" customHeight="1">
      <c r="A32" s="3" t="s">
        <v>44</v>
      </c>
      <c r="B32" s="3" t="s">
        <v>45</v>
      </c>
      <c r="C32" s="3" t="s">
        <v>46</v>
      </c>
      <c r="D32" s="3" t="s">
        <v>100</v>
      </c>
      <c r="E32" s="3" t="s">
        <v>48</v>
      </c>
      <c r="F32" s="3" t="s">
        <v>101</v>
      </c>
      <c r="G32" s="3" t="s">
        <v>900</v>
      </c>
      <c r="H32" s="4">
        <f>IF(DATEDIF(L32,S32,"m")&gt;12,DATEDIF(L32,S32,"y"),(DATEDIF(L32,S32,"m")/12))</f>
        <v>66</v>
      </c>
      <c r="I32" s="7">
        <f>DATEDIF(L32,S32,"M")</f>
        <v>802</v>
      </c>
      <c r="J32" s="7">
        <f>DATEDIF(L32,S32,"D")</f>
        <v>24420</v>
      </c>
      <c r="K32" s="3" t="s">
        <v>64</v>
      </c>
      <c r="L32" s="8">
        <v>20507</v>
      </c>
      <c r="M32" s="3" t="s">
        <v>45</v>
      </c>
      <c r="N32" s="3" t="s">
        <v>65</v>
      </c>
      <c r="O32" s="3" t="s">
        <v>52</v>
      </c>
      <c r="P32" s="3" t="s">
        <v>169</v>
      </c>
      <c r="Q32" s="7">
        <v>0</v>
      </c>
      <c r="R32" s="8">
        <v>44930</v>
      </c>
      <c r="S32" s="8">
        <v>44927</v>
      </c>
      <c r="T32" s="3" t="s">
        <v>54</v>
      </c>
      <c r="U32" s="3" t="s">
        <v>55</v>
      </c>
      <c r="V32" s="9"/>
      <c r="W32" s="10">
        <v>44936</v>
      </c>
      <c r="X32" s="7">
        <v>6</v>
      </c>
      <c r="Y32" s="7">
        <v>3</v>
      </c>
      <c r="Z32" s="7">
        <v>1</v>
      </c>
      <c r="AA32" s="7">
        <f>INT((S32-DATE(YEAR(S32-WEEKDAY(S32-0)+4),1,4)+WEEKDAY(DATE(YEAR(S32-WEEKDAY(S32-0)+4),1,4))+6)/7)</f>
        <v>1</v>
      </c>
      <c r="AB32" s="3" t="s">
        <v>901</v>
      </c>
      <c r="AC32" s="7">
        <v>100</v>
      </c>
      <c r="AD32" s="7">
        <v>0</v>
      </c>
      <c r="AE32" s="7">
        <v>0</v>
      </c>
      <c r="AF32" s="3" t="s">
        <v>48</v>
      </c>
      <c r="AG32" s="7">
        <v>2023</v>
      </c>
      <c r="AH32" s="18" t="s">
        <v>105</v>
      </c>
      <c r="AI32" s="3" t="s">
        <v>106</v>
      </c>
      <c r="AJ32" s="3" t="s">
        <v>902</v>
      </c>
      <c r="AK32" s="3" t="s">
        <v>903</v>
      </c>
      <c r="AL32" s="3" t="s">
        <v>59</v>
      </c>
      <c r="AM32" s="3" t="s">
        <v>99</v>
      </c>
      <c r="AN32" s="3" t="s">
        <v>61</v>
      </c>
      <c r="AO32" s="3" t="s">
        <v>62</v>
      </c>
      <c r="AP32" s="3" t="s">
        <v>69</v>
      </c>
      <c r="AQ32" s="3" t="s">
        <v>61</v>
      </c>
      <c r="AR32" s="3" t="s">
        <v>48</v>
      </c>
    </row>
    <row r="33" spans="1:44" ht="30" customHeight="1">
      <c r="A33" s="3" t="s">
        <v>44</v>
      </c>
      <c r="B33" s="3" t="s">
        <v>45</v>
      </c>
      <c r="C33" s="3" t="s">
        <v>46</v>
      </c>
      <c r="D33" s="3" t="s">
        <v>100</v>
      </c>
      <c r="E33" s="3" t="s">
        <v>48</v>
      </c>
      <c r="F33" s="3" t="s">
        <v>101</v>
      </c>
      <c r="G33" s="3" t="s">
        <v>1027</v>
      </c>
      <c r="H33" s="4">
        <f>IF(DATEDIF(L33,S33,"m")&gt;12,DATEDIF(L33,S33,"y"),(DATEDIF(L33,S33,"m")/12))</f>
        <v>29</v>
      </c>
      <c r="I33" s="7">
        <f>DATEDIF(L33,S33,"M")</f>
        <v>355</v>
      </c>
      <c r="J33" s="7">
        <f>DATEDIF(L33,S33,"D")</f>
        <v>10831</v>
      </c>
      <c r="K33" s="3" t="s">
        <v>51</v>
      </c>
      <c r="L33" s="8">
        <v>34097</v>
      </c>
      <c r="M33" s="3" t="s">
        <v>45</v>
      </c>
      <c r="N33" s="3" t="s">
        <v>101</v>
      </c>
      <c r="O33" s="3" t="s">
        <v>52</v>
      </c>
      <c r="P33" s="3" t="s">
        <v>91</v>
      </c>
      <c r="Q33" s="7">
        <v>0</v>
      </c>
      <c r="R33" s="8">
        <v>44931</v>
      </c>
      <c r="S33" s="8">
        <v>44928</v>
      </c>
      <c r="T33" s="3" t="s">
        <v>54</v>
      </c>
      <c r="U33" s="3" t="s">
        <v>55</v>
      </c>
      <c r="V33" s="9"/>
      <c r="W33" s="10">
        <v>44936</v>
      </c>
      <c r="X33" s="7">
        <v>5</v>
      </c>
      <c r="Y33" s="7">
        <v>3</v>
      </c>
      <c r="Z33" s="7">
        <v>1</v>
      </c>
      <c r="AA33" s="7">
        <f>INT((S33-DATE(YEAR(S33-WEEKDAY(S33-0)+4),1,4)+WEEKDAY(DATE(YEAR(S33-WEEKDAY(S33-0)+4),1,4))+6)/7)</f>
        <v>1</v>
      </c>
      <c r="AB33" s="3" t="s">
        <v>1028</v>
      </c>
      <c r="AC33" s="7">
        <v>94</v>
      </c>
      <c r="AD33" s="7">
        <v>0</v>
      </c>
      <c r="AE33" s="7">
        <v>0</v>
      </c>
      <c r="AF33" s="3" t="s">
        <v>48</v>
      </c>
      <c r="AG33" s="7">
        <v>2023</v>
      </c>
      <c r="AH33" s="3" t="s">
        <v>105</v>
      </c>
      <c r="AI33" s="3" t="s">
        <v>106</v>
      </c>
      <c r="AJ33" s="3" t="s">
        <v>100</v>
      </c>
      <c r="AK33" s="3" t="s">
        <v>381</v>
      </c>
      <c r="AL33" s="3" t="s">
        <v>59</v>
      </c>
      <c r="AM33" s="3" t="s">
        <v>99</v>
      </c>
      <c r="AN33" s="3" t="s">
        <v>61</v>
      </c>
      <c r="AO33" s="3" t="s">
        <v>62</v>
      </c>
      <c r="AP33" s="3" t="s">
        <v>69</v>
      </c>
      <c r="AQ33" s="3" t="s">
        <v>61</v>
      </c>
      <c r="AR33" s="3" t="s">
        <v>48</v>
      </c>
    </row>
    <row r="34" spans="1:44" ht="30" customHeight="1">
      <c r="A34" s="3" t="s">
        <v>44</v>
      </c>
      <c r="B34" s="3" t="s">
        <v>45</v>
      </c>
      <c r="C34" s="3" t="s">
        <v>46</v>
      </c>
      <c r="D34" s="3" t="s">
        <v>100</v>
      </c>
      <c r="E34" s="3" t="s">
        <v>48</v>
      </c>
      <c r="F34" s="3" t="s">
        <v>101</v>
      </c>
      <c r="G34" s="3" t="s">
        <v>1115</v>
      </c>
      <c r="H34" s="4">
        <f>IF(DATEDIF(L34,S34,"m")&gt;12,DATEDIF(L34,S34,"y"),(DATEDIF(L34,S34,"m")/12))</f>
        <v>2</v>
      </c>
      <c r="I34" s="7">
        <f>DATEDIF(L34,S34,"M")</f>
        <v>30</v>
      </c>
      <c r="J34" s="7">
        <f>DATEDIF(L34,S34,"D")</f>
        <v>932</v>
      </c>
      <c r="K34" s="3" t="s">
        <v>64</v>
      </c>
      <c r="L34" s="8">
        <v>43995</v>
      </c>
      <c r="M34" s="3" t="s">
        <v>45</v>
      </c>
      <c r="N34" s="3" t="s">
        <v>101</v>
      </c>
      <c r="O34" s="3" t="s">
        <v>52</v>
      </c>
      <c r="P34" s="3" t="s">
        <v>255</v>
      </c>
      <c r="Q34" s="7">
        <v>0</v>
      </c>
      <c r="R34" s="8">
        <v>44930</v>
      </c>
      <c r="S34" s="8">
        <v>44927</v>
      </c>
      <c r="T34" s="3" t="s">
        <v>54</v>
      </c>
      <c r="U34" s="3" t="s">
        <v>55</v>
      </c>
      <c r="V34" s="9"/>
      <c r="W34" s="10">
        <v>44936</v>
      </c>
      <c r="X34" s="7">
        <v>6</v>
      </c>
      <c r="Y34" s="7">
        <v>3</v>
      </c>
      <c r="Z34" s="7">
        <v>1</v>
      </c>
      <c r="AA34" s="7">
        <f>INT((S34-DATE(YEAR(S34-WEEKDAY(S34-0)+4),1,4)+WEEKDAY(DATE(YEAR(S34-WEEKDAY(S34-0)+4),1,4))+6)/7)</f>
        <v>1</v>
      </c>
      <c r="AB34" s="3" t="s">
        <v>1116</v>
      </c>
      <c r="AC34" s="7">
        <v>101</v>
      </c>
      <c r="AD34" s="7">
        <v>0</v>
      </c>
      <c r="AE34" s="7">
        <v>0</v>
      </c>
      <c r="AF34" s="3" t="s">
        <v>48</v>
      </c>
      <c r="AG34" s="7">
        <v>2023</v>
      </c>
      <c r="AH34" s="3" t="s">
        <v>105</v>
      </c>
      <c r="AI34" s="3" t="s">
        <v>106</v>
      </c>
      <c r="AJ34" s="3" t="s">
        <v>100</v>
      </c>
      <c r="AK34" s="3" t="s">
        <v>316</v>
      </c>
      <c r="AL34" s="3" t="s">
        <v>59</v>
      </c>
      <c r="AM34" s="3" t="s">
        <v>99</v>
      </c>
      <c r="AN34" s="3" t="s">
        <v>61</v>
      </c>
      <c r="AO34" s="3" t="s">
        <v>62</v>
      </c>
      <c r="AP34" s="3" t="s">
        <v>69</v>
      </c>
      <c r="AQ34" s="3" t="s">
        <v>61</v>
      </c>
      <c r="AR34" s="3" t="s">
        <v>48</v>
      </c>
    </row>
    <row r="35" spans="1:44" ht="30" customHeight="1">
      <c r="A35" s="3" t="s">
        <v>44</v>
      </c>
      <c r="B35" s="3" t="s">
        <v>45</v>
      </c>
      <c r="C35" s="3" t="s">
        <v>46</v>
      </c>
      <c r="D35" s="3" t="s">
        <v>108</v>
      </c>
      <c r="E35" s="3" t="s">
        <v>48</v>
      </c>
      <c r="F35" s="3" t="s">
        <v>108</v>
      </c>
      <c r="G35" s="3" t="s">
        <v>805</v>
      </c>
      <c r="H35" s="4">
        <f>IF(DATEDIF(L35,S35,"m")&gt;12,DATEDIF(L35,S35,"y"),(DATEDIF(L35,S35,"m")/12))</f>
        <v>9</v>
      </c>
      <c r="I35" s="7">
        <f>DATEDIF(L35,S35,"M")</f>
        <v>117</v>
      </c>
      <c r="J35" s="7">
        <f>DATEDIF(L35,S35,"D")</f>
        <v>3580</v>
      </c>
      <c r="K35" s="3" t="s">
        <v>64</v>
      </c>
      <c r="L35" s="8">
        <v>41362</v>
      </c>
      <c r="M35" s="3" t="s">
        <v>45</v>
      </c>
      <c r="N35" s="3" t="s">
        <v>73</v>
      </c>
      <c r="O35" s="3" t="s">
        <v>52</v>
      </c>
      <c r="P35" s="3" t="s">
        <v>84</v>
      </c>
      <c r="Q35" s="7">
        <v>0</v>
      </c>
      <c r="R35" s="8">
        <v>44944</v>
      </c>
      <c r="S35" s="8">
        <v>44942</v>
      </c>
      <c r="T35" s="3" t="s">
        <v>54</v>
      </c>
      <c r="U35" s="3" t="s">
        <v>55</v>
      </c>
      <c r="V35" s="9"/>
      <c r="W35" s="10">
        <v>44950</v>
      </c>
      <c r="X35" s="7">
        <v>6</v>
      </c>
      <c r="Y35" s="7">
        <v>2</v>
      </c>
      <c r="Z35" s="7">
        <v>1</v>
      </c>
      <c r="AA35" s="7">
        <f>INT((S35-DATE(YEAR(S35-WEEKDAY(S35-0)+4),1,4)+WEEKDAY(DATE(YEAR(S35-WEEKDAY(S35-0)+4),1,4))+6)/7)</f>
        <v>3</v>
      </c>
      <c r="AB35" s="3" t="s">
        <v>806</v>
      </c>
      <c r="AC35" s="7">
        <v>156</v>
      </c>
      <c r="AD35" s="7">
        <v>0</v>
      </c>
      <c r="AE35" s="7">
        <v>0</v>
      </c>
      <c r="AF35" s="3" t="s">
        <v>48</v>
      </c>
      <c r="AG35" s="7">
        <v>2023</v>
      </c>
      <c r="AH35" s="3" t="s">
        <v>112</v>
      </c>
      <c r="AI35" s="3" t="s">
        <v>113</v>
      </c>
      <c r="AJ35" s="3" t="s">
        <v>48</v>
      </c>
      <c r="AK35" s="3" t="s">
        <v>114</v>
      </c>
      <c r="AL35" s="3" t="s">
        <v>59</v>
      </c>
      <c r="AM35" s="3" t="s">
        <v>115</v>
      </c>
      <c r="AN35" s="3" t="s">
        <v>61</v>
      </c>
      <c r="AO35" s="3" t="s">
        <v>62</v>
      </c>
      <c r="AP35" s="3" t="s">
        <v>69</v>
      </c>
      <c r="AQ35" s="3" t="s">
        <v>61</v>
      </c>
      <c r="AR35" s="3" t="s">
        <v>48</v>
      </c>
    </row>
    <row r="36" spans="1:44" ht="30" customHeight="1">
      <c r="A36" s="3" t="s">
        <v>44</v>
      </c>
      <c r="B36" s="3" t="s">
        <v>45</v>
      </c>
      <c r="C36" s="3" t="s">
        <v>46</v>
      </c>
      <c r="D36" s="3" t="s">
        <v>108</v>
      </c>
      <c r="E36" s="3" t="s">
        <v>48</v>
      </c>
      <c r="F36" s="3" t="s">
        <v>108</v>
      </c>
      <c r="G36" s="3" t="s">
        <v>109</v>
      </c>
      <c r="H36" s="4">
        <f>IF(DATEDIF(L36,S36,"m")&gt;12,DATEDIF(L36,S36,"y"),(DATEDIF(L36,S36,"m")/12))</f>
        <v>6</v>
      </c>
      <c r="I36" s="7">
        <f>DATEDIF(L36,S36,"M")</f>
        <v>79</v>
      </c>
      <c r="J36" s="7">
        <f>DATEDIF(L36,S36,"D")</f>
        <v>2426</v>
      </c>
      <c r="K36" s="3" t="s">
        <v>51</v>
      </c>
      <c r="L36" s="8">
        <v>42532</v>
      </c>
      <c r="M36" s="3" t="s">
        <v>45</v>
      </c>
      <c r="N36" s="3" t="s">
        <v>73</v>
      </c>
      <c r="O36" s="3" t="s">
        <v>52</v>
      </c>
      <c r="P36" s="3" t="s">
        <v>110</v>
      </c>
      <c r="Q36" s="7">
        <v>0</v>
      </c>
      <c r="R36" s="8">
        <v>44960</v>
      </c>
      <c r="S36" s="8">
        <v>44958</v>
      </c>
      <c r="T36" s="3" t="s">
        <v>54</v>
      </c>
      <c r="U36" s="3" t="s">
        <v>55</v>
      </c>
      <c r="V36" s="9"/>
      <c r="W36" s="10">
        <v>44963</v>
      </c>
      <c r="X36" s="7">
        <v>3</v>
      </c>
      <c r="Y36" s="7">
        <v>2</v>
      </c>
      <c r="Z36" s="7">
        <v>2</v>
      </c>
      <c r="AA36" s="7">
        <f>INT((S36-DATE(YEAR(S36-WEEKDAY(S36-0)+4),1,4)+WEEKDAY(DATE(YEAR(S36-WEEKDAY(S36-0)+4),1,4))+6)/7)</f>
        <v>5</v>
      </c>
      <c r="AB36" s="3" t="s">
        <v>111</v>
      </c>
      <c r="AC36" s="7">
        <v>205</v>
      </c>
      <c r="AD36" s="7">
        <v>0</v>
      </c>
      <c r="AE36" s="7">
        <v>0</v>
      </c>
      <c r="AF36" s="3" t="s">
        <v>48</v>
      </c>
      <c r="AG36" s="7">
        <v>2023</v>
      </c>
      <c r="AH36" s="3" t="s">
        <v>112</v>
      </c>
      <c r="AI36" s="3" t="s">
        <v>113</v>
      </c>
      <c r="AJ36" s="3" t="s">
        <v>48</v>
      </c>
      <c r="AK36" s="3" t="s">
        <v>114</v>
      </c>
      <c r="AL36" s="3" t="s">
        <v>59</v>
      </c>
      <c r="AM36" s="3" t="s">
        <v>115</v>
      </c>
      <c r="AN36" s="3" t="s">
        <v>61</v>
      </c>
      <c r="AO36" s="3" t="s">
        <v>62</v>
      </c>
      <c r="AP36" s="3" t="s">
        <v>69</v>
      </c>
      <c r="AQ36" s="3" t="s">
        <v>61</v>
      </c>
      <c r="AR36" s="3" t="s">
        <v>48</v>
      </c>
    </row>
    <row r="37" spans="1:44" ht="30" customHeight="1">
      <c r="A37" s="3" t="s">
        <v>44</v>
      </c>
      <c r="B37" s="3" t="s">
        <v>45</v>
      </c>
      <c r="C37" s="3" t="s">
        <v>46</v>
      </c>
      <c r="D37" s="3" t="s">
        <v>100</v>
      </c>
      <c r="E37" s="3" t="s">
        <v>48</v>
      </c>
      <c r="F37" s="3" t="s">
        <v>1322</v>
      </c>
      <c r="G37" s="3" t="s">
        <v>1323</v>
      </c>
      <c r="H37" s="4">
        <f>IF(DATEDIF(L37,S37,"m")&gt;12,DATEDIF(L37,S37,"y"),(DATEDIF(L37,S37,"m")/12))</f>
        <v>4</v>
      </c>
      <c r="I37" s="7">
        <f>DATEDIF(L37,S37,"M")</f>
        <v>52</v>
      </c>
      <c r="J37" s="7">
        <f>DATEDIF(L37,S37,"D")</f>
        <v>1600</v>
      </c>
      <c r="K37" s="3" t="s">
        <v>51</v>
      </c>
      <c r="L37" s="8">
        <v>43327</v>
      </c>
      <c r="M37" s="3" t="s">
        <v>45</v>
      </c>
      <c r="N37" s="3" t="s">
        <v>101</v>
      </c>
      <c r="O37" s="3" t="s">
        <v>52</v>
      </c>
      <c r="P37" s="3" t="s">
        <v>84</v>
      </c>
      <c r="Q37" s="7">
        <v>1</v>
      </c>
      <c r="R37" s="8">
        <v>44929</v>
      </c>
      <c r="S37" s="8">
        <v>44927</v>
      </c>
      <c r="T37" s="3" t="s">
        <v>54</v>
      </c>
      <c r="U37" s="3" t="s">
        <v>55</v>
      </c>
      <c r="V37" s="9"/>
      <c r="W37" s="10">
        <v>44936</v>
      </c>
      <c r="X37" s="7">
        <v>7</v>
      </c>
      <c r="Y37" s="7">
        <v>2</v>
      </c>
      <c r="Z37" s="7">
        <v>1</v>
      </c>
      <c r="AA37" s="7">
        <f>INT((S37-DATE(YEAR(S37-WEEKDAY(S37-0)+4),1,4)+WEEKDAY(DATE(YEAR(S37-WEEKDAY(S37-0)+4),1,4))+6)/7)</f>
        <v>1</v>
      </c>
      <c r="AB37" s="3" t="s">
        <v>1324</v>
      </c>
      <c r="AC37" s="7">
        <v>12</v>
      </c>
      <c r="AD37" s="7">
        <v>0</v>
      </c>
      <c r="AE37" s="7">
        <v>0</v>
      </c>
      <c r="AF37" s="3" t="s">
        <v>48</v>
      </c>
      <c r="AG37" s="7">
        <v>2023</v>
      </c>
      <c r="AH37" s="3" t="s">
        <v>223</v>
      </c>
      <c r="AI37" s="3" t="s">
        <v>48</v>
      </c>
      <c r="AJ37" s="3" t="s">
        <v>48</v>
      </c>
      <c r="AK37" s="3" t="s">
        <v>448</v>
      </c>
      <c r="AL37" s="3" t="s">
        <v>59</v>
      </c>
      <c r="AM37" s="3" t="s">
        <v>99</v>
      </c>
      <c r="AN37" s="3" t="s">
        <v>61</v>
      </c>
      <c r="AO37" s="3" t="s">
        <v>62</v>
      </c>
      <c r="AP37" s="3" t="s">
        <v>69</v>
      </c>
      <c r="AQ37" s="3" t="s">
        <v>61</v>
      </c>
      <c r="AR37" s="3" t="s">
        <v>48</v>
      </c>
    </row>
    <row r="38" spans="1:44" ht="30" customHeight="1">
      <c r="A38" s="3" t="s">
        <v>44</v>
      </c>
      <c r="B38" s="3" t="s">
        <v>45</v>
      </c>
      <c r="C38" s="3" t="s">
        <v>46</v>
      </c>
      <c r="D38" s="3" t="s">
        <v>108</v>
      </c>
      <c r="E38" s="3" t="s">
        <v>48</v>
      </c>
      <c r="F38" s="3" t="s">
        <v>108</v>
      </c>
      <c r="G38" s="3" t="s">
        <v>586</v>
      </c>
      <c r="H38" s="4">
        <f>IF(DATEDIF(L38,S38,"m")&gt;12,DATEDIF(L38,S38,"y"),(DATEDIF(L38,S38,"m")/12))</f>
        <v>1</v>
      </c>
      <c r="I38" s="7">
        <f>DATEDIF(L38,S38,"M")</f>
        <v>19</v>
      </c>
      <c r="J38" s="7">
        <f>DATEDIF(L38,S38,"D")</f>
        <v>595</v>
      </c>
      <c r="K38" s="3" t="s">
        <v>51</v>
      </c>
      <c r="L38" s="8">
        <v>44359</v>
      </c>
      <c r="M38" s="3" t="s">
        <v>45</v>
      </c>
      <c r="N38" s="3" t="s">
        <v>73</v>
      </c>
      <c r="O38" s="3" t="s">
        <v>52</v>
      </c>
      <c r="P38" s="3" t="s">
        <v>137</v>
      </c>
      <c r="Q38" s="7">
        <v>0</v>
      </c>
      <c r="R38" s="8">
        <v>44958</v>
      </c>
      <c r="S38" s="8">
        <v>44954</v>
      </c>
      <c r="T38" s="3" t="s">
        <v>54</v>
      </c>
      <c r="U38" s="3" t="s">
        <v>55</v>
      </c>
      <c r="V38" s="9"/>
      <c r="W38" s="10">
        <v>44963</v>
      </c>
      <c r="X38" s="7">
        <v>5</v>
      </c>
      <c r="Y38" s="7">
        <v>4</v>
      </c>
      <c r="Z38" s="7">
        <v>1</v>
      </c>
      <c r="AA38" s="7">
        <f>INT((S38-DATE(YEAR(S38-WEEKDAY(S38-0)+4),1,4)+WEEKDAY(DATE(YEAR(S38-WEEKDAY(S38-0)+4),1,4))+6)/7)</f>
        <v>4</v>
      </c>
      <c r="AB38" s="3" t="s">
        <v>587</v>
      </c>
      <c r="AC38" s="7">
        <v>197</v>
      </c>
      <c r="AD38" s="7">
        <v>0</v>
      </c>
      <c r="AE38" s="7">
        <v>0</v>
      </c>
      <c r="AF38" s="3" t="s">
        <v>48</v>
      </c>
      <c r="AG38" s="7">
        <v>2023</v>
      </c>
      <c r="AH38" s="3" t="s">
        <v>112</v>
      </c>
      <c r="AI38" s="3" t="s">
        <v>113</v>
      </c>
      <c r="AJ38" s="3" t="s">
        <v>48</v>
      </c>
      <c r="AK38" s="3" t="s">
        <v>114</v>
      </c>
      <c r="AL38" s="3" t="s">
        <v>59</v>
      </c>
      <c r="AM38" s="3" t="s">
        <v>115</v>
      </c>
      <c r="AN38" s="3" t="s">
        <v>61</v>
      </c>
      <c r="AO38" s="3" t="s">
        <v>62</v>
      </c>
      <c r="AP38" s="3" t="s">
        <v>69</v>
      </c>
      <c r="AQ38" s="3" t="s">
        <v>61</v>
      </c>
      <c r="AR38" s="3" t="s">
        <v>48</v>
      </c>
    </row>
    <row r="39" spans="1:44" ht="30" customHeight="1">
      <c r="A39" s="3" t="s">
        <v>44</v>
      </c>
      <c r="B39" s="3" t="s">
        <v>45</v>
      </c>
      <c r="C39" s="3" t="s">
        <v>46</v>
      </c>
      <c r="D39" s="3" t="s">
        <v>130</v>
      </c>
      <c r="E39" s="3" t="s">
        <v>48</v>
      </c>
      <c r="F39" s="3" t="s">
        <v>130</v>
      </c>
      <c r="G39" s="3" t="s">
        <v>1691</v>
      </c>
      <c r="H39" s="4">
        <f>IF(DATEDIF(L39,S39,"m")&gt;12,DATEDIF(L39,S39,"y"),(DATEDIF(L39,S39,"m")/12))</f>
        <v>40</v>
      </c>
      <c r="I39" s="7">
        <f>DATEDIF(L39,S39,"M")</f>
        <v>488</v>
      </c>
      <c r="J39" s="7">
        <f>DATEDIF(L39,S39,"D")</f>
        <v>14870</v>
      </c>
      <c r="K39" s="3" t="s">
        <v>51</v>
      </c>
      <c r="L39" s="8">
        <v>30063</v>
      </c>
      <c r="M39" s="3" t="s">
        <v>45</v>
      </c>
      <c r="N39" s="3" t="s">
        <v>83</v>
      </c>
      <c r="O39" s="3" t="s">
        <v>52</v>
      </c>
      <c r="P39" s="3" t="s">
        <v>91</v>
      </c>
      <c r="Q39" s="7">
        <v>0</v>
      </c>
      <c r="R39" s="8">
        <v>44935</v>
      </c>
      <c r="S39" s="8">
        <v>44933</v>
      </c>
      <c r="T39" s="3" t="s">
        <v>54</v>
      </c>
      <c r="U39" s="3" t="s">
        <v>55</v>
      </c>
      <c r="V39" s="9"/>
      <c r="W39" s="10">
        <v>44936</v>
      </c>
      <c r="X39" s="7">
        <v>1</v>
      </c>
      <c r="Y39" s="7">
        <v>2</v>
      </c>
      <c r="Z39" s="7">
        <v>1</v>
      </c>
      <c r="AA39" s="7">
        <f>INT((S39-DATE(YEAR(S39-WEEKDAY(S39-0)+4),1,4)+WEEKDAY(DATE(YEAR(S39-WEEKDAY(S39-0)+4),1,4))+6)/7)</f>
        <v>1</v>
      </c>
      <c r="AB39" s="3" t="s">
        <v>1692</v>
      </c>
      <c r="AC39" s="7">
        <v>77</v>
      </c>
      <c r="AD39" s="7">
        <v>0</v>
      </c>
      <c r="AE39" s="7">
        <v>0</v>
      </c>
      <c r="AF39" s="3" t="s">
        <v>48</v>
      </c>
      <c r="AG39" s="7">
        <v>2023</v>
      </c>
      <c r="AH39" s="3" t="s">
        <v>139</v>
      </c>
      <c r="AI39" s="3" t="s">
        <v>113</v>
      </c>
      <c r="AJ39" s="3" t="s">
        <v>48</v>
      </c>
      <c r="AK39" s="3" t="s">
        <v>488</v>
      </c>
      <c r="AL39" s="3" t="s">
        <v>59</v>
      </c>
      <c r="AM39" s="3" t="s">
        <v>60</v>
      </c>
      <c r="AN39" s="3" t="s">
        <v>61</v>
      </c>
      <c r="AO39" s="3" t="s">
        <v>62</v>
      </c>
      <c r="AP39" s="3" t="s">
        <v>69</v>
      </c>
      <c r="AQ39" s="3" t="s">
        <v>61</v>
      </c>
      <c r="AR39" s="3" t="s">
        <v>48</v>
      </c>
    </row>
    <row r="40" spans="1:44" ht="30" customHeight="1">
      <c r="A40" s="3" t="s">
        <v>44</v>
      </c>
      <c r="B40" s="3" t="s">
        <v>45</v>
      </c>
      <c r="C40" s="3" t="s">
        <v>46</v>
      </c>
      <c r="D40" s="3" t="s">
        <v>100</v>
      </c>
      <c r="E40" s="3" t="s">
        <v>48</v>
      </c>
      <c r="F40" s="3" t="s">
        <v>101</v>
      </c>
      <c r="G40" s="3" t="s">
        <v>1765</v>
      </c>
      <c r="H40" s="5">
        <f>IF(DATEDIF(L40,S40,"m")&gt;12,DATEDIF(L40,S40,"y"),(DATEDIF(L40,S40,"m")/12))</f>
        <v>0.25</v>
      </c>
      <c r="I40" s="7">
        <f>DATEDIF(L40,S40,"M")</f>
        <v>3</v>
      </c>
      <c r="J40" s="7">
        <f>DATEDIF(L40,S40,"D")</f>
        <v>97</v>
      </c>
      <c r="K40" s="3" t="s">
        <v>51</v>
      </c>
      <c r="L40" s="8">
        <v>44831</v>
      </c>
      <c r="M40" s="3" t="s">
        <v>45</v>
      </c>
      <c r="N40" s="3" t="s">
        <v>101</v>
      </c>
      <c r="O40" s="3" t="s">
        <v>52</v>
      </c>
      <c r="P40" s="3" t="s">
        <v>103</v>
      </c>
      <c r="Q40" s="7">
        <v>0</v>
      </c>
      <c r="R40" s="8">
        <v>44931</v>
      </c>
      <c r="S40" s="8">
        <v>44928</v>
      </c>
      <c r="T40" s="3" t="s">
        <v>54</v>
      </c>
      <c r="U40" s="3" t="s">
        <v>55</v>
      </c>
      <c r="V40" s="9"/>
      <c r="W40" s="10">
        <v>44936</v>
      </c>
      <c r="X40" s="7">
        <v>5</v>
      </c>
      <c r="Y40" s="7">
        <v>3</v>
      </c>
      <c r="Z40" s="7">
        <v>1</v>
      </c>
      <c r="AA40" s="7">
        <f>INT((S40-DATE(YEAR(S40-WEEKDAY(S40-0)+4),1,4)+WEEKDAY(DATE(YEAR(S40-WEEKDAY(S40-0)+4),1,4))+6)/7)</f>
        <v>1</v>
      </c>
      <c r="AB40" s="3" t="s">
        <v>1766</v>
      </c>
      <c r="AC40" s="7">
        <v>93</v>
      </c>
      <c r="AD40" s="7">
        <v>0</v>
      </c>
      <c r="AE40" s="7">
        <v>0</v>
      </c>
      <c r="AF40" s="3" t="s">
        <v>48</v>
      </c>
      <c r="AG40" s="7">
        <v>2023</v>
      </c>
      <c r="AH40" s="3" t="s">
        <v>105</v>
      </c>
      <c r="AI40" s="3" t="s">
        <v>106</v>
      </c>
      <c r="AJ40" s="3" t="s">
        <v>100</v>
      </c>
      <c r="AK40" s="3" t="s">
        <v>381</v>
      </c>
      <c r="AL40" s="3" t="s">
        <v>59</v>
      </c>
      <c r="AM40" s="3" t="s">
        <v>99</v>
      </c>
      <c r="AN40" s="3" t="s">
        <v>61</v>
      </c>
      <c r="AO40" s="3" t="s">
        <v>62</v>
      </c>
      <c r="AP40" s="3" t="s">
        <v>69</v>
      </c>
      <c r="AQ40" s="3" t="s">
        <v>61</v>
      </c>
      <c r="AR40" s="3" t="s">
        <v>48</v>
      </c>
    </row>
    <row r="41" spans="1:44" ht="30" customHeight="1">
      <c r="A41" s="3" t="s">
        <v>44</v>
      </c>
      <c r="B41" s="3" t="s">
        <v>45</v>
      </c>
      <c r="C41" s="3" t="s">
        <v>46</v>
      </c>
      <c r="D41" s="3" t="s">
        <v>47</v>
      </c>
      <c r="E41" s="3" t="s">
        <v>48</v>
      </c>
      <c r="F41" s="3" t="s">
        <v>49</v>
      </c>
      <c r="G41" s="3" t="s">
        <v>1778</v>
      </c>
      <c r="H41" s="4">
        <f>IF(DATEDIF(L41,S41,"m")&gt;12,DATEDIF(L41,S41,"y"),(DATEDIF(L41,S41,"m")/12))</f>
        <v>1</v>
      </c>
      <c r="I41" s="7">
        <f>DATEDIF(L41,S41,"M")</f>
        <v>21</v>
      </c>
      <c r="J41" s="7">
        <f>DATEDIF(L41,S41,"D")</f>
        <v>644</v>
      </c>
      <c r="K41" s="3" t="s">
        <v>64</v>
      </c>
      <c r="L41" s="8">
        <v>44283</v>
      </c>
      <c r="M41" s="3" t="s">
        <v>45</v>
      </c>
      <c r="N41" s="3" t="s">
        <v>49</v>
      </c>
      <c r="O41" s="3" t="s">
        <v>52</v>
      </c>
      <c r="P41" s="3" t="s">
        <v>298</v>
      </c>
      <c r="Q41" s="7">
        <v>0</v>
      </c>
      <c r="R41" s="8">
        <v>44931</v>
      </c>
      <c r="S41" s="8">
        <v>44927</v>
      </c>
      <c r="T41" s="3" t="s">
        <v>54</v>
      </c>
      <c r="U41" s="3" t="s">
        <v>55</v>
      </c>
      <c r="V41" s="9"/>
      <c r="W41" s="10">
        <v>44936</v>
      </c>
      <c r="X41" s="7">
        <v>5</v>
      </c>
      <c r="Y41" s="7">
        <v>4</v>
      </c>
      <c r="Z41" s="7">
        <v>1</v>
      </c>
      <c r="AA41" s="7">
        <f>INT((S41-DATE(YEAR(S41-WEEKDAY(S41-0)+4),1,4)+WEEKDAY(DATE(YEAR(S41-WEEKDAY(S41-0)+4),1,4))+6)/7)</f>
        <v>1</v>
      </c>
      <c r="AB41" s="3" t="s">
        <v>1779</v>
      </c>
      <c r="AC41" s="7">
        <v>105</v>
      </c>
      <c r="AD41" s="7">
        <v>0</v>
      </c>
      <c r="AE41" s="7">
        <v>0</v>
      </c>
      <c r="AF41" s="3" t="s">
        <v>48</v>
      </c>
      <c r="AG41" s="7">
        <v>2023</v>
      </c>
      <c r="AH41" s="3" t="s">
        <v>57</v>
      </c>
      <c r="AI41" s="3" t="s">
        <v>106</v>
      </c>
      <c r="AJ41" s="3" t="s">
        <v>252</v>
      </c>
      <c r="AK41" s="3" t="s">
        <v>1172</v>
      </c>
      <c r="AL41" s="3" t="s">
        <v>59</v>
      </c>
      <c r="AM41" s="3" t="s">
        <v>60</v>
      </c>
      <c r="AN41" s="3" t="s">
        <v>61</v>
      </c>
      <c r="AO41" s="3" t="s">
        <v>62</v>
      </c>
      <c r="AP41" s="3" t="s">
        <v>69</v>
      </c>
      <c r="AQ41" s="3" t="s">
        <v>61</v>
      </c>
      <c r="AR41" s="3" t="s">
        <v>48</v>
      </c>
    </row>
    <row r="42" spans="1:44" ht="30" customHeight="1">
      <c r="A42" s="3" t="s">
        <v>44</v>
      </c>
      <c r="B42" s="3" t="s">
        <v>45</v>
      </c>
      <c r="C42" s="3" t="s">
        <v>46</v>
      </c>
      <c r="D42" s="3" t="s">
        <v>100</v>
      </c>
      <c r="E42" s="3" t="s">
        <v>48</v>
      </c>
      <c r="F42" s="3" t="s">
        <v>101</v>
      </c>
      <c r="G42" s="3" t="s">
        <v>2056</v>
      </c>
      <c r="H42" s="5">
        <f>IF(DATEDIF(L42,S42,"m")&gt;12,DATEDIF(L42,S42,"y"),(DATEDIF(L42,S42,"m")/12))</f>
        <v>0.5</v>
      </c>
      <c r="I42" s="7">
        <f>DATEDIF(L42,S42,"M")</f>
        <v>6</v>
      </c>
      <c r="J42" s="7">
        <f>DATEDIF(L42,S42,"D")</f>
        <v>197</v>
      </c>
      <c r="K42" s="3" t="s">
        <v>51</v>
      </c>
      <c r="L42" s="8">
        <v>44730</v>
      </c>
      <c r="M42" s="3" t="s">
        <v>45</v>
      </c>
      <c r="N42" s="3" t="s">
        <v>101</v>
      </c>
      <c r="O42" s="3" t="s">
        <v>52</v>
      </c>
      <c r="P42" s="3" t="s">
        <v>137</v>
      </c>
      <c r="Q42" s="7">
        <v>0</v>
      </c>
      <c r="R42" s="8">
        <v>44931</v>
      </c>
      <c r="S42" s="8">
        <v>44927</v>
      </c>
      <c r="T42" s="3" t="s">
        <v>54</v>
      </c>
      <c r="U42" s="3" t="s">
        <v>55</v>
      </c>
      <c r="V42" s="9"/>
      <c r="W42" s="10">
        <v>44936</v>
      </c>
      <c r="X42" s="7">
        <v>5</v>
      </c>
      <c r="Y42" s="7">
        <v>4</v>
      </c>
      <c r="Z42" s="7">
        <v>1</v>
      </c>
      <c r="AA42" s="7">
        <f>INT((S42-DATE(YEAR(S42-WEEKDAY(S42-0)+4),1,4)+WEEKDAY(DATE(YEAR(S42-WEEKDAY(S42-0)+4),1,4))+6)/7)</f>
        <v>1</v>
      </c>
      <c r="AB42" s="3" t="s">
        <v>2057</v>
      </c>
      <c r="AC42" s="7">
        <v>95</v>
      </c>
      <c r="AD42" s="7">
        <v>0</v>
      </c>
      <c r="AE42" s="7">
        <v>0</v>
      </c>
      <c r="AF42" s="3" t="s">
        <v>48</v>
      </c>
      <c r="AG42" s="7">
        <v>2023</v>
      </c>
      <c r="AH42" s="3" t="s">
        <v>105</v>
      </c>
      <c r="AI42" s="3" t="s">
        <v>106</v>
      </c>
      <c r="AJ42" s="3" t="s">
        <v>100</v>
      </c>
      <c r="AK42" s="3" t="s">
        <v>107</v>
      </c>
      <c r="AL42" s="3" t="s">
        <v>59</v>
      </c>
      <c r="AM42" s="3" t="s">
        <v>99</v>
      </c>
      <c r="AN42" s="3" t="s">
        <v>61</v>
      </c>
      <c r="AO42" s="3" t="s">
        <v>62</v>
      </c>
      <c r="AP42" s="3" t="s">
        <v>69</v>
      </c>
      <c r="AQ42" s="3" t="s">
        <v>61</v>
      </c>
      <c r="AR42" s="3" t="s">
        <v>48</v>
      </c>
    </row>
    <row r="43" spans="1:44" ht="30" customHeight="1">
      <c r="A43" s="3" t="s">
        <v>44</v>
      </c>
      <c r="B43" s="3" t="s">
        <v>45</v>
      </c>
      <c r="C43" s="3" t="s">
        <v>46</v>
      </c>
      <c r="D43" s="3" t="s">
        <v>108</v>
      </c>
      <c r="E43" s="3" t="s">
        <v>48</v>
      </c>
      <c r="F43" s="3" t="s">
        <v>108</v>
      </c>
      <c r="G43" s="3" t="s">
        <v>944</v>
      </c>
      <c r="H43" s="4">
        <f>IF(DATEDIF(L43,S43,"m")&gt;12,DATEDIF(L43,S43,"y"),(DATEDIF(L43,S43,"m")/12))</f>
        <v>6</v>
      </c>
      <c r="I43" s="7">
        <f>DATEDIF(L43,S43,"M")</f>
        <v>81</v>
      </c>
      <c r="J43" s="7">
        <f>DATEDIF(L43,S43,"D")</f>
        <v>2487</v>
      </c>
      <c r="K43" s="3" t="s">
        <v>51</v>
      </c>
      <c r="L43" s="27">
        <v>42469</v>
      </c>
      <c r="M43" s="3" t="s">
        <v>45</v>
      </c>
      <c r="N43" s="3" t="s">
        <v>73</v>
      </c>
      <c r="O43" s="3" t="s">
        <v>52</v>
      </c>
      <c r="P43" s="3" t="s">
        <v>84</v>
      </c>
      <c r="Q43" s="7">
        <v>0</v>
      </c>
      <c r="R43" s="8">
        <v>44957</v>
      </c>
      <c r="S43" s="8">
        <v>44956</v>
      </c>
      <c r="T43" s="3" t="s">
        <v>54</v>
      </c>
      <c r="U43" s="3" t="s">
        <v>55</v>
      </c>
      <c r="V43" s="9"/>
      <c r="W43" s="10">
        <v>44963</v>
      </c>
      <c r="X43" s="7">
        <v>6</v>
      </c>
      <c r="Y43" s="7">
        <v>1</v>
      </c>
      <c r="Z43" s="7">
        <v>1</v>
      </c>
      <c r="AA43" s="7">
        <f>INT((S43-DATE(YEAR(S43-WEEKDAY(S43-0)+4),1,4)+WEEKDAY(DATE(YEAR(S43-WEEKDAY(S43-0)+4),1,4))+6)/7)</f>
        <v>5</v>
      </c>
      <c r="AB43" s="3" t="s">
        <v>945</v>
      </c>
      <c r="AC43" s="7">
        <v>184</v>
      </c>
      <c r="AD43" s="7">
        <v>0</v>
      </c>
      <c r="AE43" s="7">
        <v>0</v>
      </c>
      <c r="AF43" s="3" t="s">
        <v>48</v>
      </c>
      <c r="AG43" s="7">
        <v>2023</v>
      </c>
      <c r="AH43" s="3" t="s">
        <v>112</v>
      </c>
      <c r="AI43" s="3" t="s">
        <v>113</v>
      </c>
      <c r="AJ43" s="3" t="s">
        <v>48</v>
      </c>
      <c r="AK43" s="3" t="s">
        <v>114</v>
      </c>
      <c r="AL43" s="3" t="s">
        <v>59</v>
      </c>
      <c r="AM43" s="3" t="s">
        <v>115</v>
      </c>
      <c r="AN43" s="3" t="s">
        <v>61</v>
      </c>
      <c r="AO43" s="3" t="s">
        <v>62</v>
      </c>
      <c r="AP43" s="3" t="s">
        <v>69</v>
      </c>
      <c r="AQ43" s="3" t="s">
        <v>61</v>
      </c>
      <c r="AR43" s="3" t="s">
        <v>48</v>
      </c>
    </row>
    <row r="44" spans="1:44" ht="30" customHeight="1">
      <c r="A44" s="3" t="s">
        <v>44</v>
      </c>
      <c r="B44" s="3" t="s">
        <v>45</v>
      </c>
      <c r="C44" s="3" t="s">
        <v>46</v>
      </c>
      <c r="D44" s="3" t="s">
        <v>130</v>
      </c>
      <c r="E44" s="3" t="s">
        <v>48</v>
      </c>
      <c r="F44" s="3" t="s">
        <v>130</v>
      </c>
      <c r="G44" s="3" t="s">
        <v>2136</v>
      </c>
      <c r="H44" s="4">
        <f>IF(DATEDIF(L44,S44,"m")&gt;12,DATEDIF(L44,S44,"y"),(DATEDIF(L44,S44,"m")/12))</f>
        <v>5</v>
      </c>
      <c r="I44" s="7">
        <f>DATEDIF(L44,S44,"M")</f>
        <v>66</v>
      </c>
      <c r="J44" s="7">
        <f>DATEDIF(L44,S44,"D")</f>
        <v>2038</v>
      </c>
      <c r="K44" s="3" t="s">
        <v>64</v>
      </c>
      <c r="L44" s="8">
        <v>42896</v>
      </c>
      <c r="M44" s="3" t="s">
        <v>45</v>
      </c>
      <c r="N44" s="3" t="s">
        <v>83</v>
      </c>
      <c r="O44" s="3" t="s">
        <v>52</v>
      </c>
      <c r="P44" s="3" t="s">
        <v>169</v>
      </c>
      <c r="Q44" s="7">
        <v>0</v>
      </c>
      <c r="R44" s="8">
        <v>44935</v>
      </c>
      <c r="S44" s="8">
        <v>44934</v>
      </c>
      <c r="T44" s="3" t="s">
        <v>54</v>
      </c>
      <c r="U44" s="3" t="s">
        <v>55</v>
      </c>
      <c r="V44" s="9"/>
      <c r="W44" s="10">
        <v>44936</v>
      </c>
      <c r="X44" s="7">
        <v>1</v>
      </c>
      <c r="Y44" s="7">
        <v>1</v>
      </c>
      <c r="Z44" s="7">
        <v>1</v>
      </c>
      <c r="AA44" s="7">
        <f>INT((S44-DATE(YEAR(S44-WEEKDAY(S44-0)+4),1,4)+WEEKDAY(DATE(YEAR(S44-WEEKDAY(S44-0)+4),1,4))+6)/7)</f>
        <v>2</v>
      </c>
      <c r="AB44" s="3" t="s">
        <v>2137</v>
      </c>
      <c r="AC44" s="7">
        <v>78</v>
      </c>
      <c r="AD44" s="7">
        <v>0</v>
      </c>
      <c r="AE44" s="7">
        <v>0</v>
      </c>
      <c r="AF44" s="3" t="s">
        <v>48</v>
      </c>
      <c r="AG44" s="7">
        <v>2023</v>
      </c>
      <c r="AH44" s="3" t="s">
        <v>139</v>
      </c>
      <c r="AI44" s="3" t="s">
        <v>113</v>
      </c>
      <c r="AJ44" s="3" t="s">
        <v>48</v>
      </c>
      <c r="AK44" s="3" t="s">
        <v>1573</v>
      </c>
      <c r="AL44" s="3" t="s">
        <v>59</v>
      </c>
      <c r="AM44" s="3" t="s">
        <v>60</v>
      </c>
      <c r="AN44" s="3" t="s">
        <v>61</v>
      </c>
      <c r="AO44" s="3" t="s">
        <v>62</v>
      </c>
      <c r="AP44" s="3" t="s">
        <v>69</v>
      </c>
      <c r="AQ44" s="3" t="s">
        <v>61</v>
      </c>
      <c r="AR44" s="3" t="s">
        <v>48</v>
      </c>
    </row>
    <row r="45" spans="1:44" ht="30" customHeight="1">
      <c r="A45" s="3" t="s">
        <v>44</v>
      </c>
      <c r="B45" s="3" t="s">
        <v>45</v>
      </c>
      <c r="C45" s="3" t="s">
        <v>46</v>
      </c>
      <c r="D45" s="3" t="s">
        <v>47</v>
      </c>
      <c r="E45" s="3" t="s">
        <v>48</v>
      </c>
      <c r="F45" s="3" t="s">
        <v>49</v>
      </c>
      <c r="G45" s="3" t="s">
        <v>2183</v>
      </c>
      <c r="H45" s="5">
        <f>IF(DATEDIF(L45,S45,"m")&gt;12,DATEDIF(L45,S45,"y"),(DATEDIF(L45,S45,"m")/12))</f>
        <v>0.58333333333333337</v>
      </c>
      <c r="I45" s="7">
        <f>DATEDIF(L45,S45,"M")</f>
        <v>7</v>
      </c>
      <c r="J45" s="7">
        <f>DATEDIF(L45,S45,"D")</f>
        <v>230</v>
      </c>
      <c r="K45" s="3" t="s">
        <v>64</v>
      </c>
      <c r="L45" s="8">
        <v>44698</v>
      </c>
      <c r="M45" s="3" t="s">
        <v>45</v>
      </c>
      <c r="N45" s="3" t="s">
        <v>49</v>
      </c>
      <c r="O45" s="3" t="s">
        <v>52</v>
      </c>
      <c r="P45" s="3" t="s">
        <v>923</v>
      </c>
      <c r="Q45" s="7">
        <v>0</v>
      </c>
      <c r="R45" s="8">
        <v>44931</v>
      </c>
      <c r="S45" s="8">
        <v>44928</v>
      </c>
      <c r="T45" s="3" t="s">
        <v>54</v>
      </c>
      <c r="U45" s="3" t="s">
        <v>55</v>
      </c>
      <c r="V45" s="9"/>
      <c r="W45" s="10">
        <v>44936</v>
      </c>
      <c r="X45" s="7">
        <v>5</v>
      </c>
      <c r="Y45" s="7">
        <v>3</v>
      </c>
      <c r="Z45" s="7">
        <v>1</v>
      </c>
      <c r="AA45" s="7">
        <f>INT((S45-DATE(YEAR(S45-WEEKDAY(S45-0)+4),1,4)+WEEKDAY(DATE(YEAR(S45-WEEKDAY(S45-0)+4),1,4))+6)/7)</f>
        <v>1</v>
      </c>
      <c r="AB45" s="3" t="s">
        <v>2184</v>
      </c>
      <c r="AC45" s="7">
        <v>106</v>
      </c>
      <c r="AD45" s="7">
        <v>0</v>
      </c>
      <c r="AE45" s="7">
        <v>0</v>
      </c>
      <c r="AF45" s="3" t="s">
        <v>48</v>
      </c>
      <c r="AG45" s="7">
        <v>2023</v>
      </c>
      <c r="AH45" s="3" t="s">
        <v>57</v>
      </c>
      <c r="AI45" s="3" t="s">
        <v>106</v>
      </c>
      <c r="AJ45" s="3" t="s">
        <v>252</v>
      </c>
      <c r="AK45" s="3" t="s">
        <v>58</v>
      </c>
      <c r="AL45" s="3" t="s">
        <v>59</v>
      </c>
      <c r="AM45" s="3" t="s">
        <v>60</v>
      </c>
      <c r="AN45" s="3" t="s">
        <v>61</v>
      </c>
      <c r="AO45" s="3" t="s">
        <v>62</v>
      </c>
      <c r="AP45" s="3" t="s">
        <v>69</v>
      </c>
      <c r="AQ45" s="3" t="s">
        <v>61</v>
      </c>
      <c r="AR45" s="3" t="s">
        <v>2185</v>
      </c>
    </row>
    <row r="46" spans="1:44" ht="30" customHeight="1">
      <c r="A46" s="3" t="s">
        <v>44</v>
      </c>
      <c r="B46" s="3" t="s">
        <v>45</v>
      </c>
      <c r="C46" s="3" t="s">
        <v>46</v>
      </c>
      <c r="D46" s="3" t="s">
        <v>108</v>
      </c>
      <c r="E46" s="3" t="s">
        <v>48</v>
      </c>
      <c r="F46" s="3" t="s">
        <v>108</v>
      </c>
      <c r="G46" s="3" t="s">
        <v>948</v>
      </c>
      <c r="H46" s="4">
        <f>IF(DATEDIF(L46,S46,"m")&gt;12,DATEDIF(L46,S46,"y"),(DATEDIF(L46,S46,"m")/12))</f>
        <v>3</v>
      </c>
      <c r="I46" s="7">
        <f>DATEDIF(L46,S46,"M")</f>
        <v>37</v>
      </c>
      <c r="J46" s="7">
        <f>DATEDIF(L46,S46,"D")</f>
        <v>1140</v>
      </c>
      <c r="K46" s="3" t="s">
        <v>51</v>
      </c>
      <c r="L46" s="8">
        <v>43818</v>
      </c>
      <c r="M46" s="3" t="s">
        <v>45</v>
      </c>
      <c r="N46" s="3" t="s">
        <v>73</v>
      </c>
      <c r="O46" s="3" t="s">
        <v>52</v>
      </c>
      <c r="P46" s="3" t="s">
        <v>398</v>
      </c>
      <c r="Q46" s="7">
        <v>0</v>
      </c>
      <c r="R46" s="8">
        <v>44960</v>
      </c>
      <c r="S46" s="8">
        <v>44958</v>
      </c>
      <c r="T46" s="3" t="s">
        <v>54</v>
      </c>
      <c r="U46" s="3" t="s">
        <v>55</v>
      </c>
      <c r="V46" s="9"/>
      <c r="W46" s="10">
        <v>44963</v>
      </c>
      <c r="X46" s="7">
        <v>3</v>
      </c>
      <c r="Y46" s="7">
        <v>2</v>
      </c>
      <c r="Z46" s="7">
        <v>2</v>
      </c>
      <c r="AA46" s="7">
        <f>INT((S46-DATE(YEAR(S46-WEEKDAY(S46-0)+4),1,4)+WEEKDAY(DATE(YEAR(S46-WEEKDAY(S46-0)+4),1,4))+6)/7)</f>
        <v>5</v>
      </c>
      <c r="AB46" s="3" t="s">
        <v>949</v>
      </c>
      <c r="AC46" s="7">
        <v>199</v>
      </c>
      <c r="AD46" s="7">
        <v>0</v>
      </c>
      <c r="AE46" s="7">
        <v>0</v>
      </c>
      <c r="AF46" s="3" t="s">
        <v>48</v>
      </c>
      <c r="AG46" s="7">
        <v>2023</v>
      </c>
      <c r="AH46" s="3" t="s">
        <v>112</v>
      </c>
      <c r="AI46" s="3" t="s">
        <v>113</v>
      </c>
      <c r="AJ46" s="3" t="s">
        <v>48</v>
      </c>
      <c r="AK46" s="3" t="s">
        <v>114</v>
      </c>
      <c r="AL46" s="3" t="s">
        <v>59</v>
      </c>
      <c r="AM46" s="3" t="s">
        <v>115</v>
      </c>
      <c r="AN46" s="3" t="s">
        <v>61</v>
      </c>
      <c r="AO46" s="3" t="s">
        <v>62</v>
      </c>
      <c r="AP46" s="3" t="s">
        <v>69</v>
      </c>
      <c r="AQ46" s="3" t="s">
        <v>61</v>
      </c>
      <c r="AR46" s="3" t="s">
        <v>48</v>
      </c>
    </row>
    <row r="47" spans="1:44" ht="30" customHeight="1">
      <c r="A47" s="3" t="s">
        <v>44</v>
      </c>
      <c r="B47" s="3" t="s">
        <v>45</v>
      </c>
      <c r="C47" s="3" t="s">
        <v>46</v>
      </c>
      <c r="D47" s="3" t="s">
        <v>108</v>
      </c>
      <c r="E47" s="3" t="s">
        <v>48</v>
      </c>
      <c r="F47" s="3" t="s">
        <v>108</v>
      </c>
      <c r="G47" s="3" t="s">
        <v>1031</v>
      </c>
      <c r="H47" s="4">
        <f>IF(DATEDIF(L47,S47,"m")&gt;12,DATEDIF(L47,S47,"y"),(DATEDIF(L47,S47,"m")/12))</f>
        <v>3</v>
      </c>
      <c r="I47" s="7">
        <f>DATEDIF(L47,S47,"M")</f>
        <v>45</v>
      </c>
      <c r="J47" s="7">
        <f>DATEDIF(L47,S47,"D")</f>
        <v>1392</v>
      </c>
      <c r="K47" s="3" t="s">
        <v>64</v>
      </c>
      <c r="L47" s="8">
        <v>43560</v>
      </c>
      <c r="M47" s="3" t="s">
        <v>45</v>
      </c>
      <c r="N47" s="3" t="s">
        <v>73</v>
      </c>
      <c r="O47" s="3" t="s">
        <v>52</v>
      </c>
      <c r="P47" s="3" t="s">
        <v>91</v>
      </c>
      <c r="Q47" s="7">
        <v>0</v>
      </c>
      <c r="R47" s="8">
        <v>44960</v>
      </c>
      <c r="S47" s="8">
        <v>44952</v>
      </c>
      <c r="T47" s="3" t="s">
        <v>54</v>
      </c>
      <c r="U47" s="3" t="s">
        <v>55</v>
      </c>
      <c r="V47" s="9"/>
      <c r="W47" s="10">
        <v>44963</v>
      </c>
      <c r="X47" s="7">
        <v>3</v>
      </c>
      <c r="Y47" s="7">
        <v>8</v>
      </c>
      <c r="Z47" s="7">
        <v>1</v>
      </c>
      <c r="AA47" s="7">
        <f>INT((S47-DATE(YEAR(S47-WEEKDAY(S47-0)+4),1,4)+WEEKDAY(DATE(YEAR(S47-WEEKDAY(S47-0)+4),1,4))+6)/7)</f>
        <v>4</v>
      </c>
      <c r="AB47" s="3" t="s">
        <v>1032</v>
      </c>
      <c r="AC47" s="7">
        <v>203</v>
      </c>
      <c r="AD47" s="7">
        <v>0</v>
      </c>
      <c r="AE47" s="7">
        <v>0</v>
      </c>
      <c r="AF47" s="3" t="s">
        <v>48</v>
      </c>
      <c r="AG47" s="7">
        <v>2023</v>
      </c>
      <c r="AH47" s="3" t="s">
        <v>112</v>
      </c>
      <c r="AI47" s="3" t="s">
        <v>113</v>
      </c>
      <c r="AJ47" s="3" t="s">
        <v>48</v>
      </c>
      <c r="AK47" s="3" t="s">
        <v>114</v>
      </c>
      <c r="AL47" s="3" t="s">
        <v>59</v>
      </c>
      <c r="AM47" s="3" t="s">
        <v>115</v>
      </c>
      <c r="AN47" s="3" t="s">
        <v>61</v>
      </c>
      <c r="AO47" s="3" t="s">
        <v>62</v>
      </c>
      <c r="AP47" s="3" t="s">
        <v>69</v>
      </c>
      <c r="AQ47" s="3" t="s">
        <v>61</v>
      </c>
      <c r="AR47" s="3" t="s">
        <v>48</v>
      </c>
    </row>
    <row r="48" spans="1:44" ht="30" customHeight="1">
      <c r="A48" s="3" t="s">
        <v>44</v>
      </c>
      <c r="B48" s="3" t="s">
        <v>45</v>
      </c>
      <c r="C48" s="3" t="s">
        <v>46</v>
      </c>
      <c r="D48" s="3" t="s">
        <v>108</v>
      </c>
      <c r="E48" s="3" t="s">
        <v>48</v>
      </c>
      <c r="F48" s="3" t="s">
        <v>108</v>
      </c>
      <c r="G48" s="3" t="s">
        <v>1110</v>
      </c>
      <c r="H48" s="4">
        <f>IF(DATEDIF(L48,S48,"m")&gt;12,DATEDIF(L48,S48,"y"),(DATEDIF(L48,S48,"m")/12))</f>
        <v>32</v>
      </c>
      <c r="I48" s="7">
        <f>DATEDIF(L48,S48,"M")</f>
        <v>385</v>
      </c>
      <c r="J48" s="7">
        <f>DATEDIF(L48,S48,"D")</f>
        <v>11721</v>
      </c>
      <c r="K48" s="3" t="s">
        <v>51</v>
      </c>
      <c r="L48" s="8">
        <v>33229</v>
      </c>
      <c r="M48" s="3" t="s">
        <v>45</v>
      </c>
      <c r="N48" s="3" t="s">
        <v>73</v>
      </c>
      <c r="O48" s="3" t="s">
        <v>52</v>
      </c>
      <c r="P48" s="3" t="s">
        <v>1111</v>
      </c>
      <c r="Q48" s="7">
        <v>0</v>
      </c>
      <c r="R48" s="8">
        <v>44957</v>
      </c>
      <c r="S48" s="8">
        <v>44950</v>
      </c>
      <c r="T48" s="3" t="s">
        <v>54</v>
      </c>
      <c r="U48" s="3" t="s">
        <v>55</v>
      </c>
      <c r="V48" s="9"/>
      <c r="W48" s="10">
        <v>44963</v>
      </c>
      <c r="X48" s="7">
        <v>6</v>
      </c>
      <c r="Y48" s="7">
        <v>7</v>
      </c>
      <c r="Z48" s="7">
        <v>1</v>
      </c>
      <c r="AA48" s="7">
        <f>INT((S48-DATE(YEAR(S48-WEEKDAY(S48-0)+4),1,4)+WEEKDAY(DATE(YEAR(S48-WEEKDAY(S48-0)+4),1,4))+6)/7)</f>
        <v>4</v>
      </c>
      <c r="AB48" s="3" t="s">
        <v>1112</v>
      </c>
      <c r="AC48" s="7">
        <v>187</v>
      </c>
      <c r="AD48" s="7">
        <v>0</v>
      </c>
      <c r="AE48" s="7">
        <v>0</v>
      </c>
      <c r="AF48" s="3" t="s">
        <v>48</v>
      </c>
      <c r="AG48" s="7">
        <v>2023</v>
      </c>
      <c r="AH48" s="3" t="s">
        <v>112</v>
      </c>
      <c r="AI48" s="3" t="s">
        <v>113</v>
      </c>
      <c r="AJ48" s="3" t="s">
        <v>48</v>
      </c>
      <c r="AK48" s="3" t="s">
        <v>114</v>
      </c>
      <c r="AL48" s="3" t="s">
        <v>59</v>
      </c>
      <c r="AM48" s="3" t="s">
        <v>115</v>
      </c>
      <c r="AN48" s="3" t="s">
        <v>61</v>
      </c>
      <c r="AO48" s="3" t="s">
        <v>62</v>
      </c>
      <c r="AP48" s="3" t="s">
        <v>69</v>
      </c>
      <c r="AQ48" s="3" t="s">
        <v>61</v>
      </c>
      <c r="AR48" s="3" t="s">
        <v>48</v>
      </c>
    </row>
    <row r="49" spans="1:44" ht="30" customHeight="1">
      <c r="A49" s="3" t="s">
        <v>44</v>
      </c>
      <c r="B49" s="3" t="s">
        <v>45</v>
      </c>
      <c r="C49" s="3" t="s">
        <v>46</v>
      </c>
      <c r="D49" s="3" t="s">
        <v>70</v>
      </c>
      <c r="E49" s="3" t="s">
        <v>48</v>
      </c>
      <c r="F49" s="3" t="s">
        <v>71</v>
      </c>
      <c r="G49" s="3" t="s">
        <v>89</v>
      </c>
      <c r="H49" s="5">
        <f>IF(DATEDIF(L49,S49,"m")&gt;12,DATEDIF(L49,S49,"y"),(DATEDIF(L49,S49,"m")/12))</f>
        <v>0.33333333333333331</v>
      </c>
      <c r="I49" s="7">
        <f>DATEDIF(L49,S49,"M")</f>
        <v>4</v>
      </c>
      <c r="J49" s="7">
        <f>DATEDIF(L49,S49,"D")</f>
        <v>131</v>
      </c>
      <c r="K49" s="3" t="s">
        <v>51</v>
      </c>
      <c r="L49" s="8">
        <v>44804</v>
      </c>
      <c r="M49" s="3" t="s">
        <v>45</v>
      </c>
      <c r="N49" s="3" t="s">
        <v>90</v>
      </c>
      <c r="O49" s="3" t="s">
        <v>52</v>
      </c>
      <c r="P49" s="3" t="s">
        <v>91</v>
      </c>
      <c r="Q49" s="7">
        <v>1</v>
      </c>
      <c r="R49" s="8">
        <v>44936</v>
      </c>
      <c r="S49" s="8">
        <v>44935</v>
      </c>
      <c r="T49" s="3" t="s">
        <v>54</v>
      </c>
      <c r="U49" s="3" t="s">
        <v>55</v>
      </c>
      <c r="V49" s="9"/>
      <c r="W49" s="10">
        <v>44938</v>
      </c>
      <c r="X49" s="7">
        <v>2</v>
      </c>
      <c r="Y49" s="7">
        <v>1</v>
      </c>
      <c r="Z49" s="7">
        <v>1</v>
      </c>
      <c r="AA49" s="7">
        <f>INT((S49-DATE(YEAR(S49-WEEKDAY(S49-0)+4),1,4)+WEEKDAY(DATE(YEAR(S49-WEEKDAY(S49-0)+4),1,4))+6)/7)</f>
        <v>2</v>
      </c>
      <c r="AB49" s="3" t="s">
        <v>92</v>
      </c>
      <c r="AC49" s="7">
        <v>607</v>
      </c>
      <c r="AD49" s="7">
        <v>0</v>
      </c>
      <c r="AE49" s="7">
        <v>1</v>
      </c>
      <c r="AF49" s="3" t="s">
        <v>48</v>
      </c>
      <c r="AG49" s="7">
        <v>2023</v>
      </c>
      <c r="AH49" s="3" t="s">
        <v>76</v>
      </c>
      <c r="AI49" s="3" t="s">
        <v>48</v>
      </c>
      <c r="AJ49" s="3" t="s">
        <v>78</v>
      </c>
      <c r="AK49" s="3" t="s">
        <v>48</v>
      </c>
      <c r="AL49" s="3" t="s">
        <v>59</v>
      </c>
      <c r="AM49" s="3" t="s">
        <v>60</v>
      </c>
      <c r="AN49" s="3" t="s">
        <v>61</v>
      </c>
      <c r="AO49" s="3" t="s">
        <v>62</v>
      </c>
      <c r="AP49" s="3" t="s">
        <v>69</v>
      </c>
      <c r="AQ49" s="3" t="s">
        <v>61</v>
      </c>
      <c r="AR49" s="3" t="s">
        <v>48</v>
      </c>
    </row>
    <row r="50" spans="1:44" ht="30" customHeight="1">
      <c r="A50" s="3" t="s">
        <v>44</v>
      </c>
      <c r="B50" s="3" t="s">
        <v>45</v>
      </c>
      <c r="C50" s="3" t="s">
        <v>46</v>
      </c>
      <c r="D50" s="3" t="s">
        <v>70</v>
      </c>
      <c r="E50" s="3" t="s">
        <v>48</v>
      </c>
      <c r="F50" s="3" t="s">
        <v>71</v>
      </c>
      <c r="G50" s="3" t="s">
        <v>183</v>
      </c>
      <c r="H50" s="4">
        <f>IF(DATEDIF(L50,S50,"m")&gt;12,DATEDIF(L50,S50,"y"),(DATEDIF(L50,S50,"m")/12))</f>
        <v>69</v>
      </c>
      <c r="I50" s="7">
        <f>DATEDIF(L50,S50,"M")</f>
        <v>834</v>
      </c>
      <c r="J50" s="7">
        <f>DATEDIF(L50,S50,"D")</f>
        <v>25406</v>
      </c>
      <c r="K50" s="3" t="s">
        <v>51</v>
      </c>
      <c r="L50" s="8">
        <v>19528</v>
      </c>
      <c r="M50" s="3" t="s">
        <v>45</v>
      </c>
      <c r="N50" s="3" t="s">
        <v>90</v>
      </c>
      <c r="O50" s="3" t="s">
        <v>52</v>
      </c>
      <c r="P50" s="3" t="s">
        <v>91</v>
      </c>
      <c r="Q50" s="7">
        <v>1</v>
      </c>
      <c r="R50" s="8">
        <v>44935</v>
      </c>
      <c r="S50" s="8">
        <v>44934</v>
      </c>
      <c r="T50" s="3" t="s">
        <v>54</v>
      </c>
      <c r="U50" s="3" t="s">
        <v>55</v>
      </c>
      <c r="V50" s="9"/>
      <c r="W50" s="10">
        <v>44938</v>
      </c>
      <c r="X50" s="7">
        <v>3</v>
      </c>
      <c r="Y50" s="7">
        <v>1</v>
      </c>
      <c r="Z50" s="7">
        <v>1</v>
      </c>
      <c r="AA50" s="7">
        <f>INT((S50-DATE(YEAR(S50-WEEKDAY(S50-0)+4),1,4)+WEEKDAY(DATE(YEAR(S50-WEEKDAY(S50-0)+4),1,4))+6)/7)</f>
        <v>2</v>
      </c>
      <c r="AB50" s="3" t="s">
        <v>184</v>
      </c>
      <c r="AC50" s="7">
        <v>600</v>
      </c>
      <c r="AD50" s="7">
        <v>0</v>
      </c>
      <c r="AE50" s="7">
        <v>1</v>
      </c>
      <c r="AF50" s="3" t="s">
        <v>48</v>
      </c>
      <c r="AG50" s="7">
        <v>2023</v>
      </c>
      <c r="AH50" s="3" t="s">
        <v>76</v>
      </c>
      <c r="AI50" s="3" t="s">
        <v>166</v>
      </c>
      <c r="AJ50" s="3" t="s">
        <v>78</v>
      </c>
      <c r="AK50" s="3" t="s">
        <v>185</v>
      </c>
      <c r="AL50" s="3" t="s">
        <v>59</v>
      </c>
      <c r="AM50" s="3" t="s">
        <v>60</v>
      </c>
      <c r="AN50" s="3" t="s">
        <v>61</v>
      </c>
      <c r="AO50" s="3" t="s">
        <v>62</v>
      </c>
      <c r="AP50" s="3" t="s">
        <v>69</v>
      </c>
      <c r="AQ50" s="3" t="s">
        <v>61</v>
      </c>
      <c r="AR50" s="3" t="s">
        <v>48</v>
      </c>
    </row>
    <row r="51" spans="1:44" ht="30" customHeight="1">
      <c r="A51" s="3" t="s">
        <v>44</v>
      </c>
      <c r="B51" s="3" t="s">
        <v>45</v>
      </c>
      <c r="C51" s="3" t="s">
        <v>46</v>
      </c>
      <c r="D51" s="3" t="s">
        <v>70</v>
      </c>
      <c r="E51" s="3" t="s">
        <v>48</v>
      </c>
      <c r="F51" s="3" t="s">
        <v>71</v>
      </c>
      <c r="G51" s="3" t="s">
        <v>878</v>
      </c>
      <c r="H51" s="4">
        <f>IF(DATEDIF(L51,S51,"m")&gt;12,DATEDIF(L51,S51,"y"),(DATEDIF(L51,S51,"m")/12))</f>
        <v>5</v>
      </c>
      <c r="I51" s="7">
        <f>DATEDIF(L51,S51,"M")</f>
        <v>62</v>
      </c>
      <c r="J51" s="7">
        <f>DATEDIF(L51,S51,"D")</f>
        <v>1905</v>
      </c>
      <c r="K51" s="3" t="s">
        <v>51</v>
      </c>
      <c r="L51" s="8">
        <v>43028</v>
      </c>
      <c r="M51" s="3" t="s">
        <v>45</v>
      </c>
      <c r="N51" s="3" t="s">
        <v>101</v>
      </c>
      <c r="O51" s="3" t="s">
        <v>52</v>
      </c>
      <c r="P51" s="3" t="s">
        <v>225</v>
      </c>
      <c r="Q51" s="7">
        <v>1</v>
      </c>
      <c r="R51" s="8">
        <v>44934</v>
      </c>
      <c r="S51" s="8">
        <v>44933</v>
      </c>
      <c r="T51" s="3" t="s">
        <v>54</v>
      </c>
      <c r="U51" s="3" t="s">
        <v>55</v>
      </c>
      <c r="V51" s="9"/>
      <c r="W51" s="10">
        <v>44938</v>
      </c>
      <c r="X51" s="7">
        <v>4</v>
      </c>
      <c r="Y51" s="7">
        <v>1</v>
      </c>
      <c r="Z51" s="7">
        <v>1</v>
      </c>
      <c r="AA51" s="7">
        <f>INT((S51-DATE(YEAR(S51-WEEKDAY(S51-0)+4),1,4)+WEEKDAY(DATE(YEAR(S51-WEEKDAY(S51-0)+4),1,4))+6)/7)</f>
        <v>1</v>
      </c>
      <c r="AB51" s="3" t="s">
        <v>879</v>
      </c>
      <c r="AC51" s="7">
        <v>599</v>
      </c>
      <c r="AD51" s="7">
        <v>0</v>
      </c>
      <c r="AE51" s="7">
        <v>1</v>
      </c>
      <c r="AF51" s="3" t="s">
        <v>48</v>
      </c>
      <c r="AG51" s="7">
        <v>2023</v>
      </c>
      <c r="AH51" s="3" t="s">
        <v>76</v>
      </c>
      <c r="AI51" s="3" t="s">
        <v>77</v>
      </c>
      <c r="AJ51" s="3" t="s">
        <v>78</v>
      </c>
      <c r="AK51" s="18" t="s">
        <v>865</v>
      </c>
      <c r="AL51" s="3" t="s">
        <v>59</v>
      </c>
      <c r="AM51" s="3" t="s">
        <v>60</v>
      </c>
      <c r="AN51" s="3" t="s">
        <v>48</v>
      </c>
      <c r="AO51" s="3" t="s">
        <v>62</v>
      </c>
      <c r="AP51" s="3" t="s">
        <v>69</v>
      </c>
      <c r="AQ51" s="3" t="s">
        <v>61</v>
      </c>
      <c r="AR51" s="3" t="s">
        <v>48</v>
      </c>
    </row>
    <row r="52" spans="1:44" ht="30" customHeight="1">
      <c r="A52" s="3" t="s">
        <v>44</v>
      </c>
      <c r="B52" s="3" t="s">
        <v>45</v>
      </c>
      <c r="C52" s="3" t="s">
        <v>46</v>
      </c>
      <c r="D52" s="3" t="s">
        <v>70</v>
      </c>
      <c r="E52" s="3" t="s">
        <v>48</v>
      </c>
      <c r="F52" s="3" t="s">
        <v>71</v>
      </c>
      <c r="G52" s="3" t="s">
        <v>1304</v>
      </c>
      <c r="H52" s="5">
        <f>IF(DATEDIF(L52,S52,"m")&gt;12,DATEDIF(L52,S52,"y"),(DATEDIF(L52,S52,"m")/12))</f>
        <v>0.25</v>
      </c>
      <c r="I52" s="7">
        <f>DATEDIF(L52,S52,"M")</f>
        <v>3</v>
      </c>
      <c r="J52" s="7">
        <f>DATEDIF(L52,S52,"D")</f>
        <v>120</v>
      </c>
      <c r="K52" s="3" t="s">
        <v>51</v>
      </c>
      <c r="L52" s="8">
        <v>44813</v>
      </c>
      <c r="M52" s="3" t="s">
        <v>45</v>
      </c>
      <c r="N52" s="3" t="s">
        <v>329</v>
      </c>
      <c r="O52" s="3" t="s">
        <v>52</v>
      </c>
      <c r="P52" s="3" t="s">
        <v>156</v>
      </c>
      <c r="Q52" s="7">
        <v>1</v>
      </c>
      <c r="R52" s="8">
        <v>44934</v>
      </c>
      <c r="S52" s="8">
        <v>44933</v>
      </c>
      <c r="T52" s="3" t="s">
        <v>54</v>
      </c>
      <c r="U52" s="3" t="s">
        <v>55</v>
      </c>
      <c r="V52" s="9"/>
      <c r="W52" s="10">
        <v>44938</v>
      </c>
      <c r="X52" s="7">
        <v>4</v>
      </c>
      <c r="Y52" s="7">
        <v>1</v>
      </c>
      <c r="Z52" s="7">
        <v>1</v>
      </c>
      <c r="AA52" s="7">
        <f>INT((S52-DATE(YEAR(S52-WEEKDAY(S52-0)+4),1,4)+WEEKDAY(DATE(YEAR(S52-WEEKDAY(S52-0)+4),1,4))+6)/7)</f>
        <v>1</v>
      </c>
      <c r="AB52" s="3" t="s">
        <v>1305</v>
      </c>
      <c r="AC52" s="7">
        <v>605</v>
      </c>
      <c r="AD52" s="7">
        <v>0</v>
      </c>
      <c r="AE52" s="7">
        <v>1</v>
      </c>
      <c r="AF52" s="3" t="s">
        <v>48</v>
      </c>
      <c r="AG52" s="7">
        <v>2023</v>
      </c>
      <c r="AH52" s="3" t="s">
        <v>76</v>
      </c>
      <c r="AI52" s="3" t="s">
        <v>166</v>
      </c>
      <c r="AJ52" s="3" t="s">
        <v>78</v>
      </c>
      <c r="AK52" s="3" t="s">
        <v>1211</v>
      </c>
      <c r="AL52" s="3" t="s">
        <v>59</v>
      </c>
      <c r="AM52" s="3" t="s">
        <v>60</v>
      </c>
      <c r="AN52" s="3" t="s">
        <v>61</v>
      </c>
      <c r="AO52" s="3" t="s">
        <v>62</v>
      </c>
      <c r="AP52" s="3" t="s">
        <v>69</v>
      </c>
      <c r="AQ52" s="3" t="s">
        <v>61</v>
      </c>
      <c r="AR52" s="3" t="s">
        <v>48</v>
      </c>
    </row>
    <row r="53" spans="1:44" ht="30" customHeight="1">
      <c r="A53" s="3" t="s">
        <v>44</v>
      </c>
      <c r="B53" s="3" t="s">
        <v>45</v>
      </c>
      <c r="C53" s="3" t="s">
        <v>46</v>
      </c>
      <c r="D53" s="3" t="s">
        <v>70</v>
      </c>
      <c r="E53" s="3" t="s">
        <v>48</v>
      </c>
      <c r="F53" s="3" t="s">
        <v>71</v>
      </c>
      <c r="G53" s="3" t="s">
        <v>1756</v>
      </c>
      <c r="H53" s="4">
        <f>IF(DATEDIF(L53,S53,"m")&gt;12,DATEDIF(L53,S53,"y"),(DATEDIF(L53,S53,"m")/12))</f>
        <v>26</v>
      </c>
      <c r="I53" s="7">
        <f>DATEDIF(L53,S53,"M")</f>
        <v>318</v>
      </c>
      <c r="J53" s="7">
        <f>DATEDIF(L53,S53,"D")</f>
        <v>9691</v>
      </c>
      <c r="K53" s="3" t="s">
        <v>51</v>
      </c>
      <c r="L53" s="8">
        <v>35243</v>
      </c>
      <c r="M53" s="3" t="s">
        <v>45</v>
      </c>
      <c r="N53" s="3" t="s">
        <v>164</v>
      </c>
      <c r="O53" s="3" t="s">
        <v>52</v>
      </c>
      <c r="P53" s="3" t="s">
        <v>137</v>
      </c>
      <c r="Q53" s="7">
        <v>1</v>
      </c>
      <c r="R53" s="8">
        <v>44935</v>
      </c>
      <c r="S53" s="8">
        <v>44934</v>
      </c>
      <c r="T53" s="3" t="s">
        <v>54</v>
      </c>
      <c r="U53" s="3" t="s">
        <v>55</v>
      </c>
      <c r="V53" s="9"/>
      <c r="W53" s="10">
        <v>44938</v>
      </c>
      <c r="X53" s="7">
        <v>3</v>
      </c>
      <c r="Y53" s="7">
        <v>1</v>
      </c>
      <c r="Z53" s="7">
        <v>1</v>
      </c>
      <c r="AA53" s="7">
        <f>INT((S53-DATE(YEAR(S53-WEEKDAY(S53-0)+4),1,4)+WEEKDAY(DATE(YEAR(S53-WEEKDAY(S53-0)+4),1,4))+6)/7)</f>
        <v>2</v>
      </c>
      <c r="AB53" s="3" t="s">
        <v>1757</v>
      </c>
      <c r="AC53" s="7">
        <v>601</v>
      </c>
      <c r="AD53" s="7">
        <v>0</v>
      </c>
      <c r="AE53" s="7">
        <v>1</v>
      </c>
      <c r="AF53" s="3" t="s">
        <v>48</v>
      </c>
      <c r="AG53" s="7">
        <v>2023</v>
      </c>
      <c r="AH53" s="3" t="s">
        <v>76</v>
      </c>
      <c r="AI53" s="3" t="s">
        <v>166</v>
      </c>
      <c r="AJ53" s="3" t="s">
        <v>78</v>
      </c>
      <c r="AK53" s="3" t="s">
        <v>623</v>
      </c>
      <c r="AL53" s="3" t="s">
        <v>59</v>
      </c>
      <c r="AM53" s="3" t="s">
        <v>60</v>
      </c>
      <c r="AN53" s="3" t="s">
        <v>61</v>
      </c>
      <c r="AO53" s="3" t="s">
        <v>62</v>
      </c>
      <c r="AP53" s="3" t="s">
        <v>69</v>
      </c>
      <c r="AQ53" s="3" t="s">
        <v>61</v>
      </c>
      <c r="AR53" s="3" t="s">
        <v>48</v>
      </c>
    </row>
    <row r="54" spans="1:44" ht="30" customHeight="1">
      <c r="A54" s="3" t="s">
        <v>44</v>
      </c>
      <c r="B54" s="3" t="s">
        <v>45</v>
      </c>
      <c r="C54" s="3" t="s">
        <v>46</v>
      </c>
      <c r="D54" s="3" t="s">
        <v>70</v>
      </c>
      <c r="E54" s="3" t="s">
        <v>48</v>
      </c>
      <c r="F54" s="3" t="s">
        <v>71</v>
      </c>
      <c r="G54" s="3" t="s">
        <v>1925</v>
      </c>
      <c r="H54" s="11">
        <f>IF(DATEDIF(L54,S54,"m")&gt;12,DATEDIF(L54,S54,"y"),(DATEDIF(L54,S54,"m")/12))</f>
        <v>0</v>
      </c>
      <c r="I54" s="7">
        <f>DATEDIF(L54,S54,"M")</f>
        <v>0</v>
      </c>
      <c r="J54" s="7">
        <f>DATEDIF(L54,S54,"D")</f>
        <v>16</v>
      </c>
      <c r="K54" s="3" t="s">
        <v>64</v>
      </c>
      <c r="L54" s="8">
        <v>44918</v>
      </c>
      <c r="M54" s="3" t="s">
        <v>45</v>
      </c>
      <c r="N54" s="3" t="s">
        <v>159</v>
      </c>
      <c r="O54" s="3" t="s">
        <v>52</v>
      </c>
      <c r="P54" s="3" t="s">
        <v>1926</v>
      </c>
      <c r="Q54" s="7">
        <v>1</v>
      </c>
      <c r="R54" s="8">
        <v>44935</v>
      </c>
      <c r="S54" s="8">
        <v>44934</v>
      </c>
      <c r="T54" s="3" t="s">
        <v>54</v>
      </c>
      <c r="U54" s="3" t="s">
        <v>55</v>
      </c>
      <c r="V54" s="9"/>
      <c r="W54" s="10">
        <v>44938</v>
      </c>
      <c r="X54" s="7">
        <v>3</v>
      </c>
      <c r="Y54" s="7">
        <v>1</v>
      </c>
      <c r="Z54" s="7">
        <v>1</v>
      </c>
      <c r="AA54" s="7">
        <f>INT((S54-DATE(YEAR(S54-WEEKDAY(S54-0)+4),1,4)+WEEKDAY(DATE(YEAR(S54-WEEKDAY(S54-0)+4),1,4))+6)/7)</f>
        <v>2</v>
      </c>
      <c r="AB54" s="3" t="s">
        <v>1927</v>
      </c>
      <c r="AC54" s="7">
        <v>602</v>
      </c>
      <c r="AD54" s="7">
        <v>0</v>
      </c>
      <c r="AE54" s="7">
        <v>1</v>
      </c>
      <c r="AF54" s="3" t="s">
        <v>48</v>
      </c>
      <c r="AG54" s="7">
        <v>2023</v>
      </c>
      <c r="AH54" s="3" t="s">
        <v>76</v>
      </c>
      <c r="AI54" s="3" t="s">
        <v>77</v>
      </c>
      <c r="AJ54" s="3" t="s">
        <v>78</v>
      </c>
      <c r="AK54" s="3" t="s">
        <v>48</v>
      </c>
      <c r="AL54" s="3" t="s">
        <v>59</v>
      </c>
      <c r="AM54" s="3" t="s">
        <v>60</v>
      </c>
      <c r="AN54" s="3" t="s">
        <v>61</v>
      </c>
      <c r="AO54" s="3" t="s">
        <v>62</v>
      </c>
      <c r="AP54" s="3" t="s">
        <v>69</v>
      </c>
      <c r="AQ54" s="3" t="s">
        <v>61</v>
      </c>
      <c r="AR54" s="3" t="s">
        <v>48</v>
      </c>
    </row>
    <row r="55" spans="1:44" ht="30" customHeight="1">
      <c r="A55" s="3" t="s">
        <v>44</v>
      </c>
      <c r="B55" s="3" t="s">
        <v>45</v>
      </c>
      <c r="C55" s="3" t="s">
        <v>46</v>
      </c>
      <c r="D55" s="3" t="s">
        <v>70</v>
      </c>
      <c r="E55" s="3" t="s">
        <v>48</v>
      </c>
      <c r="F55" s="3" t="s">
        <v>71</v>
      </c>
      <c r="G55" s="3" t="s">
        <v>1971</v>
      </c>
      <c r="H55" s="5">
        <f>IF(DATEDIF(L55,S55,"m")&gt;12,DATEDIF(L55,S55,"y"),(DATEDIF(L55,S55,"m")/12))</f>
        <v>0.33333333333333331</v>
      </c>
      <c r="I55" s="7">
        <f>DATEDIF(L55,S55,"M")</f>
        <v>4</v>
      </c>
      <c r="J55" s="7">
        <f>DATEDIF(L55,S55,"D")</f>
        <v>152</v>
      </c>
      <c r="K55" s="3" t="s">
        <v>51</v>
      </c>
      <c r="L55" s="8">
        <v>44781</v>
      </c>
      <c r="M55" s="3" t="s">
        <v>45</v>
      </c>
      <c r="N55" s="3" t="s">
        <v>329</v>
      </c>
      <c r="O55" s="3" t="s">
        <v>52</v>
      </c>
      <c r="P55" s="3" t="s">
        <v>156</v>
      </c>
      <c r="Q55" s="7">
        <v>1</v>
      </c>
      <c r="R55" s="8">
        <v>44934</v>
      </c>
      <c r="S55" s="8">
        <v>44933</v>
      </c>
      <c r="T55" s="3" t="s">
        <v>54</v>
      </c>
      <c r="U55" s="3" t="s">
        <v>55</v>
      </c>
      <c r="V55" s="9"/>
      <c r="W55" s="10">
        <v>44938</v>
      </c>
      <c r="X55" s="7">
        <v>4</v>
      </c>
      <c r="Y55" s="7">
        <v>1</v>
      </c>
      <c r="Z55" s="7">
        <v>1</v>
      </c>
      <c r="AA55" s="7">
        <f>INT((S55-DATE(YEAR(S55-WEEKDAY(S55-0)+4),1,4)+WEEKDAY(DATE(YEAR(S55-WEEKDAY(S55-0)+4),1,4))+6)/7)</f>
        <v>1</v>
      </c>
      <c r="AB55" s="3" t="s">
        <v>1972</v>
      </c>
      <c r="AC55" s="7">
        <v>604</v>
      </c>
      <c r="AD55" s="7">
        <v>0</v>
      </c>
      <c r="AE55" s="7">
        <v>1</v>
      </c>
      <c r="AF55" s="3" t="s">
        <v>48</v>
      </c>
      <c r="AG55" s="7">
        <v>2023</v>
      </c>
      <c r="AH55" s="3" t="s">
        <v>76</v>
      </c>
      <c r="AI55" s="3" t="s">
        <v>166</v>
      </c>
      <c r="AJ55" s="3" t="s">
        <v>78</v>
      </c>
      <c r="AK55" s="18" t="s">
        <v>1211</v>
      </c>
      <c r="AL55" s="3" t="s">
        <v>59</v>
      </c>
      <c r="AM55" s="3" t="s">
        <v>60</v>
      </c>
      <c r="AN55" s="3" t="s">
        <v>61</v>
      </c>
      <c r="AO55" s="3" t="s">
        <v>62</v>
      </c>
      <c r="AP55" s="3" t="s">
        <v>69</v>
      </c>
      <c r="AQ55" s="3" t="s">
        <v>61</v>
      </c>
      <c r="AR55" s="3" t="s">
        <v>48</v>
      </c>
    </row>
    <row r="56" spans="1:44" ht="30" customHeight="1">
      <c r="A56" s="3" t="s">
        <v>44</v>
      </c>
      <c r="B56" s="3" t="s">
        <v>45</v>
      </c>
      <c r="C56" s="3" t="s">
        <v>46</v>
      </c>
      <c r="D56" s="3" t="s">
        <v>70</v>
      </c>
      <c r="E56" s="3" t="s">
        <v>48</v>
      </c>
      <c r="F56" s="3" t="s">
        <v>71</v>
      </c>
      <c r="G56" s="3" t="s">
        <v>2243</v>
      </c>
      <c r="H56" s="4">
        <f>IF(DATEDIF(L56,S56,"m")&gt;12,DATEDIF(L56,S56,"y"),(DATEDIF(L56,S56,"m")/12))</f>
        <v>2</v>
      </c>
      <c r="I56" s="7">
        <f>DATEDIF(L56,S56,"M")</f>
        <v>31</v>
      </c>
      <c r="J56" s="7">
        <f>DATEDIF(L56,S56,"D")</f>
        <v>972</v>
      </c>
      <c r="K56" s="3" t="s">
        <v>51</v>
      </c>
      <c r="L56" s="8">
        <v>43963</v>
      </c>
      <c r="M56" s="3" t="s">
        <v>45</v>
      </c>
      <c r="N56" s="3" t="s">
        <v>159</v>
      </c>
      <c r="O56" s="3" t="s">
        <v>52</v>
      </c>
      <c r="P56" s="3" t="s">
        <v>2244</v>
      </c>
      <c r="Q56" s="7">
        <v>1</v>
      </c>
      <c r="R56" s="8">
        <v>44936</v>
      </c>
      <c r="S56" s="8">
        <v>44935</v>
      </c>
      <c r="T56" s="3" t="s">
        <v>54</v>
      </c>
      <c r="U56" s="3" t="s">
        <v>55</v>
      </c>
      <c r="V56" s="9"/>
      <c r="W56" s="10">
        <v>44938</v>
      </c>
      <c r="X56" s="7">
        <v>2</v>
      </c>
      <c r="Y56" s="7">
        <v>1</v>
      </c>
      <c r="Z56" s="7">
        <v>1</v>
      </c>
      <c r="AA56" s="7">
        <f>INT((S56-DATE(YEAR(S56-WEEKDAY(S56-0)+4),1,4)+WEEKDAY(DATE(YEAR(S56-WEEKDAY(S56-0)+4),1,4))+6)/7)</f>
        <v>2</v>
      </c>
      <c r="AB56" s="3" t="s">
        <v>2245</v>
      </c>
      <c r="AC56" s="7">
        <v>606</v>
      </c>
      <c r="AD56" s="7">
        <v>0</v>
      </c>
      <c r="AE56" s="7">
        <v>1</v>
      </c>
      <c r="AF56" s="3" t="s">
        <v>48</v>
      </c>
      <c r="AG56" s="7">
        <v>2023</v>
      </c>
      <c r="AH56" s="3" t="s">
        <v>76</v>
      </c>
      <c r="AI56" s="3" t="s">
        <v>77</v>
      </c>
      <c r="AJ56" s="3" t="s">
        <v>78</v>
      </c>
      <c r="AK56" s="18" t="s">
        <v>48</v>
      </c>
      <c r="AL56" s="3" t="s">
        <v>59</v>
      </c>
      <c r="AM56" s="3" t="s">
        <v>60</v>
      </c>
      <c r="AN56" s="3" t="s">
        <v>61</v>
      </c>
      <c r="AO56" s="3" t="s">
        <v>62</v>
      </c>
      <c r="AP56" s="3" t="s">
        <v>69</v>
      </c>
      <c r="AQ56" s="3" t="s">
        <v>61</v>
      </c>
      <c r="AR56" s="3" t="s">
        <v>48</v>
      </c>
    </row>
    <row r="57" spans="1:44" ht="30" customHeight="1">
      <c r="A57" s="3" t="s">
        <v>44</v>
      </c>
      <c r="B57" s="3" t="s">
        <v>45</v>
      </c>
      <c r="C57" s="3" t="s">
        <v>46</v>
      </c>
      <c r="D57" s="3" t="s">
        <v>70</v>
      </c>
      <c r="E57" s="3" t="s">
        <v>48</v>
      </c>
      <c r="F57" s="3" t="s">
        <v>71</v>
      </c>
      <c r="G57" s="3" t="s">
        <v>2279</v>
      </c>
      <c r="H57" s="4">
        <f>IF(DATEDIF(L57,S57,"m")&gt;12,DATEDIF(L57,S57,"y"),(DATEDIF(L57,S57,"m")/12))</f>
        <v>1</v>
      </c>
      <c r="I57" s="7">
        <f>DATEDIF(L57,S57,"M")</f>
        <v>19</v>
      </c>
      <c r="J57" s="7">
        <f>DATEDIF(L57,S57,"D")</f>
        <v>589</v>
      </c>
      <c r="K57" s="3" t="s">
        <v>64</v>
      </c>
      <c r="L57" s="8">
        <v>44345</v>
      </c>
      <c r="M57" s="3" t="s">
        <v>45</v>
      </c>
      <c r="N57" s="3" t="s">
        <v>164</v>
      </c>
      <c r="O57" s="3" t="s">
        <v>52</v>
      </c>
      <c r="P57" s="3" t="s">
        <v>176</v>
      </c>
      <c r="Q57" s="7">
        <v>1</v>
      </c>
      <c r="R57" s="8">
        <v>44935</v>
      </c>
      <c r="S57" s="8">
        <v>44934</v>
      </c>
      <c r="T57" s="3" t="s">
        <v>54</v>
      </c>
      <c r="U57" s="3" t="s">
        <v>55</v>
      </c>
      <c r="V57" s="9"/>
      <c r="W57" s="10">
        <v>44938</v>
      </c>
      <c r="X57" s="7">
        <v>3</v>
      </c>
      <c r="Y57" s="7">
        <v>1</v>
      </c>
      <c r="Z57" s="7">
        <v>1</v>
      </c>
      <c r="AA57" s="7">
        <f>INT((S57-DATE(YEAR(S57-WEEKDAY(S57-0)+4),1,4)+WEEKDAY(DATE(YEAR(S57-WEEKDAY(S57-0)+4),1,4))+6)/7)</f>
        <v>2</v>
      </c>
      <c r="AB57" s="3" t="s">
        <v>2280</v>
      </c>
      <c r="AC57" s="7">
        <v>603</v>
      </c>
      <c r="AD57" s="7">
        <v>0</v>
      </c>
      <c r="AE57" s="7">
        <v>1</v>
      </c>
      <c r="AF57" s="3" t="s">
        <v>48</v>
      </c>
      <c r="AG57" s="7">
        <v>2023</v>
      </c>
      <c r="AH57" s="3" t="s">
        <v>76</v>
      </c>
      <c r="AI57" s="3" t="s">
        <v>166</v>
      </c>
      <c r="AJ57" s="3" t="s">
        <v>78</v>
      </c>
      <c r="AK57" s="18" t="s">
        <v>870</v>
      </c>
      <c r="AL57" s="3" t="s">
        <v>59</v>
      </c>
      <c r="AM57" s="3" t="s">
        <v>60</v>
      </c>
      <c r="AN57" s="3" t="s">
        <v>61</v>
      </c>
      <c r="AO57" s="3" t="s">
        <v>62</v>
      </c>
      <c r="AP57" s="3" t="s">
        <v>69</v>
      </c>
      <c r="AQ57" s="3" t="s">
        <v>61</v>
      </c>
      <c r="AR57" s="3" t="s">
        <v>48</v>
      </c>
    </row>
    <row r="58" spans="1:44" ht="30" customHeight="1">
      <c r="A58" s="3" t="s">
        <v>44</v>
      </c>
      <c r="B58" s="3" t="s">
        <v>45</v>
      </c>
      <c r="C58" s="3" t="s">
        <v>80</v>
      </c>
      <c r="D58" s="3" t="s">
        <v>81</v>
      </c>
      <c r="E58" s="3" t="s">
        <v>48</v>
      </c>
      <c r="F58" s="3" t="s">
        <v>81</v>
      </c>
      <c r="G58" s="3" t="s">
        <v>639</v>
      </c>
      <c r="H58" s="4">
        <f>IF(DATEDIF(L58,S58,"m")&gt;12,DATEDIF(L58,S58,"y"),(DATEDIF(L58,S58,"m")/12))</f>
        <v>61</v>
      </c>
      <c r="I58" s="7">
        <f>DATEDIF(L58,S58,"M")</f>
        <v>743</v>
      </c>
      <c r="J58" s="7">
        <f>DATEDIF(L58,S58,"D")</f>
        <v>22615</v>
      </c>
      <c r="K58" s="3" t="s">
        <v>64</v>
      </c>
      <c r="L58" s="8">
        <v>22312</v>
      </c>
      <c r="M58" s="3" t="s">
        <v>45</v>
      </c>
      <c r="N58" s="3" t="s">
        <v>90</v>
      </c>
      <c r="O58" s="3" t="s">
        <v>52</v>
      </c>
      <c r="P58" s="3" t="s">
        <v>176</v>
      </c>
      <c r="Q58" s="7">
        <v>1</v>
      </c>
      <c r="R58" s="8">
        <v>44929</v>
      </c>
      <c r="S58" s="8">
        <v>44927</v>
      </c>
      <c r="T58" s="3" t="s">
        <v>54</v>
      </c>
      <c r="U58" s="3" t="s">
        <v>55</v>
      </c>
      <c r="V58" s="9"/>
      <c r="W58" s="10">
        <v>44939</v>
      </c>
      <c r="X58" s="7">
        <v>10</v>
      </c>
      <c r="Y58" s="7">
        <v>2</v>
      </c>
      <c r="Z58" s="7">
        <v>1</v>
      </c>
      <c r="AA58" s="7">
        <f>INT((S58-DATE(YEAR(S58-WEEKDAY(S58-0)+4),1,4)+WEEKDAY(DATE(YEAR(S58-WEEKDAY(S58-0)+4),1,4))+6)/7)</f>
        <v>1</v>
      </c>
      <c r="AB58" s="3" t="s">
        <v>640</v>
      </c>
      <c r="AC58" s="7">
        <v>13859</v>
      </c>
      <c r="AD58" s="7">
        <v>0</v>
      </c>
      <c r="AE58" s="7">
        <v>0</v>
      </c>
      <c r="AF58" s="3" t="s">
        <v>48</v>
      </c>
      <c r="AG58" s="7">
        <v>2023</v>
      </c>
      <c r="AH58" s="3" t="s">
        <v>86</v>
      </c>
      <c r="AI58" s="3" t="s">
        <v>48</v>
      </c>
      <c r="AJ58" s="3" t="s">
        <v>48</v>
      </c>
      <c r="AK58" s="3" t="s">
        <v>310</v>
      </c>
      <c r="AL58" s="3" t="s">
        <v>59</v>
      </c>
      <c r="AM58" s="3" t="s">
        <v>60</v>
      </c>
      <c r="AN58" s="3" t="s">
        <v>69</v>
      </c>
      <c r="AO58" s="3" t="s">
        <v>62</v>
      </c>
      <c r="AP58" s="3" t="s">
        <v>69</v>
      </c>
      <c r="AQ58" s="3" t="s">
        <v>61</v>
      </c>
      <c r="AR58" s="3" t="s">
        <v>48</v>
      </c>
    </row>
    <row r="59" spans="1:44" ht="30" customHeight="1">
      <c r="A59" s="3" t="s">
        <v>44</v>
      </c>
      <c r="B59" s="3" t="s">
        <v>45</v>
      </c>
      <c r="C59" s="3" t="s">
        <v>46</v>
      </c>
      <c r="D59" s="3" t="s">
        <v>70</v>
      </c>
      <c r="E59" s="3" t="s">
        <v>48</v>
      </c>
      <c r="F59" s="3" t="s">
        <v>71</v>
      </c>
      <c r="G59" s="3" t="s">
        <v>935</v>
      </c>
      <c r="H59" s="5">
        <f>IF(DATEDIF(L59,S59,"m")&gt;12,DATEDIF(L59,S59,"y"),(DATEDIF(L59,S59,"m")/12))</f>
        <v>0.66666666666666663</v>
      </c>
      <c r="I59" s="7">
        <f>DATEDIF(L59,S59,"M")</f>
        <v>8</v>
      </c>
      <c r="J59" s="7">
        <f>DATEDIF(L59,S59,"D")</f>
        <v>255</v>
      </c>
      <c r="K59" s="3" t="s">
        <v>51</v>
      </c>
      <c r="L59" s="8">
        <v>44682</v>
      </c>
      <c r="M59" s="3" t="s">
        <v>45</v>
      </c>
      <c r="N59" s="3" t="s">
        <v>90</v>
      </c>
      <c r="O59" s="3" t="s">
        <v>52</v>
      </c>
      <c r="P59" s="3" t="s">
        <v>298</v>
      </c>
      <c r="Q59" s="7">
        <v>1</v>
      </c>
      <c r="R59" s="8">
        <v>44938</v>
      </c>
      <c r="S59" s="8">
        <v>44937</v>
      </c>
      <c r="T59" s="3" t="s">
        <v>54</v>
      </c>
      <c r="U59" s="3" t="s">
        <v>55</v>
      </c>
      <c r="V59" s="9"/>
      <c r="W59" s="10">
        <v>44939</v>
      </c>
      <c r="X59" s="7">
        <v>1</v>
      </c>
      <c r="Y59" s="7">
        <v>1</v>
      </c>
      <c r="Z59" s="7">
        <v>1</v>
      </c>
      <c r="AA59" s="7">
        <f>INT((S59-DATE(YEAR(S59-WEEKDAY(S59-0)+4),1,4)+WEEKDAY(DATE(YEAR(S59-WEEKDAY(S59-0)+4),1,4))+6)/7)</f>
        <v>2</v>
      </c>
      <c r="AB59" s="3" t="s">
        <v>936</v>
      </c>
      <c r="AC59" s="7">
        <v>609</v>
      </c>
      <c r="AD59" s="7">
        <v>0</v>
      </c>
      <c r="AE59" s="7">
        <v>1</v>
      </c>
      <c r="AF59" s="3" t="s">
        <v>48</v>
      </c>
      <c r="AG59" s="7">
        <v>2023</v>
      </c>
      <c r="AH59" s="3" t="s">
        <v>76</v>
      </c>
      <c r="AI59" s="3" t="s">
        <v>166</v>
      </c>
      <c r="AJ59" s="3" t="s">
        <v>78</v>
      </c>
      <c r="AK59" s="18" t="s">
        <v>162</v>
      </c>
      <c r="AL59" s="3" t="s">
        <v>59</v>
      </c>
      <c r="AM59" s="3" t="s">
        <v>60</v>
      </c>
      <c r="AN59" s="3" t="s">
        <v>61</v>
      </c>
      <c r="AO59" s="3" t="s">
        <v>62</v>
      </c>
      <c r="AP59" s="3" t="s">
        <v>69</v>
      </c>
      <c r="AQ59" s="3" t="s">
        <v>61</v>
      </c>
      <c r="AR59" s="3" t="s">
        <v>48</v>
      </c>
    </row>
    <row r="60" spans="1:44" ht="30" customHeight="1">
      <c r="A60" s="3" t="s">
        <v>44</v>
      </c>
      <c r="B60" s="3" t="s">
        <v>45</v>
      </c>
      <c r="C60" s="3" t="s">
        <v>46</v>
      </c>
      <c r="D60" s="3" t="s">
        <v>70</v>
      </c>
      <c r="E60" s="3" t="s">
        <v>48</v>
      </c>
      <c r="F60" s="3" t="s">
        <v>71</v>
      </c>
      <c r="G60" s="3" t="s">
        <v>1071</v>
      </c>
      <c r="H60" s="4">
        <f>IF(DATEDIF(L60,S60,"m")&gt;12,DATEDIF(L60,S60,"y"),(DATEDIF(L60,S60,"m")/12))</f>
        <v>5</v>
      </c>
      <c r="I60" s="7">
        <f>DATEDIF(L60,S60,"M")</f>
        <v>69</v>
      </c>
      <c r="J60" s="7">
        <f>DATEDIF(L60,S60,"D")</f>
        <v>2101</v>
      </c>
      <c r="K60" s="3" t="s">
        <v>51</v>
      </c>
      <c r="L60" s="8">
        <v>42837</v>
      </c>
      <c r="M60" s="3" t="s">
        <v>45</v>
      </c>
      <c r="N60" s="3" t="s">
        <v>329</v>
      </c>
      <c r="O60" s="3" t="s">
        <v>52</v>
      </c>
      <c r="P60" s="3" t="s">
        <v>1072</v>
      </c>
      <c r="Q60" s="7">
        <v>1</v>
      </c>
      <c r="R60" s="8">
        <v>44939</v>
      </c>
      <c r="S60" s="8">
        <v>44938</v>
      </c>
      <c r="T60" s="3" t="s">
        <v>54</v>
      </c>
      <c r="U60" s="3" t="s">
        <v>55</v>
      </c>
      <c r="V60" s="9"/>
      <c r="W60" s="10">
        <v>44939</v>
      </c>
      <c r="X60" s="7">
        <v>0</v>
      </c>
      <c r="Y60" s="7">
        <v>1</v>
      </c>
      <c r="Z60" s="7">
        <v>1</v>
      </c>
      <c r="AA60" s="7">
        <f>INT((S60-DATE(YEAR(S60-WEEKDAY(S60-0)+4),1,4)+WEEKDAY(DATE(YEAR(S60-WEEKDAY(S60-0)+4),1,4))+6)/7)</f>
        <v>2</v>
      </c>
      <c r="AB60" s="3" t="s">
        <v>1073</v>
      </c>
      <c r="AC60" s="7">
        <v>611</v>
      </c>
      <c r="AD60" s="7">
        <v>0</v>
      </c>
      <c r="AE60" s="7">
        <v>1</v>
      </c>
      <c r="AF60" s="3" t="s">
        <v>48</v>
      </c>
      <c r="AG60" s="7">
        <v>2023</v>
      </c>
      <c r="AH60" s="3" t="s">
        <v>76</v>
      </c>
      <c r="AI60" s="3" t="s">
        <v>166</v>
      </c>
      <c r="AJ60" s="3" t="s">
        <v>78</v>
      </c>
      <c r="AK60" s="3" t="s">
        <v>162</v>
      </c>
      <c r="AL60" s="3" t="s">
        <v>59</v>
      </c>
      <c r="AM60" s="3" t="s">
        <v>60</v>
      </c>
      <c r="AN60" s="3" t="s">
        <v>61</v>
      </c>
      <c r="AO60" s="3" t="s">
        <v>62</v>
      </c>
      <c r="AP60" s="3" t="s">
        <v>69</v>
      </c>
      <c r="AQ60" s="3" t="s">
        <v>61</v>
      </c>
      <c r="AR60" s="3" t="s">
        <v>48</v>
      </c>
    </row>
    <row r="61" spans="1:44" ht="30" customHeight="1">
      <c r="A61" s="3" t="s">
        <v>44</v>
      </c>
      <c r="B61" s="3" t="s">
        <v>45</v>
      </c>
      <c r="C61" s="3" t="s">
        <v>80</v>
      </c>
      <c r="D61" s="3" t="s">
        <v>81</v>
      </c>
      <c r="E61" s="3" t="s">
        <v>48</v>
      </c>
      <c r="F61" s="3" t="s">
        <v>81</v>
      </c>
      <c r="G61" s="3" t="s">
        <v>1976</v>
      </c>
      <c r="H61" s="4">
        <f>IF(DATEDIF(L61,S61,"m")&gt;12,DATEDIF(L61,S61,"y"),(DATEDIF(L61,S61,"m")/12))</f>
        <v>75</v>
      </c>
      <c r="I61" s="7">
        <f>DATEDIF(L61,S61,"M")</f>
        <v>909</v>
      </c>
      <c r="J61" s="7">
        <f>DATEDIF(L61,S61,"D")</f>
        <v>27683</v>
      </c>
      <c r="K61" s="3" t="s">
        <v>51</v>
      </c>
      <c r="L61" s="8">
        <v>17251</v>
      </c>
      <c r="M61" s="3" t="s">
        <v>45</v>
      </c>
      <c r="N61" s="3" t="s">
        <v>329</v>
      </c>
      <c r="O61" s="3" t="s">
        <v>52</v>
      </c>
      <c r="P61" s="3" t="s">
        <v>298</v>
      </c>
      <c r="Q61" s="7">
        <v>1</v>
      </c>
      <c r="R61" s="8">
        <v>44938</v>
      </c>
      <c r="S61" s="8">
        <v>44934</v>
      </c>
      <c r="T61" s="3" t="s">
        <v>54</v>
      </c>
      <c r="U61" s="3" t="s">
        <v>55</v>
      </c>
      <c r="V61" s="9"/>
      <c r="W61" s="10">
        <v>44939</v>
      </c>
      <c r="X61" s="7">
        <v>1</v>
      </c>
      <c r="Y61" s="7">
        <v>4</v>
      </c>
      <c r="Z61" s="7">
        <v>1</v>
      </c>
      <c r="AA61" s="7">
        <f>INT((S61-DATE(YEAR(S61-WEEKDAY(S61-0)+4),1,4)+WEEKDAY(DATE(YEAR(S61-WEEKDAY(S61-0)+4),1,4))+6)/7)</f>
        <v>2</v>
      </c>
      <c r="AB61" s="3" t="s">
        <v>1977</v>
      </c>
      <c r="AC61" s="7">
        <v>13853</v>
      </c>
      <c r="AD61" s="7">
        <v>0</v>
      </c>
      <c r="AE61" s="7">
        <v>0</v>
      </c>
      <c r="AF61" s="3" t="s">
        <v>48</v>
      </c>
      <c r="AG61" s="7">
        <v>2023</v>
      </c>
      <c r="AH61" s="3" t="s">
        <v>86</v>
      </c>
      <c r="AI61" s="3" t="s">
        <v>48</v>
      </c>
      <c r="AJ61" s="3" t="s">
        <v>48</v>
      </c>
      <c r="AK61" s="3" t="s">
        <v>1978</v>
      </c>
      <c r="AL61" s="3" t="s">
        <v>59</v>
      </c>
      <c r="AM61" s="3" t="s">
        <v>60</v>
      </c>
      <c r="AN61" s="3" t="s">
        <v>69</v>
      </c>
      <c r="AO61" s="3" t="s">
        <v>62</v>
      </c>
      <c r="AP61" s="3" t="s">
        <v>69</v>
      </c>
      <c r="AQ61" s="3" t="s">
        <v>61</v>
      </c>
      <c r="AR61" s="3" t="s">
        <v>48</v>
      </c>
    </row>
    <row r="62" spans="1:44" ht="30" customHeight="1">
      <c r="A62" s="3" t="s">
        <v>44</v>
      </c>
      <c r="B62" s="3" t="s">
        <v>45</v>
      </c>
      <c r="C62" s="3" t="s">
        <v>46</v>
      </c>
      <c r="D62" s="3" t="s">
        <v>186</v>
      </c>
      <c r="E62" s="3" t="s">
        <v>48</v>
      </c>
      <c r="F62" s="3" t="s">
        <v>186</v>
      </c>
      <c r="G62" s="3" t="s">
        <v>48</v>
      </c>
      <c r="H62" s="4">
        <f>IF(DATEDIF(L62,S62,"m")&gt;12,DATEDIF(L62,S62,"y"),(DATEDIF(L62,S62,"m")/12))</f>
        <v>12</v>
      </c>
      <c r="I62" s="7">
        <f>DATEDIF(L62,S62,"M")</f>
        <v>148</v>
      </c>
      <c r="J62" s="7">
        <f>DATEDIF(L62,S62,"D")</f>
        <v>4508</v>
      </c>
      <c r="K62" s="3" t="s">
        <v>64</v>
      </c>
      <c r="L62" s="8">
        <v>40421</v>
      </c>
      <c r="M62" s="3" t="s">
        <v>45</v>
      </c>
      <c r="N62" s="3" t="s">
        <v>187</v>
      </c>
      <c r="O62" s="3" t="s">
        <v>52</v>
      </c>
      <c r="P62" s="3" t="s">
        <v>2370</v>
      </c>
      <c r="Q62" s="7">
        <v>0</v>
      </c>
      <c r="R62" s="8">
        <v>44936</v>
      </c>
      <c r="S62" s="8">
        <v>44929</v>
      </c>
      <c r="T62" s="3" t="s">
        <v>54</v>
      </c>
      <c r="U62" s="3" t="s">
        <v>55</v>
      </c>
      <c r="V62" s="9"/>
      <c r="W62" s="10">
        <v>44939</v>
      </c>
      <c r="X62" s="7">
        <v>3</v>
      </c>
      <c r="Y62" s="7">
        <v>7</v>
      </c>
      <c r="Z62" s="7">
        <v>1</v>
      </c>
      <c r="AA62" s="7">
        <f>INT((S62-DATE(YEAR(S62-WEEKDAY(S62-0)+4),1,4)+WEEKDAY(DATE(YEAR(S62-WEEKDAY(S62-0)+4),1,4))+6)/7)</f>
        <v>1</v>
      </c>
      <c r="AB62" s="3" t="s">
        <v>2371</v>
      </c>
      <c r="AC62" s="7">
        <v>67</v>
      </c>
      <c r="AD62" s="7">
        <v>0</v>
      </c>
      <c r="AE62" s="7">
        <v>1</v>
      </c>
      <c r="AF62" s="3" t="s">
        <v>48</v>
      </c>
      <c r="AG62" s="7">
        <v>2023</v>
      </c>
      <c r="AH62" s="3" t="s">
        <v>190</v>
      </c>
      <c r="AI62" s="3" t="s">
        <v>191</v>
      </c>
      <c r="AJ62" s="3" t="s">
        <v>186</v>
      </c>
      <c r="AK62" s="3" t="s">
        <v>277</v>
      </c>
      <c r="AL62" s="3" t="s">
        <v>59</v>
      </c>
      <c r="AM62" s="3" t="s">
        <v>115</v>
      </c>
      <c r="AN62" s="3" t="s">
        <v>61</v>
      </c>
      <c r="AO62" s="3" t="s">
        <v>62</v>
      </c>
      <c r="AP62" s="3" t="s">
        <v>69</v>
      </c>
      <c r="AQ62" s="3" t="s">
        <v>61</v>
      </c>
      <c r="AR62" s="3" t="s">
        <v>48</v>
      </c>
    </row>
    <row r="63" spans="1:44" ht="30" customHeight="1">
      <c r="A63" s="3" t="s">
        <v>44</v>
      </c>
      <c r="B63" s="3" t="s">
        <v>45</v>
      </c>
      <c r="C63" s="3" t="s">
        <v>121</v>
      </c>
      <c r="D63" s="3" t="s">
        <v>121</v>
      </c>
      <c r="E63" s="3" t="s">
        <v>48</v>
      </c>
      <c r="F63" s="3" t="s">
        <v>449</v>
      </c>
      <c r="G63" s="3" t="s">
        <v>471</v>
      </c>
      <c r="H63" s="4">
        <f>IF(DATEDIF(L63,S63,"m")&gt;12,DATEDIF(L63,S63,"y"),(DATEDIF(L63,S63,"m")/12))</f>
        <v>4</v>
      </c>
      <c r="I63" s="7">
        <f>DATEDIF(L63,S63,"M")</f>
        <v>55</v>
      </c>
      <c r="J63" s="7">
        <f>DATEDIF(L63,S63,"D")</f>
        <v>1691</v>
      </c>
      <c r="K63" s="3" t="s">
        <v>51</v>
      </c>
      <c r="L63" s="8">
        <v>43244</v>
      </c>
      <c r="M63" s="3" t="s">
        <v>45</v>
      </c>
      <c r="N63" s="3" t="s">
        <v>187</v>
      </c>
      <c r="O63" s="3" t="s">
        <v>52</v>
      </c>
      <c r="P63" s="3" t="s">
        <v>472</v>
      </c>
      <c r="Q63" s="7">
        <v>1</v>
      </c>
      <c r="R63" s="8">
        <v>44935</v>
      </c>
      <c r="S63" s="8">
        <v>44935</v>
      </c>
      <c r="T63" s="3" t="s">
        <v>54</v>
      </c>
      <c r="U63" s="3" t="s">
        <v>55</v>
      </c>
      <c r="V63" s="9"/>
      <c r="W63" s="10">
        <v>44942</v>
      </c>
      <c r="X63" s="7">
        <v>7</v>
      </c>
      <c r="Y63" s="7">
        <v>0</v>
      </c>
      <c r="Z63" s="7">
        <v>1</v>
      </c>
      <c r="AA63" s="7">
        <f>INT((S63-DATE(YEAR(S63-WEEKDAY(S63-0)+4),1,4)+WEEKDAY(DATE(YEAR(S63-WEEKDAY(S63-0)+4),1,4))+6)/7)</f>
        <v>2</v>
      </c>
      <c r="AB63" s="3" t="s">
        <v>473</v>
      </c>
      <c r="AC63" s="7">
        <v>39069</v>
      </c>
      <c r="AD63" s="7">
        <v>0</v>
      </c>
      <c r="AE63" s="7">
        <v>1</v>
      </c>
      <c r="AF63" s="3" t="s">
        <v>48</v>
      </c>
      <c r="AG63" s="7">
        <v>2023</v>
      </c>
      <c r="AH63" s="12" t="s">
        <v>452</v>
      </c>
      <c r="AI63" s="3" t="s">
        <v>453</v>
      </c>
      <c r="AJ63" s="3" t="s">
        <v>48</v>
      </c>
      <c r="AK63" s="3" t="s">
        <v>260</v>
      </c>
      <c r="AL63" s="3" t="s">
        <v>59</v>
      </c>
      <c r="AM63" s="3" t="s">
        <v>60</v>
      </c>
      <c r="AN63" s="3" t="s">
        <v>61</v>
      </c>
      <c r="AO63" s="3" t="s">
        <v>62</v>
      </c>
      <c r="AP63" s="3" t="s">
        <v>69</v>
      </c>
      <c r="AQ63" s="3" t="s">
        <v>61</v>
      </c>
      <c r="AR63" s="3" t="s">
        <v>48</v>
      </c>
    </row>
    <row r="64" spans="1:44" ht="30" customHeight="1">
      <c r="A64" s="3" t="s">
        <v>44</v>
      </c>
      <c r="B64" s="3" t="s">
        <v>45</v>
      </c>
      <c r="C64" s="3" t="s">
        <v>46</v>
      </c>
      <c r="D64" s="3" t="s">
        <v>70</v>
      </c>
      <c r="E64" s="3" t="s">
        <v>48</v>
      </c>
      <c r="F64" s="3" t="s">
        <v>71</v>
      </c>
      <c r="G64" s="3" t="s">
        <v>539</v>
      </c>
      <c r="H64" s="4">
        <f>IF(DATEDIF(L64,S64,"m")&gt;12,DATEDIF(L64,S64,"y"),(DATEDIF(L64,S64,"m")/12))</f>
        <v>2</v>
      </c>
      <c r="I64" s="7">
        <f>DATEDIF(L64,S64,"M")</f>
        <v>24</v>
      </c>
      <c r="J64" s="7">
        <f>DATEDIF(L64,S64,"D")</f>
        <v>739</v>
      </c>
      <c r="K64" s="3" t="s">
        <v>64</v>
      </c>
      <c r="L64" s="8">
        <v>44199</v>
      </c>
      <c r="M64" s="3" t="s">
        <v>45</v>
      </c>
      <c r="N64" s="3" t="s">
        <v>90</v>
      </c>
      <c r="O64" s="3" t="s">
        <v>52</v>
      </c>
      <c r="P64" s="3" t="s">
        <v>540</v>
      </c>
      <c r="Q64" s="7">
        <v>1</v>
      </c>
      <c r="R64" s="8">
        <v>44939</v>
      </c>
      <c r="S64" s="8">
        <v>44938</v>
      </c>
      <c r="T64" s="3" t="s">
        <v>54</v>
      </c>
      <c r="U64" s="3" t="s">
        <v>55</v>
      </c>
      <c r="V64" s="9"/>
      <c r="W64" s="10">
        <v>44942</v>
      </c>
      <c r="X64" s="7">
        <v>3</v>
      </c>
      <c r="Y64" s="7">
        <v>1</v>
      </c>
      <c r="Z64" s="7">
        <v>1</v>
      </c>
      <c r="AA64" s="7">
        <f>INT((S64-DATE(YEAR(S64-WEEKDAY(S64-0)+4),1,4)+WEEKDAY(DATE(YEAR(S64-WEEKDAY(S64-0)+4),1,4))+6)/7)</f>
        <v>2</v>
      </c>
      <c r="AB64" s="3" t="s">
        <v>541</v>
      </c>
      <c r="AC64" s="7">
        <v>612</v>
      </c>
      <c r="AD64" s="7">
        <v>0</v>
      </c>
      <c r="AE64" s="7">
        <v>1</v>
      </c>
      <c r="AF64" s="3" t="s">
        <v>48</v>
      </c>
      <c r="AG64" s="7">
        <v>2023</v>
      </c>
      <c r="AH64" s="3" t="s">
        <v>76</v>
      </c>
      <c r="AI64" s="3" t="s">
        <v>166</v>
      </c>
      <c r="AJ64" s="3" t="s">
        <v>78</v>
      </c>
      <c r="AK64" s="18" t="s">
        <v>542</v>
      </c>
      <c r="AL64" s="3" t="s">
        <v>59</v>
      </c>
      <c r="AM64" s="3" t="s">
        <v>60</v>
      </c>
      <c r="AN64" s="3" t="s">
        <v>61</v>
      </c>
      <c r="AO64" s="3" t="s">
        <v>62</v>
      </c>
      <c r="AP64" s="3" t="s">
        <v>69</v>
      </c>
      <c r="AQ64" s="3" t="s">
        <v>61</v>
      </c>
      <c r="AR64" s="3" t="s">
        <v>48</v>
      </c>
    </row>
    <row r="65" spans="1:44" ht="30" customHeight="1">
      <c r="A65" s="3" t="s">
        <v>44</v>
      </c>
      <c r="B65" s="3" t="s">
        <v>45</v>
      </c>
      <c r="C65" s="3" t="s">
        <v>46</v>
      </c>
      <c r="D65" s="3" t="s">
        <v>70</v>
      </c>
      <c r="E65" s="3" t="s">
        <v>48</v>
      </c>
      <c r="F65" s="3" t="s">
        <v>71</v>
      </c>
      <c r="G65" s="3" t="s">
        <v>721</v>
      </c>
      <c r="H65" s="4">
        <f>IF(DATEDIF(L65,S65,"m")&gt;12,DATEDIF(L65,S65,"y"),(DATEDIF(L65,S65,"m")/12))</f>
        <v>74</v>
      </c>
      <c r="I65" s="7">
        <f>DATEDIF(L65,S65,"M")</f>
        <v>888</v>
      </c>
      <c r="J65" s="7">
        <f>DATEDIF(L65,S65,"D")</f>
        <v>27047</v>
      </c>
      <c r="K65" s="3" t="s">
        <v>51</v>
      </c>
      <c r="L65" s="8">
        <v>17891</v>
      </c>
      <c r="M65" s="3" t="s">
        <v>45</v>
      </c>
      <c r="N65" s="3" t="s">
        <v>329</v>
      </c>
      <c r="O65" s="3" t="s">
        <v>52</v>
      </c>
      <c r="P65" s="3" t="s">
        <v>537</v>
      </c>
      <c r="Q65" s="7">
        <v>1</v>
      </c>
      <c r="R65" s="8">
        <v>44939</v>
      </c>
      <c r="S65" s="8">
        <v>44938</v>
      </c>
      <c r="T65" s="3" t="s">
        <v>54</v>
      </c>
      <c r="U65" s="3" t="s">
        <v>55</v>
      </c>
      <c r="V65" s="9"/>
      <c r="W65" s="10">
        <v>44942</v>
      </c>
      <c r="X65" s="7">
        <v>3</v>
      </c>
      <c r="Y65" s="7">
        <v>1</v>
      </c>
      <c r="Z65" s="7">
        <v>1</v>
      </c>
      <c r="AA65" s="7">
        <f>INT((S65-DATE(YEAR(S65-WEEKDAY(S65-0)+4),1,4)+WEEKDAY(DATE(YEAR(S65-WEEKDAY(S65-0)+4),1,4))+6)/7)</f>
        <v>2</v>
      </c>
      <c r="AB65" s="3" t="s">
        <v>722</v>
      </c>
      <c r="AC65" s="7">
        <v>615</v>
      </c>
      <c r="AD65" s="7">
        <v>0</v>
      </c>
      <c r="AE65" s="7">
        <v>1</v>
      </c>
      <c r="AF65" s="3" t="s">
        <v>48</v>
      </c>
      <c r="AG65" s="7">
        <v>2023</v>
      </c>
      <c r="AH65" s="3" t="s">
        <v>76</v>
      </c>
      <c r="AI65" s="3" t="s">
        <v>166</v>
      </c>
      <c r="AJ65" s="3" t="s">
        <v>78</v>
      </c>
      <c r="AK65" s="3" t="s">
        <v>162</v>
      </c>
      <c r="AL65" s="3" t="s">
        <v>59</v>
      </c>
      <c r="AM65" s="3" t="s">
        <v>60</v>
      </c>
      <c r="AN65" s="3" t="s">
        <v>61</v>
      </c>
      <c r="AO65" s="3" t="s">
        <v>62</v>
      </c>
      <c r="AP65" s="3" t="s">
        <v>69</v>
      </c>
      <c r="AQ65" s="3" t="s">
        <v>61</v>
      </c>
      <c r="AR65" s="3" t="s">
        <v>48</v>
      </c>
    </row>
    <row r="66" spans="1:44" ht="30" customHeight="1">
      <c r="A66" s="3" t="s">
        <v>44</v>
      </c>
      <c r="B66" s="3" t="s">
        <v>45</v>
      </c>
      <c r="C66" s="3" t="s">
        <v>46</v>
      </c>
      <c r="D66" s="3" t="s">
        <v>186</v>
      </c>
      <c r="E66" s="3" t="s">
        <v>48</v>
      </c>
      <c r="F66" s="3" t="s">
        <v>271</v>
      </c>
      <c r="G66" s="3" t="s">
        <v>814</v>
      </c>
      <c r="H66" s="4">
        <f>IF(DATEDIF(L66,S66,"m")&gt;12,DATEDIF(L66,S66,"y"),(DATEDIF(L66,S66,"m")/12))</f>
        <v>1</v>
      </c>
      <c r="I66" s="7">
        <f>DATEDIF(L66,S66,"M")</f>
        <v>14</v>
      </c>
      <c r="J66" s="7">
        <f>DATEDIF(L66,S66,"D")</f>
        <v>427</v>
      </c>
      <c r="K66" s="3" t="s">
        <v>51</v>
      </c>
      <c r="L66" s="8">
        <v>44510</v>
      </c>
      <c r="M66" s="3" t="s">
        <v>45</v>
      </c>
      <c r="N66" s="3" t="s">
        <v>187</v>
      </c>
      <c r="O66" s="3" t="s">
        <v>52</v>
      </c>
      <c r="P66" s="3" t="s">
        <v>815</v>
      </c>
      <c r="Q66" s="7">
        <v>0</v>
      </c>
      <c r="R66" s="8">
        <v>44940</v>
      </c>
      <c r="S66" s="8">
        <v>44937</v>
      </c>
      <c r="T66" s="3" t="s">
        <v>464</v>
      </c>
      <c r="U66" s="3" t="s">
        <v>55</v>
      </c>
      <c r="V66" s="9"/>
      <c r="W66" s="10">
        <v>44942</v>
      </c>
      <c r="X66" s="7">
        <v>2</v>
      </c>
      <c r="Y66" s="7">
        <v>3</v>
      </c>
      <c r="Z66" s="7">
        <v>1</v>
      </c>
      <c r="AA66" s="7">
        <f>INT((S66-DATE(YEAR(S66-WEEKDAY(S66-0)+4),1,4)+WEEKDAY(DATE(YEAR(S66-WEEKDAY(S66-0)+4),1,4))+6)/7)</f>
        <v>2</v>
      </c>
      <c r="AB66" s="3" t="s">
        <v>816</v>
      </c>
      <c r="AC66" s="7">
        <v>85</v>
      </c>
      <c r="AD66" s="7">
        <v>0</v>
      </c>
      <c r="AE66" s="7">
        <v>0</v>
      </c>
      <c r="AF66" s="3" t="s">
        <v>48</v>
      </c>
      <c r="AG66" s="7">
        <v>2023</v>
      </c>
      <c r="AH66" s="3" t="s">
        <v>276</v>
      </c>
      <c r="AI66" s="3" t="s">
        <v>45</v>
      </c>
      <c r="AJ66" s="3" t="s">
        <v>186</v>
      </c>
      <c r="AK66" s="3" t="s">
        <v>817</v>
      </c>
      <c r="AL66" s="3" t="s">
        <v>59</v>
      </c>
      <c r="AM66" s="3" t="s">
        <v>60</v>
      </c>
      <c r="AN66" s="3" t="s">
        <v>61</v>
      </c>
      <c r="AO66" s="3" t="s">
        <v>48</v>
      </c>
      <c r="AP66" s="3" t="s">
        <v>69</v>
      </c>
      <c r="AQ66" s="3" t="s">
        <v>61</v>
      </c>
      <c r="AR66" s="3" t="s">
        <v>48</v>
      </c>
    </row>
    <row r="67" spans="1:44" ht="30" customHeight="1">
      <c r="A67" s="3" t="s">
        <v>44</v>
      </c>
      <c r="B67" s="3" t="s">
        <v>45</v>
      </c>
      <c r="C67" s="3" t="s">
        <v>46</v>
      </c>
      <c r="D67" s="3" t="s">
        <v>130</v>
      </c>
      <c r="E67" s="3" t="s">
        <v>48</v>
      </c>
      <c r="F67" s="3" t="s">
        <v>135</v>
      </c>
      <c r="G67" s="3" t="s">
        <v>886</v>
      </c>
      <c r="H67" s="4">
        <f>IF(DATEDIF(L67,S67,"m")&gt;12,DATEDIF(L67,S67,"y"),(DATEDIF(L67,S67,"m")/12))</f>
        <v>10</v>
      </c>
      <c r="I67" s="7">
        <f>DATEDIF(L67,S67,"M")</f>
        <v>120</v>
      </c>
      <c r="J67" s="7">
        <f>DATEDIF(L67,S67,"D")</f>
        <v>3669</v>
      </c>
      <c r="K67" s="3" t="s">
        <v>51</v>
      </c>
      <c r="L67" s="8">
        <v>41270</v>
      </c>
      <c r="M67" s="3" t="s">
        <v>45</v>
      </c>
      <c r="N67" s="3" t="s">
        <v>83</v>
      </c>
      <c r="O67" s="3" t="s">
        <v>52</v>
      </c>
      <c r="P67" s="3" t="s">
        <v>91</v>
      </c>
      <c r="Q67" s="7">
        <v>0</v>
      </c>
      <c r="R67" s="8">
        <v>44942</v>
      </c>
      <c r="S67" s="8">
        <v>44939</v>
      </c>
      <c r="T67" s="3" t="s">
        <v>54</v>
      </c>
      <c r="U67" s="3" t="s">
        <v>55</v>
      </c>
      <c r="V67" s="9"/>
      <c r="W67" s="10">
        <v>44942</v>
      </c>
      <c r="X67" s="7">
        <v>0</v>
      </c>
      <c r="Y67" s="7">
        <v>3</v>
      </c>
      <c r="Z67" s="7">
        <v>1</v>
      </c>
      <c r="AA67" s="7">
        <f>INT((S67-DATE(YEAR(S67-WEEKDAY(S67-0)+4),1,4)+WEEKDAY(DATE(YEAR(S67-WEEKDAY(S67-0)+4),1,4))+6)/7)</f>
        <v>2</v>
      </c>
      <c r="AB67" s="3" t="s">
        <v>887</v>
      </c>
      <c r="AC67" s="7">
        <v>80</v>
      </c>
      <c r="AD67" s="7">
        <v>0</v>
      </c>
      <c r="AE67" s="7">
        <v>0</v>
      </c>
      <c r="AF67" s="3" t="s">
        <v>48</v>
      </c>
      <c r="AG67" s="7">
        <v>2023</v>
      </c>
      <c r="AH67" s="3" t="s">
        <v>139</v>
      </c>
      <c r="AI67" s="3" t="s">
        <v>113</v>
      </c>
      <c r="AJ67" s="3" t="s">
        <v>48</v>
      </c>
      <c r="AK67" s="3" t="s">
        <v>87</v>
      </c>
      <c r="AL67" s="3" t="s">
        <v>59</v>
      </c>
      <c r="AM67" s="3" t="s">
        <v>60</v>
      </c>
      <c r="AN67" s="3" t="s">
        <v>61</v>
      </c>
      <c r="AO67" s="3" t="s">
        <v>62</v>
      </c>
      <c r="AP67" s="3" t="s">
        <v>69</v>
      </c>
      <c r="AQ67" s="3" t="s">
        <v>61</v>
      </c>
      <c r="AR67" s="3" t="s">
        <v>48</v>
      </c>
    </row>
    <row r="68" spans="1:44" ht="30" customHeight="1">
      <c r="A68" s="3" t="s">
        <v>44</v>
      </c>
      <c r="B68" s="3" t="s">
        <v>45</v>
      </c>
      <c r="C68" s="3" t="s">
        <v>46</v>
      </c>
      <c r="D68" s="3" t="s">
        <v>108</v>
      </c>
      <c r="E68" s="3" t="s">
        <v>48</v>
      </c>
      <c r="F68" s="3" t="s">
        <v>108</v>
      </c>
      <c r="G68" s="3" t="s">
        <v>1589</v>
      </c>
      <c r="H68" s="4">
        <f>IF(DATEDIF(L68,S68,"m")&gt;12,DATEDIF(L68,S68,"y"),(DATEDIF(L68,S68,"m")/12))</f>
        <v>5</v>
      </c>
      <c r="I68" s="7">
        <f>DATEDIF(L68,S68,"M")</f>
        <v>61</v>
      </c>
      <c r="J68" s="7">
        <f>DATEDIF(L68,S68,"D")</f>
        <v>1880</v>
      </c>
      <c r="K68" s="3" t="s">
        <v>64</v>
      </c>
      <c r="L68" s="8">
        <v>43078</v>
      </c>
      <c r="M68" s="3" t="s">
        <v>45</v>
      </c>
      <c r="N68" s="3" t="s">
        <v>73</v>
      </c>
      <c r="O68" s="3" t="s">
        <v>52</v>
      </c>
      <c r="P68" s="3" t="s">
        <v>142</v>
      </c>
      <c r="Q68" s="7">
        <v>0</v>
      </c>
      <c r="R68" s="8">
        <v>44960</v>
      </c>
      <c r="S68" s="8">
        <v>44958</v>
      </c>
      <c r="T68" s="3" t="s">
        <v>54</v>
      </c>
      <c r="U68" s="3" t="s">
        <v>55</v>
      </c>
      <c r="V68" s="9"/>
      <c r="W68" s="10">
        <v>44963</v>
      </c>
      <c r="X68" s="7">
        <v>3</v>
      </c>
      <c r="Y68" s="7">
        <v>2</v>
      </c>
      <c r="Z68" s="7">
        <v>2</v>
      </c>
      <c r="AA68" s="7">
        <f>INT((S68-DATE(YEAR(S68-WEEKDAY(S68-0)+4),1,4)+WEEKDAY(DATE(YEAR(S68-WEEKDAY(S68-0)+4),1,4))+6)/7)</f>
        <v>5</v>
      </c>
      <c r="AB68" s="3" t="s">
        <v>1590</v>
      </c>
      <c r="AC68" s="7">
        <v>204</v>
      </c>
      <c r="AD68" s="7">
        <v>0</v>
      </c>
      <c r="AE68" s="7">
        <v>0</v>
      </c>
      <c r="AF68" s="3" t="s">
        <v>48</v>
      </c>
      <c r="AG68" s="7">
        <v>2023</v>
      </c>
      <c r="AH68" s="3" t="s">
        <v>112</v>
      </c>
      <c r="AI68" s="3" t="s">
        <v>113</v>
      </c>
      <c r="AJ68" s="3" t="s">
        <v>48</v>
      </c>
      <c r="AK68" s="3" t="s">
        <v>114</v>
      </c>
      <c r="AL68" s="3" t="s">
        <v>59</v>
      </c>
      <c r="AM68" s="3" t="s">
        <v>115</v>
      </c>
      <c r="AN68" s="3" t="s">
        <v>61</v>
      </c>
      <c r="AO68" s="3" t="s">
        <v>62</v>
      </c>
      <c r="AP68" s="3" t="s">
        <v>69</v>
      </c>
      <c r="AQ68" s="3" t="s">
        <v>61</v>
      </c>
      <c r="AR68" s="3" t="s">
        <v>48</v>
      </c>
    </row>
    <row r="69" spans="1:44" ht="30" customHeight="1">
      <c r="A69" s="3" t="s">
        <v>44</v>
      </c>
      <c r="B69" s="3" t="s">
        <v>45</v>
      </c>
      <c r="C69" s="3" t="s">
        <v>46</v>
      </c>
      <c r="D69" s="3" t="s">
        <v>70</v>
      </c>
      <c r="E69" s="3" t="s">
        <v>48</v>
      </c>
      <c r="F69" s="3" t="s">
        <v>71</v>
      </c>
      <c r="G69" s="3" t="s">
        <v>1483</v>
      </c>
      <c r="H69" s="4">
        <f>IF(DATEDIF(L69,S69,"m")&gt;12,DATEDIF(L69,S69,"y"),(DATEDIF(L69,S69,"m")/12))</f>
        <v>6</v>
      </c>
      <c r="I69" s="7">
        <f>DATEDIF(L69,S69,"M")</f>
        <v>76</v>
      </c>
      <c r="J69" s="7">
        <f>DATEDIF(L69,S69,"D")</f>
        <v>2318</v>
      </c>
      <c r="K69" s="3" t="s">
        <v>64</v>
      </c>
      <c r="L69" s="8">
        <v>42620</v>
      </c>
      <c r="M69" s="3" t="s">
        <v>45</v>
      </c>
      <c r="N69" s="3" t="s">
        <v>329</v>
      </c>
      <c r="O69" s="3" t="s">
        <v>52</v>
      </c>
      <c r="P69" s="3" t="s">
        <v>592</v>
      </c>
      <c r="Q69" s="7">
        <v>1</v>
      </c>
      <c r="R69" s="8">
        <v>44939</v>
      </c>
      <c r="S69" s="8">
        <v>44938</v>
      </c>
      <c r="T69" s="3" t="s">
        <v>54</v>
      </c>
      <c r="U69" s="3" t="s">
        <v>55</v>
      </c>
      <c r="V69" s="9"/>
      <c r="W69" s="10">
        <v>44942</v>
      </c>
      <c r="X69" s="7">
        <v>3</v>
      </c>
      <c r="Y69" s="7">
        <v>1</v>
      </c>
      <c r="Z69" s="7">
        <v>1</v>
      </c>
      <c r="AA69" s="7">
        <f>INT((S69-DATE(YEAR(S69-WEEKDAY(S69-0)+4),1,4)+WEEKDAY(DATE(YEAR(S69-WEEKDAY(S69-0)+4),1,4))+6)/7)</f>
        <v>2</v>
      </c>
      <c r="AB69" s="3" t="s">
        <v>1484</v>
      </c>
      <c r="AC69" s="7">
        <v>614</v>
      </c>
      <c r="AD69" s="7">
        <v>0</v>
      </c>
      <c r="AE69" s="7">
        <v>1</v>
      </c>
      <c r="AF69" s="3" t="s">
        <v>48</v>
      </c>
      <c r="AG69" s="7">
        <v>2023</v>
      </c>
      <c r="AH69" s="3" t="s">
        <v>76</v>
      </c>
      <c r="AI69" s="3" t="s">
        <v>166</v>
      </c>
      <c r="AJ69" s="3" t="s">
        <v>78</v>
      </c>
      <c r="AK69" s="3" t="s">
        <v>547</v>
      </c>
      <c r="AL69" s="3" t="s">
        <v>59</v>
      </c>
      <c r="AM69" s="3" t="s">
        <v>60</v>
      </c>
      <c r="AN69" s="3" t="s">
        <v>61</v>
      </c>
      <c r="AO69" s="3" t="s">
        <v>62</v>
      </c>
      <c r="AP69" s="3" t="s">
        <v>69</v>
      </c>
      <c r="AQ69" s="3" t="s">
        <v>61</v>
      </c>
      <c r="AR69" s="3" t="s">
        <v>48</v>
      </c>
    </row>
    <row r="70" spans="1:44" ht="30" customHeight="1">
      <c r="A70" s="3" t="s">
        <v>44</v>
      </c>
      <c r="B70" s="3" t="s">
        <v>45</v>
      </c>
      <c r="C70" s="3" t="s">
        <v>46</v>
      </c>
      <c r="D70" s="3" t="s">
        <v>70</v>
      </c>
      <c r="E70" s="3" t="s">
        <v>48</v>
      </c>
      <c r="F70" s="3" t="s">
        <v>71</v>
      </c>
      <c r="G70" s="3" t="s">
        <v>1525</v>
      </c>
      <c r="H70" s="4">
        <v>4</v>
      </c>
      <c r="I70" s="7">
        <v>0</v>
      </c>
      <c r="J70" s="7">
        <v>0</v>
      </c>
      <c r="K70" s="3" t="s">
        <v>64</v>
      </c>
      <c r="L70" s="22"/>
      <c r="M70" s="3" t="s">
        <v>45</v>
      </c>
      <c r="N70" s="3" t="s">
        <v>203</v>
      </c>
      <c r="O70" s="3" t="s">
        <v>52</v>
      </c>
      <c r="P70" s="3" t="s">
        <v>712</v>
      </c>
      <c r="Q70" s="7">
        <v>1</v>
      </c>
      <c r="R70" s="8">
        <v>44940</v>
      </c>
      <c r="S70" s="8">
        <v>44939</v>
      </c>
      <c r="T70" s="3" t="s">
        <v>54</v>
      </c>
      <c r="U70" s="3" t="s">
        <v>55</v>
      </c>
      <c r="V70" s="9"/>
      <c r="W70" s="10">
        <v>44942</v>
      </c>
      <c r="X70" s="7">
        <v>2</v>
      </c>
      <c r="Y70" s="7">
        <v>1</v>
      </c>
      <c r="Z70" s="7">
        <v>1</v>
      </c>
      <c r="AA70" s="7">
        <f>INT((S70-DATE(YEAR(S70-WEEKDAY(S70-0)+4),1,4)+WEEKDAY(DATE(YEAR(S70-WEEKDAY(S70-0)+4),1,4))+6)/7)</f>
        <v>2</v>
      </c>
      <c r="AB70" s="3" t="s">
        <v>1526</v>
      </c>
      <c r="AC70" s="7">
        <v>616</v>
      </c>
      <c r="AD70" s="7">
        <v>0</v>
      </c>
      <c r="AE70" s="7">
        <v>1</v>
      </c>
      <c r="AF70" s="3" t="s">
        <v>48</v>
      </c>
      <c r="AG70" s="7">
        <v>2023</v>
      </c>
      <c r="AH70" s="3" t="s">
        <v>76</v>
      </c>
      <c r="AI70" s="3" t="s">
        <v>166</v>
      </c>
      <c r="AJ70" s="3" t="s">
        <v>78</v>
      </c>
      <c r="AK70" t="s">
        <v>327</v>
      </c>
      <c r="AL70" s="3" t="s">
        <v>59</v>
      </c>
      <c r="AM70" s="3" t="s">
        <v>60</v>
      </c>
      <c r="AN70" s="3" t="s">
        <v>61</v>
      </c>
      <c r="AO70" s="3" t="s">
        <v>62</v>
      </c>
      <c r="AP70" s="3" t="s">
        <v>69</v>
      </c>
      <c r="AQ70" s="3" t="s">
        <v>61</v>
      </c>
      <c r="AR70" s="3" t="s">
        <v>48</v>
      </c>
    </row>
    <row r="71" spans="1:44" ht="30" customHeight="1">
      <c r="A71" s="3" t="s">
        <v>44</v>
      </c>
      <c r="B71" s="3" t="s">
        <v>45</v>
      </c>
      <c r="C71" s="3" t="s">
        <v>46</v>
      </c>
      <c r="D71" s="3" t="s">
        <v>186</v>
      </c>
      <c r="E71" s="3" t="s">
        <v>48</v>
      </c>
      <c r="F71" s="3" t="s">
        <v>271</v>
      </c>
      <c r="G71" s="3" t="s">
        <v>1536</v>
      </c>
      <c r="H71" s="5">
        <f>IF(DATEDIF(L71,S71,"m")&gt;12,DATEDIF(L71,S71,"y"),(DATEDIF(L71,S71,"m")/12))</f>
        <v>8.3333333333333329E-2</v>
      </c>
      <c r="I71" s="7">
        <f>DATEDIF(L71,S71,"M")</f>
        <v>1</v>
      </c>
      <c r="J71" s="7">
        <f>DATEDIF(L71,S71,"D")</f>
        <v>51</v>
      </c>
      <c r="K71" s="3" t="s">
        <v>51</v>
      </c>
      <c r="L71" s="8">
        <v>44887</v>
      </c>
      <c r="M71" s="3" t="s">
        <v>45</v>
      </c>
      <c r="N71" s="3" t="s">
        <v>187</v>
      </c>
      <c r="O71" s="3" t="s">
        <v>52</v>
      </c>
      <c r="P71" s="3" t="s">
        <v>291</v>
      </c>
      <c r="Q71" s="7">
        <v>0</v>
      </c>
      <c r="R71" s="8">
        <v>44939</v>
      </c>
      <c r="S71" s="8">
        <v>44938</v>
      </c>
      <c r="T71" s="3" t="s">
        <v>464</v>
      </c>
      <c r="U71" s="3" t="s">
        <v>55</v>
      </c>
      <c r="V71" s="9"/>
      <c r="W71" s="10">
        <v>44942</v>
      </c>
      <c r="X71" s="7">
        <v>3</v>
      </c>
      <c r="Y71" s="7">
        <v>1</v>
      </c>
      <c r="Z71" s="7">
        <v>1</v>
      </c>
      <c r="AA71" s="7">
        <f>INT((S71-DATE(YEAR(S71-WEEKDAY(S71-0)+4),1,4)+WEEKDAY(DATE(YEAR(S71-WEEKDAY(S71-0)+4),1,4))+6)/7)</f>
        <v>2</v>
      </c>
      <c r="AB71" s="3" t="s">
        <v>1537</v>
      </c>
      <c r="AC71" s="7">
        <v>86</v>
      </c>
      <c r="AD71" s="7">
        <v>0</v>
      </c>
      <c r="AE71" s="7">
        <v>0</v>
      </c>
      <c r="AF71" s="3" t="s">
        <v>48</v>
      </c>
      <c r="AG71" s="7">
        <v>2023</v>
      </c>
      <c r="AH71" s="3" t="s">
        <v>276</v>
      </c>
      <c r="AI71" s="3" t="s">
        <v>191</v>
      </c>
      <c r="AJ71" s="3" t="s">
        <v>186</v>
      </c>
      <c r="AK71" s="18" t="s">
        <v>1538</v>
      </c>
      <c r="AL71" s="3" t="s">
        <v>59</v>
      </c>
      <c r="AM71" s="3" t="s">
        <v>60</v>
      </c>
      <c r="AN71" s="3" t="s">
        <v>61</v>
      </c>
      <c r="AO71" s="3" t="s">
        <v>48</v>
      </c>
      <c r="AP71" s="3" t="s">
        <v>69</v>
      </c>
      <c r="AQ71" s="3" t="s">
        <v>61</v>
      </c>
      <c r="AR71" s="3" t="s">
        <v>48</v>
      </c>
    </row>
    <row r="72" spans="1:44" ht="30" customHeight="1">
      <c r="A72" s="3" t="s">
        <v>44</v>
      </c>
      <c r="B72" s="3" t="s">
        <v>45</v>
      </c>
      <c r="C72" s="3" t="s">
        <v>46</v>
      </c>
      <c r="D72" s="3" t="s">
        <v>70</v>
      </c>
      <c r="E72" s="3" t="s">
        <v>48</v>
      </c>
      <c r="F72" s="3" t="s">
        <v>71</v>
      </c>
      <c r="G72" s="3" t="s">
        <v>1554</v>
      </c>
      <c r="H72" s="5">
        <f>IF(DATEDIF(L72,S72,"m")&gt;12,DATEDIF(L72,S72,"y"),(DATEDIF(L72,S72,"m")/12))</f>
        <v>0.75</v>
      </c>
      <c r="I72" s="7">
        <f>DATEDIF(L72,S72,"M")</f>
        <v>9</v>
      </c>
      <c r="J72" s="7">
        <f>DATEDIF(L72,S72,"D")</f>
        <v>279</v>
      </c>
      <c r="K72" s="3" t="s">
        <v>51</v>
      </c>
      <c r="L72" s="8">
        <v>44659</v>
      </c>
      <c r="M72" s="3" t="s">
        <v>45</v>
      </c>
      <c r="N72" s="3" t="s">
        <v>329</v>
      </c>
      <c r="O72" s="3" t="s">
        <v>52</v>
      </c>
      <c r="P72" s="3" t="s">
        <v>84</v>
      </c>
      <c r="Q72" s="7">
        <v>1</v>
      </c>
      <c r="R72" s="8">
        <v>44939</v>
      </c>
      <c r="S72" s="8">
        <v>44938</v>
      </c>
      <c r="T72" s="3" t="s">
        <v>54</v>
      </c>
      <c r="U72" s="3" t="s">
        <v>55</v>
      </c>
      <c r="V72" s="9"/>
      <c r="W72" s="10">
        <v>44942</v>
      </c>
      <c r="X72" s="7">
        <v>3</v>
      </c>
      <c r="Y72" s="7">
        <v>1</v>
      </c>
      <c r="Z72" s="7">
        <v>1</v>
      </c>
      <c r="AA72" s="7">
        <f>INT((S72-DATE(YEAR(S72-WEEKDAY(S72-0)+4),1,4)+WEEKDAY(DATE(YEAR(S72-WEEKDAY(S72-0)+4),1,4))+6)/7)</f>
        <v>2</v>
      </c>
      <c r="AB72" s="3" t="s">
        <v>1555</v>
      </c>
      <c r="AC72" s="7">
        <v>613</v>
      </c>
      <c r="AD72" s="7">
        <v>0</v>
      </c>
      <c r="AE72" s="7">
        <v>1</v>
      </c>
      <c r="AF72" s="3" t="s">
        <v>48</v>
      </c>
      <c r="AG72" s="7">
        <v>2023</v>
      </c>
      <c r="AH72" s="3" t="s">
        <v>76</v>
      </c>
      <c r="AI72" s="3" t="s">
        <v>166</v>
      </c>
      <c r="AJ72" s="3" t="s">
        <v>78</v>
      </c>
      <c r="AK72" s="3" t="s">
        <v>1222</v>
      </c>
      <c r="AL72" s="3" t="s">
        <v>59</v>
      </c>
      <c r="AM72" s="3" t="s">
        <v>60</v>
      </c>
      <c r="AN72" s="3" t="s">
        <v>61</v>
      </c>
      <c r="AO72" s="3" t="s">
        <v>62</v>
      </c>
      <c r="AP72" s="3" t="s">
        <v>69</v>
      </c>
      <c r="AQ72" s="3" t="s">
        <v>61</v>
      </c>
      <c r="AR72" s="3" t="s">
        <v>48</v>
      </c>
    </row>
    <row r="73" spans="1:44" ht="30" customHeight="1">
      <c r="A73" s="3" t="s">
        <v>44</v>
      </c>
      <c r="B73" s="3" t="s">
        <v>45</v>
      </c>
      <c r="C73" s="3" t="s">
        <v>46</v>
      </c>
      <c r="D73" s="3" t="s">
        <v>70</v>
      </c>
      <c r="E73" s="3" t="s">
        <v>48</v>
      </c>
      <c r="F73" s="3" t="s">
        <v>71</v>
      </c>
      <c r="G73" s="3" t="s">
        <v>1811</v>
      </c>
      <c r="H73" s="5">
        <f>IF(DATEDIF(L73,S73,"m")&gt;12,DATEDIF(L73,S73,"y"),(DATEDIF(L73,S73,"m")/12))</f>
        <v>0.75</v>
      </c>
      <c r="I73" s="7">
        <f>DATEDIF(L73,S73,"M")</f>
        <v>9</v>
      </c>
      <c r="J73" s="7">
        <f>DATEDIF(L73,S73,"D")</f>
        <v>298</v>
      </c>
      <c r="K73" s="3" t="s">
        <v>64</v>
      </c>
      <c r="L73" s="8">
        <v>44641</v>
      </c>
      <c r="M73" s="3" t="s">
        <v>45</v>
      </c>
      <c r="N73" s="3" t="s">
        <v>329</v>
      </c>
      <c r="O73" s="3" t="s">
        <v>52</v>
      </c>
      <c r="P73" s="3" t="s">
        <v>1163</v>
      </c>
      <c r="Q73" s="7">
        <v>1</v>
      </c>
      <c r="R73" s="8">
        <v>44940</v>
      </c>
      <c r="S73" s="8">
        <v>44939</v>
      </c>
      <c r="T73" s="3" t="s">
        <v>54</v>
      </c>
      <c r="U73" s="3" t="s">
        <v>55</v>
      </c>
      <c r="V73" s="9"/>
      <c r="W73" s="10">
        <v>44942</v>
      </c>
      <c r="X73" s="7">
        <v>2</v>
      </c>
      <c r="Y73" s="7">
        <v>1</v>
      </c>
      <c r="Z73" s="7">
        <v>1</v>
      </c>
      <c r="AA73" s="7">
        <f>INT((S73-DATE(YEAR(S73-WEEKDAY(S73-0)+4),1,4)+WEEKDAY(DATE(YEAR(S73-WEEKDAY(S73-0)+4),1,4))+6)/7)</f>
        <v>2</v>
      </c>
      <c r="AB73" s="3" t="s">
        <v>1812</v>
      </c>
      <c r="AC73" s="7">
        <v>617</v>
      </c>
      <c r="AD73" s="7">
        <v>0</v>
      </c>
      <c r="AE73" s="7">
        <v>1</v>
      </c>
      <c r="AF73" s="3" t="s">
        <v>48</v>
      </c>
      <c r="AG73" s="7">
        <v>2023</v>
      </c>
      <c r="AH73" s="3" t="s">
        <v>76</v>
      </c>
      <c r="AI73" s="3" t="s">
        <v>166</v>
      </c>
      <c r="AJ73" s="3" t="s">
        <v>48</v>
      </c>
      <c r="AK73" s="18" t="s">
        <v>162</v>
      </c>
      <c r="AL73" s="3" t="s">
        <v>59</v>
      </c>
      <c r="AM73" s="3" t="s">
        <v>60</v>
      </c>
      <c r="AN73" s="3" t="s">
        <v>61</v>
      </c>
      <c r="AO73" s="3" t="s">
        <v>62</v>
      </c>
      <c r="AP73" s="3" t="s">
        <v>69</v>
      </c>
      <c r="AQ73" s="3" t="s">
        <v>61</v>
      </c>
      <c r="AR73" s="3" t="s">
        <v>48</v>
      </c>
    </row>
    <row r="74" spans="1:44" ht="30" customHeight="1">
      <c r="A74" s="3" t="s">
        <v>44</v>
      </c>
      <c r="B74" s="3" t="s">
        <v>45</v>
      </c>
      <c r="C74" s="3" t="s">
        <v>46</v>
      </c>
      <c r="D74" s="3" t="s">
        <v>130</v>
      </c>
      <c r="E74" s="3" t="s">
        <v>48</v>
      </c>
      <c r="F74" s="3" t="s">
        <v>135</v>
      </c>
      <c r="G74" s="3" t="s">
        <v>1951</v>
      </c>
      <c r="H74" s="5">
        <f>IF(DATEDIF(L74,S74,"m")&gt;12,DATEDIF(L74,S74,"y"),(DATEDIF(L74,S74,"m")/12))</f>
        <v>0.16666666666666666</v>
      </c>
      <c r="I74" s="7">
        <f>DATEDIF(L74,S74,"M")</f>
        <v>2</v>
      </c>
      <c r="J74" s="7">
        <f>DATEDIF(L74,S74,"D")</f>
        <v>88</v>
      </c>
      <c r="K74" s="3" t="s">
        <v>64</v>
      </c>
      <c r="L74" s="8">
        <v>44851</v>
      </c>
      <c r="M74" s="3" t="s">
        <v>45</v>
      </c>
      <c r="N74" s="3" t="s">
        <v>83</v>
      </c>
      <c r="O74" s="3" t="s">
        <v>52</v>
      </c>
      <c r="P74" s="3" t="s">
        <v>84</v>
      </c>
      <c r="Q74" s="7">
        <v>0</v>
      </c>
      <c r="R74" s="8">
        <v>44942</v>
      </c>
      <c r="S74" s="8">
        <v>44939</v>
      </c>
      <c r="T74" s="3" t="s">
        <v>54</v>
      </c>
      <c r="U74" s="3" t="s">
        <v>55</v>
      </c>
      <c r="V74" s="9"/>
      <c r="W74" s="10">
        <v>44942</v>
      </c>
      <c r="X74" s="7">
        <v>0</v>
      </c>
      <c r="Y74" s="7">
        <v>3</v>
      </c>
      <c r="Z74" s="7">
        <v>1</v>
      </c>
      <c r="AA74" s="7">
        <f>INT((S74-DATE(YEAR(S74-WEEKDAY(S74-0)+4),1,4)+WEEKDAY(DATE(YEAR(S74-WEEKDAY(S74-0)+4),1,4))+6)/7)</f>
        <v>2</v>
      </c>
      <c r="AB74" s="3" t="s">
        <v>1952</v>
      </c>
      <c r="AC74" s="7">
        <v>81</v>
      </c>
      <c r="AD74" s="7">
        <v>0</v>
      </c>
      <c r="AE74" s="7">
        <v>0</v>
      </c>
      <c r="AF74" s="3" t="s">
        <v>48</v>
      </c>
      <c r="AG74" s="7">
        <v>2023</v>
      </c>
      <c r="AH74" s="3" t="s">
        <v>139</v>
      </c>
      <c r="AI74" s="3" t="s">
        <v>113</v>
      </c>
      <c r="AJ74" s="3" t="s">
        <v>48</v>
      </c>
      <c r="AK74" s="3" t="s">
        <v>134</v>
      </c>
      <c r="AL74" s="3" t="s">
        <v>59</v>
      </c>
      <c r="AM74" s="3" t="s">
        <v>60</v>
      </c>
      <c r="AN74" s="3" t="s">
        <v>61</v>
      </c>
      <c r="AO74" s="3" t="s">
        <v>62</v>
      </c>
      <c r="AP74" s="3" t="s">
        <v>69</v>
      </c>
      <c r="AQ74" s="3" t="s">
        <v>61</v>
      </c>
      <c r="AR74" s="3" t="s">
        <v>48</v>
      </c>
    </row>
    <row r="75" spans="1:44" ht="30" customHeight="1">
      <c r="A75" s="3" t="s">
        <v>44</v>
      </c>
      <c r="B75" s="3" t="s">
        <v>45</v>
      </c>
      <c r="C75" s="3" t="s">
        <v>46</v>
      </c>
      <c r="D75" s="3" t="s">
        <v>186</v>
      </c>
      <c r="E75" s="3" t="s">
        <v>48</v>
      </c>
      <c r="F75" s="3" t="s">
        <v>271</v>
      </c>
      <c r="G75" s="3" t="s">
        <v>2075</v>
      </c>
      <c r="H75" s="4">
        <f>IF(DATEDIF(L75,S75,"m")&gt;12,DATEDIF(L75,S75,"y"),(DATEDIF(L75,S75,"m")/12))</f>
        <v>6</v>
      </c>
      <c r="I75" s="7">
        <f>DATEDIF(L75,S75,"M")</f>
        <v>78</v>
      </c>
      <c r="J75" s="7">
        <f>DATEDIF(L75,S75,"D")</f>
        <v>2377</v>
      </c>
      <c r="K75" s="3" t="s">
        <v>64</v>
      </c>
      <c r="L75" s="8">
        <v>42553</v>
      </c>
      <c r="M75" s="3" t="s">
        <v>45</v>
      </c>
      <c r="N75" s="3" t="s">
        <v>187</v>
      </c>
      <c r="O75" s="3" t="s">
        <v>52</v>
      </c>
      <c r="P75" s="3" t="s">
        <v>2076</v>
      </c>
      <c r="Q75" s="7">
        <v>0</v>
      </c>
      <c r="R75" s="8">
        <v>44937</v>
      </c>
      <c r="S75" s="8">
        <v>44930</v>
      </c>
      <c r="T75" s="3" t="s">
        <v>54</v>
      </c>
      <c r="U75" s="3" t="s">
        <v>55</v>
      </c>
      <c r="V75" s="9"/>
      <c r="W75" s="10">
        <v>44942</v>
      </c>
      <c r="X75" s="7">
        <v>5</v>
      </c>
      <c r="Y75" s="7">
        <v>7</v>
      </c>
      <c r="Z75" s="7">
        <v>1</v>
      </c>
      <c r="AA75" s="7">
        <f>INT((S75-DATE(YEAR(S75-WEEKDAY(S75-0)+4),1,4)+WEEKDAY(DATE(YEAR(S75-WEEKDAY(S75-0)+4),1,4))+6)/7)</f>
        <v>1</v>
      </c>
      <c r="AB75" s="3" t="s">
        <v>2077</v>
      </c>
      <c r="AC75" s="7">
        <v>83</v>
      </c>
      <c r="AD75" s="7">
        <v>0</v>
      </c>
      <c r="AE75" s="7">
        <v>0</v>
      </c>
      <c r="AF75" s="3" t="s">
        <v>48</v>
      </c>
      <c r="AG75" s="7">
        <v>2023</v>
      </c>
      <c r="AH75" s="3" t="s">
        <v>276</v>
      </c>
      <c r="AI75" s="3" t="s">
        <v>191</v>
      </c>
      <c r="AJ75" s="3" t="s">
        <v>186</v>
      </c>
      <c r="AK75" s="18" t="s">
        <v>260</v>
      </c>
      <c r="AL75" s="3" t="s">
        <v>59</v>
      </c>
      <c r="AM75" s="3" t="s">
        <v>60</v>
      </c>
      <c r="AN75" s="3" t="s">
        <v>61</v>
      </c>
      <c r="AO75" s="3" t="s">
        <v>62</v>
      </c>
      <c r="AP75" s="3" t="s">
        <v>69</v>
      </c>
      <c r="AQ75" s="3" t="s">
        <v>61</v>
      </c>
      <c r="AR75" s="3" t="s">
        <v>48</v>
      </c>
    </row>
    <row r="76" spans="1:44" ht="30" customHeight="1">
      <c r="A76" s="3" t="s">
        <v>44</v>
      </c>
      <c r="B76" s="3" t="s">
        <v>45</v>
      </c>
      <c r="C76" s="3" t="s">
        <v>46</v>
      </c>
      <c r="D76" s="3" t="s">
        <v>130</v>
      </c>
      <c r="E76" s="3" t="s">
        <v>48</v>
      </c>
      <c r="F76" s="3" t="s">
        <v>131</v>
      </c>
      <c r="G76" s="3" t="s">
        <v>48</v>
      </c>
      <c r="H76" s="4">
        <f>IF(DATEDIF(L76,S76,"m")&gt;12,DATEDIF(L76,S76,"y"),(DATEDIF(L76,S76,"m")/12))</f>
        <v>1</v>
      </c>
      <c r="I76" s="7">
        <f>DATEDIF(L76,S76,"M")</f>
        <v>23</v>
      </c>
      <c r="J76" s="7">
        <f>DATEDIF(L76,S76,"D")</f>
        <v>709</v>
      </c>
      <c r="K76" s="3" t="s">
        <v>64</v>
      </c>
      <c r="L76" s="8">
        <v>44228</v>
      </c>
      <c r="M76" s="3" t="s">
        <v>45</v>
      </c>
      <c r="N76" s="3" t="s">
        <v>83</v>
      </c>
      <c r="O76" s="3" t="s">
        <v>52</v>
      </c>
      <c r="P76" s="3" t="s">
        <v>169</v>
      </c>
      <c r="Q76" s="7">
        <v>0</v>
      </c>
      <c r="R76" s="8">
        <v>44939</v>
      </c>
      <c r="S76" s="8">
        <v>44937</v>
      </c>
      <c r="T76" s="3" t="s">
        <v>54</v>
      </c>
      <c r="U76" s="3" t="s">
        <v>55</v>
      </c>
      <c r="V76" s="9"/>
      <c r="W76" s="10">
        <v>44943</v>
      </c>
      <c r="X76" s="7">
        <v>4</v>
      </c>
      <c r="Y76" s="7">
        <v>2</v>
      </c>
      <c r="Z76" s="7">
        <v>1</v>
      </c>
      <c r="AA76" s="7">
        <f>INT((S76-DATE(YEAR(S76-WEEKDAY(S76-0)+4),1,4)+WEEKDAY(DATE(YEAR(S76-WEEKDAY(S76-0)+4),1,4))+6)/7)</f>
        <v>2</v>
      </c>
      <c r="AB76" s="3" t="s">
        <v>343</v>
      </c>
      <c r="AC76" s="7">
        <v>92</v>
      </c>
      <c r="AD76" s="7">
        <v>0</v>
      </c>
      <c r="AE76" s="7">
        <v>0</v>
      </c>
      <c r="AF76" s="3" t="s">
        <v>48</v>
      </c>
      <c r="AG76" s="7">
        <v>2023</v>
      </c>
      <c r="AH76" s="3" t="s">
        <v>133</v>
      </c>
      <c r="AI76" s="3" t="s">
        <v>106</v>
      </c>
      <c r="AJ76" s="3" t="s">
        <v>48</v>
      </c>
      <c r="AK76" s="3" t="s">
        <v>98</v>
      </c>
      <c r="AL76" s="3" t="s">
        <v>59</v>
      </c>
      <c r="AM76" s="3" t="s">
        <v>115</v>
      </c>
      <c r="AN76" s="3" t="s">
        <v>61</v>
      </c>
      <c r="AO76" s="3" t="s">
        <v>62</v>
      </c>
      <c r="AP76" s="3" t="s">
        <v>69</v>
      </c>
      <c r="AQ76" s="3" t="s">
        <v>61</v>
      </c>
      <c r="AR76" s="3" t="s">
        <v>48</v>
      </c>
    </row>
    <row r="77" spans="1:44" ht="30" customHeight="1">
      <c r="A77" s="3" t="s">
        <v>44</v>
      </c>
      <c r="B77" s="3" t="s">
        <v>45</v>
      </c>
      <c r="C77" s="3" t="s">
        <v>46</v>
      </c>
      <c r="D77" s="3" t="s">
        <v>130</v>
      </c>
      <c r="E77" s="3" t="s">
        <v>48</v>
      </c>
      <c r="F77" s="3" t="s">
        <v>131</v>
      </c>
      <c r="G77" s="3" t="s">
        <v>48</v>
      </c>
      <c r="H77" s="4">
        <f>IF(DATEDIF(L77,S77,"m")&gt;12,DATEDIF(L77,S77,"y"),(DATEDIF(L77,S77,"m")/12))</f>
        <v>1</v>
      </c>
      <c r="I77" s="7">
        <f>DATEDIF(L77,S77,"M")</f>
        <v>12</v>
      </c>
      <c r="J77" s="7">
        <f>DATEDIF(L77,S77,"D")</f>
        <v>366</v>
      </c>
      <c r="K77" s="3" t="s">
        <v>51</v>
      </c>
      <c r="L77" s="8">
        <v>44569</v>
      </c>
      <c r="M77" s="3" t="s">
        <v>45</v>
      </c>
      <c r="N77" s="3" t="s">
        <v>83</v>
      </c>
      <c r="O77" s="3" t="s">
        <v>52</v>
      </c>
      <c r="P77" s="3" t="s">
        <v>103</v>
      </c>
      <c r="Q77" s="7">
        <v>0</v>
      </c>
      <c r="R77" s="8">
        <v>44939</v>
      </c>
      <c r="S77" s="8">
        <v>44935</v>
      </c>
      <c r="T77" s="3" t="s">
        <v>54</v>
      </c>
      <c r="U77" s="3" t="s">
        <v>55</v>
      </c>
      <c r="V77" s="9"/>
      <c r="W77" s="10">
        <v>44943</v>
      </c>
      <c r="X77" s="7">
        <v>4</v>
      </c>
      <c r="Y77" s="7">
        <v>4</v>
      </c>
      <c r="Z77" s="7">
        <v>1</v>
      </c>
      <c r="AA77" s="7">
        <f>INT((S77-DATE(YEAR(S77-WEEKDAY(S77-0)+4),1,4)+WEEKDAY(DATE(YEAR(S77-WEEKDAY(S77-0)+4),1,4))+6)/7)</f>
        <v>2</v>
      </c>
      <c r="AB77" s="3" t="s">
        <v>714</v>
      </c>
      <c r="AC77" s="7">
        <v>97</v>
      </c>
      <c r="AD77" s="7">
        <v>0</v>
      </c>
      <c r="AE77" s="7">
        <v>0</v>
      </c>
      <c r="AF77" s="3" t="s">
        <v>48</v>
      </c>
      <c r="AG77" s="7">
        <v>2023</v>
      </c>
      <c r="AH77" s="3" t="s">
        <v>133</v>
      </c>
      <c r="AI77" s="3" t="s">
        <v>106</v>
      </c>
      <c r="AJ77" s="3" t="s">
        <v>48</v>
      </c>
      <c r="AK77" s="3" t="s">
        <v>154</v>
      </c>
      <c r="AL77" s="3" t="s">
        <v>59</v>
      </c>
      <c r="AM77" s="3" t="s">
        <v>48</v>
      </c>
      <c r="AN77" s="3" t="s">
        <v>61</v>
      </c>
      <c r="AO77" s="3" t="s">
        <v>62</v>
      </c>
      <c r="AP77" s="3" t="s">
        <v>69</v>
      </c>
      <c r="AQ77" s="3" t="s">
        <v>61</v>
      </c>
      <c r="AR77" s="3" t="s">
        <v>48</v>
      </c>
    </row>
    <row r="78" spans="1:44" ht="30" customHeight="1">
      <c r="A78" s="3" t="s">
        <v>44</v>
      </c>
      <c r="B78" s="3" t="s">
        <v>45</v>
      </c>
      <c r="C78" s="3" t="s">
        <v>46</v>
      </c>
      <c r="D78" s="3" t="s">
        <v>130</v>
      </c>
      <c r="E78" s="3" t="s">
        <v>48</v>
      </c>
      <c r="F78" s="3" t="s">
        <v>131</v>
      </c>
      <c r="G78" s="3" t="s">
        <v>48</v>
      </c>
      <c r="H78" s="4">
        <f>IF(DATEDIF(L78,S78,"m")&gt;12,DATEDIF(L78,S78,"y"),(DATEDIF(L78,S78,"m")/12))</f>
        <v>1</v>
      </c>
      <c r="I78" s="7">
        <f>DATEDIF(L78,S78,"M")</f>
        <v>13</v>
      </c>
      <c r="J78" s="7">
        <f>DATEDIF(L78,S78,"D")</f>
        <v>411</v>
      </c>
      <c r="K78" s="3" t="s">
        <v>64</v>
      </c>
      <c r="L78" s="8">
        <v>44523</v>
      </c>
      <c r="M78" s="3" t="s">
        <v>45</v>
      </c>
      <c r="N78" s="3" t="s">
        <v>83</v>
      </c>
      <c r="O78" s="3" t="s">
        <v>52</v>
      </c>
      <c r="P78" s="3" t="s">
        <v>608</v>
      </c>
      <c r="Q78" s="7">
        <v>0</v>
      </c>
      <c r="R78" s="8">
        <v>44939</v>
      </c>
      <c r="S78" s="8">
        <v>44934</v>
      </c>
      <c r="T78" s="3" t="s">
        <v>54</v>
      </c>
      <c r="U78" s="3" t="s">
        <v>55</v>
      </c>
      <c r="V78" s="9"/>
      <c r="W78" s="10">
        <v>44943</v>
      </c>
      <c r="X78" s="7">
        <v>4</v>
      </c>
      <c r="Y78" s="7">
        <v>5</v>
      </c>
      <c r="Z78" s="7">
        <v>1</v>
      </c>
      <c r="AA78" s="7">
        <f>INT((S78-DATE(YEAR(S78-WEEKDAY(S78-0)+4),1,4)+WEEKDAY(DATE(YEAR(S78-WEEKDAY(S78-0)+4),1,4))+6)/7)</f>
        <v>2</v>
      </c>
      <c r="AB78" s="3" t="s">
        <v>1046</v>
      </c>
      <c r="AC78" s="7">
        <v>94</v>
      </c>
      <c r="AD78" s="7">
        <v>0</v>
      </c>
      <c r="AE78" s="7">
        <v>0</v>
      </c>
      <c r="AF78" s="3" t="s">
        <v>48</v>
      </c>
      <c r="AG78" s="7">
        <v>2023</v>
      </c>
      <c r="AH78" s="3" t="s">
        <v>133</v>
      </c>
      <c r="AI78" s="3" t="s">
        <v>106</v>
      </c>
      <c r="AJ78" s="3" t="s">
        <v>48</v>
      </c>
      <c r="AK78" s="3" t="s">
        <v>216</v>
      </c>
      <c r="AL78" s="3" t="s">
        <v>59</v>
      </c>
      <c r="AM78" s="3" t="s">
        <v>115</v>
      </c>
      <c r="AN78" s="3" t="s">
        <v>61</v>
      </c>
      <c r="AO78" s="3" t="s">
        <v>62</v>
      </c>
      <c r="AP78" s="3" t="s">
        <v>69</v>
      </c>
      <c r="AQ78" s="3" t="s">
        <v>61</v>
      </c>
      <c r="AR78" s="3" t="s">
        <v>48</v>
      </c>
    </row>
    <row r="79" spans="1:44" ht="30" customHeight="1">
      <c r="A79" s="3" t="s">
        <v>44</v>
      </c>
      <c r="B79" s="3" t="s">
        <v>45</v>
      </c>
      <c r="C79" s="3" t="s">
        <v>46</v>
      </c>
      <c r="D79" s="3" t="s">
        <v>130</v>
      </c>
      <c r="E79" s="3" t="s">
        <v>48</v>
      </c>
      <c r="F79" s="3" t="s">
        <v>131</v>
      </c>
      <c r="G79" s="3" t="s">
        <v>48</v>
      </c>
      <c r="H79" s="5">
        <f>IF(DATEDIF(L79,S79,"m")&gt;12,DATEDIF(L79,S79,"y"),(DATEDIF(L79,S79,"m")/12))</f>
        <v>0.58333333333333337</v>
      </c>
      <c r="I79" s="7">
        <f>DATEDIF(L79,S79,"M")</f>
        <v>7</v>
      </c>
      <c r="J79" s="7">
        <f>DATEDIF(L79,S79,"D")</f>
        <v>237</v>
      </c>
      <c r="K79" s="3" t="s">
        <v>64</v>
      </c>
      <c r="L79" s="8">
        <v>44698</v>
      </c>
      <c r="M79" s="3" t="s">
        <v>45</v>
      </c>
      <c r="N79" s="3" t="s">
        <v>83</v>
      </c>
      <c r="O79" s="3" t="s">
        <v>52</v>
      </c>
      <c r="P79" s="3" t="s">
        <v>137</v>
      </c>
      <c r="Q79" s="7">
        <v>0</v>
      </c>
      <c r="R79" s="8">
        <v>44939</v>
      </c>
      <c r="S79" s="8">
        <v>44935</v>
      </c>
      <c r="T79" s="3" t="s">
        <v>54</v>
      </c>
      <c r="U79" s="3" t="s">
        <v>55</v>
      </c>
      <c r="V79" s="9"/>
      <c r="W79" s="10">
        <v>44943</v>
      </c>
      <c r="X79" s="7">
        <v>4</v>
      </c>
      <c r="Y79" s="7">
        <v>4</v>
      </c>
      <c r="Z79" s="7">
        <v>1</v>
      </c>
      <c r="AA79" s="7">
        <f>INT((S79-DATE(YEAR(S79-WEEKDAY(S79-0)+4),1,4)+WEEKDAY(DATE(YEAR(S79-WEEKDAY(S79-0)+4),1,4))+6)/7)</f>
        <v>2</v>
      </c>
      <c r="AB79" s="3" t="s">
        <v>1277</v>
      </c>
      <c r="AC79" s="7">
        <v>96</v>
      </c>
      <c r="AD79" s="7">
        <v>0</v>
      </c>
      <c r="AE79" s="7">
        <v>0</v>
      </c>
      <c r="AF79" s="3" t="s">
        <v>48</v>
      </c>
      <c r="AG79" s="7">
        <v>2023</v>
      </c>
      <c r="AH79" s="3" t="s">
        <v>133</v>
      </c>
      <c r="AI79" s="3" t="s">
        <v>106</v>
      </c>
      <c r="AJ79" s="3" t="s">
        <v>48</v>
      </c>
      <c r="AK79" s="3" t="s">
        <v>459</v>
      </c>
      <c r="AL79" s="3" t="s">
        <v>59</v>
      </c>
      <c r="AM79" s="3" t="s">
        <v>115</v>
      </c>
      <c r="AN79" s="3" t="s">
        <v>61</v>
      </c>
      <c r="AO79" s="3" t="s">
        <v>62</v>
      </c>
      <c r="AP79" s="3" t="s">
        <v>69</v>
      </c>
      <c r="AQ79" s="3" t="s">
        <v>61</v>
      </c>
      <c r="AR79" s="3" t="s">
        <v>48</v>
      </c>
    </row>
    <row r="80" spans="1:44" ht="30" customHeight="1">
      <c r="A80" s="3" t="s">
        <v>44</v>
      </c>
      <c r="B80" s="3" t="s">
        <v>45</v>
      </c>
      <c r="C80" s="3" t="s">
        <v>46</v>
      </c>
      <c r="D80" s="3" t="s">
        <v>130</v>
      </c>
      <c r="E80" s="3" t="s">
        <v>48</v>
      </c>
      <c r="F80" s="3" t="s">
        <v>131</v>
      </c>
      <c r="G80" s="3" t="s">
        <v>48</v>
      </c>
      <c r="H80" s="5">
        <f>IF(DATEDIF(L80,S80,"m")&gt;12,DATEDIF(L80,S80,"y"),(DATEDIF(L80,S80,"m")/12))</f>
        <v>0.16666666666666666</v>
      </c>
      <c r="I80" s="7">
        <f>DATEDIF(L80,S80,"M")</f>
        <v>2</v>
      </c>
      <c r="J80" s="7">
        <f>DATEDIF(L80,S80,"D")</f>
        <v>61</v>
      </c>
      <c r="K80" s="3" t="s">
        <v>51</v>
      </c>
      <c r="L80" s="8">
        <v>44873</v>
      </c>
      <c r="M80" s="3" t="s">
        <v>45</v>
      </c>
      <c r="N80" s="3" t="s">
        <v>83</v>
      </c>
      <c r="O80" s="3" t="s">
        <v>52</v>
      </c>
      <c r="P80" s="3" t="s">
        <v>103</v>
      </c>
      <c r="Q80" s="7">
        <v>0</v>
      </c>
      <c r="R80" s="8">
        <v>44935</v>
      </c>
      <c r="S80" s="8">
        <v>44934</v>
      </c>
      <c r="T80" s="3" t="s">
        <v>54</v>
      </c>
      <c r="U80" s="3" t="s">
        <v>55</v>
      </c>
      <c r="V80" s="9"/>
      <c r="W80" s="10">
        <v>44943</v>
      </c>
      <c r="X80" s="7">
        <v>8</v>
      </c>
      <c r="Y80" s="7">
        <v>1</v>
      </c>
      <c r="Z80" s="7">
        <v>1</v>
      </c>
      <c r="AA80" s="7">
        <f>INT((S80-DATE(YEAR(S80-WEEKDAY(S80-0)+4),1,4)+WEEKDAY(DATE(YEAR(S80-WEEKDAY(S80-0)+4),1,4))+6)/7)</f>
        <v>2</v>
      </c>
      <c r="AB80" s="3" t="s">
        <v>1298</v>
      </c>
      <c r="AC80" s="7">
        <v>86</v>
      </c>
      <c r="AD80" s="7">
        <v>0</v>
      </c>
      <c r="AE80" s="7">
        <v>0</v>
      </c>
      <c r="AF80" s="3" t="s">
        <v>48</v>
      </c>
      <c r="AG80" s="7">
        <v>2023</v>
      </c>
      <c r="AH80" s="3" t="s">
        <v>133</v>
      </c>
      <c r="AI80" s="3" t="s">
        <v>106</v>
      </c>
      <c r="AJ80" s="3" t="s">
        <v>48</v>
      </c>
      <c r="AK80" s="3" t="s">
        <v>1289</v>
      </c>
      <c r="AL80" s="3" t="s">
        <v>59</v>
      </c>
      <c r="AM80" s="3" t="s">
        <v>115</v>
      </c>
      <c r="AN80" s="3" t="s">
        <v>61</v>
      </c>
      <c r="AO80" s="3" t="s">
        <v>62</v>
      </c>
      <c r="AP80" s="3" t="s">
        <v>69</v>
      </c>
      <c r="AQ80" s="3" t="s">
        <v>61</v>
      </c>
      <c r="AR80" s="3" t="s">
        <v>48</v>
      </c>
    </row>
    <row r="81" spans="1:44" ht="30" customHeight="1">
      <c r="A81" s="3" t="s">
        <v>44</v>
      </c>
      <c r="B81" s="3" t="s">
        <v>45</v>
      </c>
      <c r="C81" s="3" t="s">
        <v>46</v>
      </c>
      <c r="D81" s="3" t="s">
        <v>130</v>
      </c>
      <c r="E81" s="3" t="s">
        <v>48</v>
      </c>
      <c r="F81" s="3" t="s">
        <v>131</v>
      </c>
      <c r="G81" s="3" t="s">
        <v>48</v>
      </c>
      <c r="H81" s="4">
        <f>IF(DATEDIF(L81,S81,"m")&gt;12,DATEDIF(L81,S81,"y"),(DATEDIF(L81,S81,"m")/12))</f>
        <v>3</v>
      </c>
      <c r="I81" s="7">
        <f>DATEDIF(L81,S81,"M")</f>
        <v>36</v>
      </c>
      <c r="J81" s="7">
        <f>DATEDIF(L81,S81,"D")</f>
        <v>1097</v>
      </c>
      <c r="K81" s="3" t="s">
        <v>64</v>
      </c>
      <c r="L81" s="8">
        <v>43836</v>
      </c>
      <c r="M81" s="3" t="s">
        <v>45</v>
      </c>
      <c r="N81" s="3" t="s">
        <v>83</v>
      </c>
      <c r="O81" s="3" t="s">
        <v>52</v>
      </c>
      <c r="P81" s="3" t="s">
        <v>298</v>
      </c>
      <c r="Q81" s="7">
        <v>0</v>
      </c>
      <c r="R81" s="8">
        <v>44935</v>
      </c>
      <c r="S81" s="8">
        <v>44933</v>
      </c>
      <c r="T81" s="3" t="s">
        <v>54</v>
      </c>
      <c r="U81" s="3" t="s">
        <v>55</v>
      </c>
      <c r="V81" s="9"/>
      <c r="W81" s="10">
        <v>44943</v>
      </c>
      <c r="X81" s="7">
        <v>8</v>
      </c>
      <c r="Y81" s="7">
        <v>2</v>
      </c>
      <c r="Z81" s="7">
        <v>1</v>
      </c>
      <c r="AA81" s="7">
        <f>INT((S81-DATE(YEAR(S81-WEEKDAY(S81-0)+4),1,4)+WEEKDAY(DATE(YEAR(S81-WEEKDAY(S81-0)+4),1,4))+6)/7)</f>
        <v>1</v>
      </c>
      <c r="AB81" s="3" t="s">
        <v>1612</v>
      </c>
      <c r="AC81" s="7">
        <v>89</v>
      </c>
      <c r="AD81" s="7">
        <v>0</v>
      </c>
      <c r="AE81" s="7">
        <v>0</v>
      </c>
      <c r="AF81" s="3" t="s">
        <v>48</v>
      </c>
      <c r="AG81" s="7">
        <v>2023</v>
      </c>
      <c r="AH81" s="3" t="s">
        <v>133</v>
      </c>
      <c r="AI81" s="3" t="s">
        <v>106</v>
      </c>
      <c r="AJ81" s="3" t="s">
        <v>48</v>
      </c>
      <c r="AK81" s="3" t="s">
        <v>134</v>
      </c>
      <c r="AL81" s="3" t="s">
        <v>59</v>
      </c>
      <c r="AM81" s="3" t="s">
        <v>115</v>
      </c>
      <c r="AN81" s="3" t="s">
        <v>61</v>
      </c>
      <c r="AO81" s="3" t="s">
        <v>62</v>
      </c>
      <c r="AP81" s="3" t="s">
        <v>69</v>
      </c>
      <c r="AQ81" s="3" t="s">
        <v>61</v>
      </c>
      <c r="AR81" s="3" t="s">
        <v>48</v>
      </c>
    </row>
    <row r="82" spans="1:44" ht="30" customHeight="1">
      <c r="A82" s="3" t="s">
        <v>44</v>
      </c>
      <c r="B82" s="3" t="s">
        <v>45</v>
      </c>
      <c r="C82" s="3" t="s">
        <v>46</v>
      </c>
      <c r="D82" s="3" t="s">
        <v>108</v>
      </c>
      <c r="E82" s="3" t="s">
        <v>48</v>
      </c>
      <c r="F82" s="3" t="s">
        <v>108</v>
      </c>
      <c r="G82" s="3" t="s">
        <v>1896</v>
      </c>
      <c r="H82" s="4">
        <f>IF(DATEDIF(L82,S82,"m")&gt;12,DATEDIF(L82,S82,"y"),(DATEDIF(L82,S82,"m")/12))</f>
        <v>9</v>
      </c>
      <c r="I82" s="7">
        <f>DATEDIF(L82,S82,"M")</f>
        <v>116</v>
      </c>
      <c r="J82" s="7">
        <f>DATEDIF(L82,S82,"D")</f>
        <v>3561</v>
      </c>
      <c r="K82" s="3" t="s">
        <v>64</v>
      </c>
      <c r="L82" s="8">
        <v>41397</v>
      </c>
      <c r="M82" s="3" t="s">
        <v>45</v>
      </c>
      <c r="N82" s="3" t="s">
        <v>73</v>
      </c>
      <c r="O82" s="3" t="s">
        <v>52</v>
      </c>
      <c r="P82" s="3" t="s">
        <v>962</v>
      </c>
      <c r="Q82" s="7">
        <v>0</v>
      </c>
      <c r="R82" s="8">
        <v>44960</v>
      </c>
      <c r="S82" s="8">
        <v>44958</v>
      </c>
      <c r="T82" s="3" t="s">
        <v>54</v>
      </c>
      <c r="U82" s="3" t="s">
        <v>55</v>
      </c>
      <c r="V82" s="9"/>
      <c r="W82" s="10">
        <v>44963</v>
      </c>
      <c r="X82" s="7">
        <v>3</v>
      </c>
      <c r="Y82" s="7">
        <v>2</v>
      </c>
      <c r="Z82" s="7">
        <v>2</v>
      </c>
      <c r="AA82" s="7">
        <f>INT((S82-DATE(YEAR(S82-WEEKDAY(S82-0)+4),1,4)+WEEKDAY(DATE(YEAR(S82-WEEKDAY(S82-0)+4),1,4))+6)/7)</f>
        <v>5</v>
      </c>
      <c r="AB82" s="3" t="s">
        <v>1897</v>
      </c>
      <c r="AC82" s="7">
        <v>206</v>
      </c>
      <c r="AD82" s="7">
        <v>0</v>
      </c>
      <c r="AE82" s="7">
        <v>0</v>
      </c>
      <c r="AF82" s="3" t="s">
        <v>48</v>
      </c>
      <c r="AG82" s="7">
        <v>2023</v>
      </c>
      <c r="AH82" s="3" t="s">
        <v>112</v>
      </c>
      <c r="AI82" s="3" t="s">
        <v>113</v>
      </c>
      <c r="AJ82" s="3" t="s">
        <v>48</v>
      </c>
      <c r="AK82" s="3" t="s">
        <v>114</v>
      </c>
      <c r="AL82" s="3" t="s">
        <v>59</v>
      </c>
      <c r="AM82" s="3" t="s">
        <v>115</v>
      </c>
      <c r="AN82" s="3" t="s">
        <v>61</v>
      </c>
      <c r="AO82" s="3" t="s">
        <v>62</v>
      </c>
      <c r="AP82" s="3" t="s">
        <v>69</v>
      </c>
      <c r="AQ82" s="3" t="s">
        <v>61</v>
      </c>
      <c r="AR82" s="3" t="s">
        <v>48</v>
      </c>
    </row>
    <row r="83" spans="1:44" ht="30" customHeight="1">
      <c r="A83" s="3" t="s">
        <v>44</v>
      </c>
      <c r="B83" s="3" t="s">
        <v>45</v>
      </c>
      <c r="C83" s="3" t="s">
        <v>46</v>
      </c>
      <c r="D83" s="3" t="s">
        <v>108</v>
      </c>
      <c r="E83" s="3" t="s">
        <v>48</v>
      </c>
      <c r="F83" s="3" t="s">
        <v>108</v>
      </c>
      <c r="G83" s="3" t="s">
        <v>942</v>
      </c>
      <c r="H83" s="4">
        <f>IF(DATEDIF(L83,S83,"m")&gt;12,DATEDIF(L83,S83,"y"),(DATEDIF(L83,S83,"m")/12))</f>
        <v>1</v>
      </c>
      <c r="I83" s="7">
        <f>DATEDIF(L83,S83,"M")</f>
        <v>16</v>
      </c>
      <c r="J83" s="7">
        <f>DATEDIF(L83,S83,"D")</f>
        <v>500</v>
      </c>
      <c r="K83" s="3" t="s">
        <v>64</v>
      </c>
      <c r="L83" s="8">
        <v>44462</v>
      </c>
      <c r="M83" s="3" t="s">
        <v>45</v>
      </c>
      <c r="N83" s="3" t="s">
        <v>73</v>
      </c>
      <c r="O83" s="3" t="s">
        <v>52</v>
      </c>
      <c r="P83" s="3" t="s">
        <v>322</v>
      </c>
      <c r="Q83" s="7">
        <v>0</v>
      </c>
      <c r="R83" s="8">
        <v>44964</v>
      </c>
      <c r="S83" s="8">
        <v>44962</v>
      </c>
      <c r="T83" s="3" t="s">
        <v>54</v>
      </c>
      <c r="U83" s="3" t="s">
        <v>55</v>
      </c>
      <c r="V83" s="9"/>
      <c r="W83" s="10">
        <v>44971</v>
      </c>
      <c r="X83" s="7">
        <v>7</v>
      </c>
      <c r="Y83" s="7">
        <v>2</v>
      </c>
      <c r="Z83" s="7">
        <v>2</v>
      </c>
      <c r="AA83" s="7">
        <f>INT((S83-DATE(YEAR(S83-WEEKDAY(S83-0)+4),1,4)+WEEKDAY(DATE(YEAR(S83-WEEKDAY(S83-0)+4),1,4))+6)/7)</f>
        <v>6</v>
      </c>
      <c r="AB83" s="3" t="s">
        <v>943</v>
      </c>
      <c r="AC83" s="7">
        <v>238</v>
      </c>
      <c r="AD83" s="7">
        <v>0</v>
      </c>
      <c r="AE83" s="7">
        <v>0</v>
      </c>
      <c r="AF83" s="3" t="s">
        <v>48</v>
      </c>
      <c r="AG83" s="7">
        <v>2023</v>
      </c>
      <c r="AH83" s="3" t="s">
        <v>112</v>
      </c>
      <c r="AI83" s="3" t="s">
        <v>113</v>
      </c>
      <c r="AJ83" s="3" t="s">
        <v>48</v>
      </c>
      <c r="AK83" s="3" t="s">
        <v>114</v>
      </c>
      <c r="AL83" s="3" t="s">
        <v>59</v>
      </c>
      <c r="AM83" s="3" t="s">
        <v>115</v>
      </c>
      <c r="AN83" s="3" t="s">
        <v>61</v>
      </c>
      <c r="AO83" s="3" t="s">
        <v>62</v>
      </c>
      <c r="AP83" s="3" t="s">
        <v>69</v>
      </c>
      <c r="AQ83" s="3" t="s">
        <v>61</v>
      </c>
      <c r="AR83" s="3" t="s">
        <v>48</v>
      </c>
    </row>
    <row r="84" spans="1:44" ht="30" customHeight="1">
      <c r="A84" s="3" t="s">
        <v>44</v>
      </c>
      <c r="B84" s="3" t="s">
        <v>45</v>
      </c>
      <c r="C84" s="3" t="s">
        <v>46</v>
      </c>
      <c r="D84" s="3" t="s">
        <v>130</v>
      </c>
      <c r="E84" s="3" t="s">
        <v>48</v>
      </c>
      <c r="F84" s="3" t="s">
        <v>131</v>
      </c>
      <c r="G84" s="3" t="s">
        <v>48</v>
      </c>
      <c r="H84" s="4">
        <f>IF(DATEDIF(L84,S84,"m")&gt;12,DATEDIF(L84,S84,"y"),(DATEDIF(L84,S84,"m")/12))</f>
        <v>7</v>
      </c>
      <c r="I84" s="7">
        <f>DATEDIF(L84,S84,"M")</f>
        <v>86</v>
      </c>
      <c r="J84" s="7">
        <f>DATEDIF(L84,S84,"D")</f>
        <v>2647</v>
      </c>
      <c r="K84" s="3" t="s">
        <v>51</v>
      </c>
      <c r="L84" s="8">
        <v>42288</v>
      </c>
      <c r="M84" s="3" t="s">
        <v>45</v>
      </c>
      <c r="N84" s="3" t="s">
        <v>83</v>
      </c>
      <c r="O84" s="3" t="s">
        <v>52</v>
      </c>
      <c r="P84" s="3" t="s">
        <v>2119</v>
      </c>
      <c r="Q84" s="7">
        <v>0</v>
      </c>
      <c r="R84" s="8">
        <v>44939</v>
      </c>
      <c r="S84" s="8">
        <v>44935</v>
      </c>
      <c r="T84" s="3" t="s">
        <v>54</v>
      </c>
      <c r="U84" s="3" t="s">
        <v>55</v>
      </c>
      <c r="V84" s="9"/>
      <c r="W84" s="10">
        <v>44943</v>
      </c>
      <c r="X84" s="7">
        <v>4</v>
      </c>
      <c r="Y84" s="7">
        <v>4</v>
      </c>
      <c r="Z84" s="7">
        <v>1</v>
      </c>
      <c r="AA84" s="7">
        <f>INT((S84-DATE(YEAR(S84-WEEKDAY(S84-0)+4),1,4)+WEEKDAY(DATE(YEAR(S84-WEEKDAY(S84-0)+4),1,4))+6)/7)</f>
        <v>2</v>
      </c>
      <c r="AB84" s="3" t="s">
        <v>2120</v>
      </c>
      <c r="AC84" s="7">
        <v>93</v>
      </c>
      <c r="AD84" s="7">
        <v>0</v>
      </c>
      <c r="AE84" s="7">
        <v>0</v>
      </c>
      <c r="AF84" s="3" t="s">
        <v>48</v>
      </c>
      <c r="AG84" s="7">
        <v>2023</v>
      </c>
      <c r="AH84" s="3" t="s">
        <v>133</v>
      </c>
      <c r="AI84" s="3" t="s">
        <v>106</v>
      </c>
      <c r="AJ84" s="3" t="s">
        <v>48</v>
      </c>
      <c r="AK84" s="3" t="s">
        <v>1849</v>
      </c>
      <c r="AL84" s="3" t="s">
        <v>59</v>
      </c>
      <c r="AM84" s="3" t="s">
        <v>115</v>
      </c>
      <c r="AN84" s="3" t="s">
        <v>61</v>
      </c>
      <c r="AO84" s="3" t="s">
        <v>62</v>
      </c>
      <c r="AP84" s="3" t="s">
        <v>69</v>
      </c>
      <c r="AQ84" s="3" t="s">
        <v>61</v>
      </c>
      <c r="AR84" s="3" t="s">
        <v>48</v>
      </c>
    </row>
    <row r="85" spans="1:44" ht="30" customHeight="1">
      <c r="A85" s="3" t="s">
        <v>44</v>
      </c>
      <c r="B85" s="3" t="s">
        <v>45</v>
      </c>
      <c r="C85" s="3" t="s">
        <v>46</v>
      </c>
      <c r="D85" s="3" t="s">
        <v>130</v>
      </c>
      <c r="E85" s="3" t="s">
        <v>48</v>
      </c>
      <c r="F85" s="3" t="s">
        <v>131</v>
      </c>
      <c r="G85" s="3" t="s">
        <v>48</v>
      </c>
      <c r="H85" s="4">
        <f>IF(DATEDIF(L85,S85,"m")&gt;12,DATEDIF(L85,S85,"y"),(DATEDIF(L85,S85,"m")/12))</f>
        <v>61</v>
      </c>
      <c r="I85" s="7">
        <f>DATEDIF(L85,S85,"M")</f>
        <v>735</v>
      </c>
      <c r="J85" s="7">
        <f>DATEDIF(L85,S85,"D")</f>
        <v>22389</v>
      </c>
      <c r="K85" s="3" t="s">
        <v>51</v>
      </c>
      <c r="L85" s="8">
        <v>22545</v>
      </c>
      <c r="M85" s="3" t="s">
        <v>45</v>
      </c>
      <c r="N85" s="3" t="s">
        <v>83</v>
      </c>
      <c r="O85" s="3" t="s">
        <v>52</v>
      </c>
      <c r="P85" s="3" t="s">
        <v>169</v>
      </c>
      <c r="Q85" s="7">
        <v>0</v>
      </c>
      <c r="R85" s="8">
        <v>44939</v>
      </c>
      <c r="S85" s="8">
        <v>44934</v>
      </c>
      <c r="T85" s="3" t="s">
        <v>54</v>
      </c>
      <c r="U85" s="3" t="s">
        <v>55</v>
      </c>
      <c r="V85" s="9"/>
      <c r="W85" s="10">
        <v>44943</v>
      </c>
      <c r="X85" s="7">
        <v>4</v>
      </c>
      <c r="Y85" s="7">
        <v>5</v>
      </c>
      <c r="Z85" s="7">
        <v>1</v>
      </c>
      <c r="AA85" s="7">
        <f>INT((S85-DATE(YEAR(S85-WEEKDAY(S85-0)+4),1,4)+WEEKDAY(DATE(YEAR(S85-WEEKDAY(S85-0)+4),1,4))+6)/7)</f>
        <v>2</v>
      </c>
      <c r="AB85" s="3" t="s">
        <v>2176</v>
      </c>
      <c r="AC85" s="7">
        <v>98</v>
      </c>
      <c r="AD85" s="7">
        <v>0</v>
      </c>
      <c r="AE85" s="7">
        <v>0</v>
      </c>
      <c r="AF85" s="3" t="s">
        <v>48</v>
      </c>
      <c r="AG85" s="7">
        <v>2023</v>
      </c>
      <c r="AH85" s="3" t="s">
        <v>133</v>
      </c>
      <c r="AI85" s="3" t="s">
        <v>106</v>
      </c>
      <c r="AJ85" s="3" t="s">
        <v>48</v>
      </c>
      <c r="AK85" s="12" t="s">
        <v>140</v>
      </c>
      <c r="AL85" s="3" t="s">
        <v>59</v>
      </c>
      <c r="AM85" s="3" t="s">
        <v>48</v>
      </c>
      <c r="AN85" s="3" t="s">
        <v>61</v>
      </c>
      <c r="AO85" s="3" t="s">
        <v>62</v>
      </c>
      <c r="AP85" s="3" t="s">
        <v>69</v>
      </c>
      <c r="AQ85" s="3" t="s">
        <v>61</v>
      </c>
      <c r="AR85" s="3" t="s">
        <v>48</v>
      </c>
    </row>
    <row r="86" spans="1:44" ht="30" customHeight="1">
      <c r="A86" s="3" t="s">
        <v>44</v>
      </c>
      <c r="B86" s="3" t="s">
        <v>45</v>
      </c>
      <c r="C86" s="3" t="s">
        <v>46</v>
      </c>
      <c r="D86" s="3" t="s">
        <v>130</v>
      </c>
      <c r="E86" s="3" t="s">
        <v>48</v>
      </c>
      <c r="F86" s="3" t="s">
        <v>131</v>
      </c>
      <c r="G86" s="3" t="s">
        <v>48</v>
      </c>
      <c r="H86" s="4">
        <f>IF(DATEDIF(L86,S86,"m")&gt;12,DATEDIF(L86,S86,"y"),(DATEDIF(L86,S86,"m")/12))</f>
        <v>47</v>
      </c>
      <c r="I86" s="7">
        <f>DATEDIF(L86,S86,"M")</f>
        <v>574</v>
      </c>
      <c r="J86" s="7">
        <f>DATEDIF(L86,S86,"D")</f>
        <v>17487</v>
      </c>
      <c r="K86" s="3" t="s">
        <v>64</v>
      </c>
      <c r="L86" s="8">
        <v>27449</v>
      </c>
      <c r="M86" s="3" t="s">
        <v>45</v>
      </c>
      <c r="N86" s="3" t="s">
        <v>83</v>
      </c>
      <c r="O86" s="3" t="s">
        <v>52</v>
      </c>
      <c r="P86" s="3" t="s">
        <v>91</v>
      </c>
      <c r="Q86" s="7">
        <v>0</v>
      </c>
      <c r="R86" s="8">
        <v>44939</v>
      </c>
      <c r="S86" s="8">
        <v>44936</v>
      </c>
      <c r="T86" s="3" t="s">
        <v>54</v>
      </c>
      <c r="U86" s="3" t="s">
        <v>55</v>
      </c>
      <c r="V86" s="9"/>
      <c r="W86" s="10">
        <v>44943</v>
      </c>
      <c r="X86" s="7">
        <v>4</v>
      </c>
      <c r="Y86" s="7">
        <v>3</v>
      </c>
      <c r="Z86" s="7">
        <v>1</v>
      </c>
      <c r="AA86" s="7">
        <f>INT((S86-DATE(YEAR(S86-WEEKDAY(S86-0)+4),1,4)+WEEKDAY(DATE(YEAR(S86-WEEKDAY(S86-0)+4),1,4))+6)/7)</f>
        <v>2</v>
      </c>
      <c r="AB86" s="3" t="s">
        <v>2224</v>
      </c>
      <c r="AC86" s="7">
        <v>91</v>
      </c>
      <c r="AD86" s="7">
        <v>0</v>
      </c>
      <c r="AE86" s="7">
        <v>0</v>
      </c>
      <c r="AF86" s="3" t="s">
        <v>48</v>
      </c>
      <c r="AG86" s="7">
        <v>2023</v>
      </c>
      <c r="AH86" s="3" t="s">
        <v>133</v>
      </c>
      <c r="AI86" s="3" t="s">
        <v>106</v>
      </c>
      <c r="AJ86" s="3" t="s">
        <v>48</v>
      </c>
      <c r="AK86" s="12" t="s">
        <v>140</v>
      </c>
      <c r="AL86" s="3" t="s">
        <v>59</v>
      </c>
      <c r="AM86" s="3" t="s">
        <v>115</v>
      </c>
      <c r="AN86" s="3" t="s">
        <v>61</v>
      </c>
      <c r="AO86" s="3" t="s">
        <v>62</v>
      </c>
      <c r="AP86" s="3" t="s">
        <v>69</v>
      </c>
      <c r="AQ86" s="3" t="s">
        <v>61</v>
      </c>
      <c r="AR86" s="3" t="s">
        <v>48</v>
      </c>
    </row>
    <row r="87" spans="1:44" ht="30" customHeight="1">
      <c r="A87" s="3" t="s">
        <v>44</v>
      </c>
      <c r="B87" s="3" t="s">
        <v>45</v>
      </c>
      <c r="C87" s="3" t="s">
        <v>46</v>
      </c>
      <c r="D87" s="3" t="s">
        <v>130</v>
      </c>
      <c r="E87" s="3" t="s">
        <v>48</v>
      </c>
      <c r="F87" s="3" t="s">
        <v>131</v>
      </c>
      <c r="G87" s="3" t="s">
        <v>48</v>
      </c>
      <c r="H87" s="4">
        <f>IF(DATEDIF(L87,S87,"m")&gt;12,DATEDIF(L87,S87,"y"),(DATEDIF(L87,S87,"m")/12))</f>
        <v>2</v>
      </c>
      <c r="I87" s="7">
        <f>DATEDIF(L87,S87,"M")</f>
        <v>24</v>
      </c>
      <c r="J87" s="7">
        <f>DATEDIF(L87,S87,"D")</f>
        <v>748</v>
      </c>
      <c r="K87" s="3" t="s">
        <v>64</v>
      </c>
      <c r="L87" s="8">
        <v>44186</v>
      </c>
      <c r="M87" s="3" t="s">
        <v>45</v>
      </c>
      <c r="N87" s="3" t="s">
        <v>83</v>
      </c>
      <c r="O87" s="3" t="s">
        <v>52</v>
      </c>
      <c r="P87" s="3" t="s">
        <v>91</v>
      </c>
      <c r="Q87" s="7">
        <v>0</v>
      </c>
      <c r="R87" s="8">
        <v>44939</v>
      </c>
      <c r="S87" s="8">
        <v>44934</v>
      </c>
      <c r="T87" s="3" t="s">
        <v>54</v>
      </c>
      <c r="U87" s="3" t="s">
        <v>55</v>
      </c>
      <c r="V87" s="9"/>
      <c r="W87" s="10">
        <v>44943</v>
      </c>
      <c r="X87" s="7">
        <v>4</v>
      </c>
      <c r="Y87" s="7">
        <v>5</v>
      </c>
      <c r="Z87" s="7">
        <v>1</v>
      </c>
      <c r="AA87" s="7">
        <f>INT((S87-DATE(YEAR(S87-WEEKDAY(S87-0)+4),1,4)+WEEKDAY(DATE(YEAR(S87-WEEKDAY(S87-0)+4),1,4))+6)/7)</f>
        <v>2</v>
      </c>
      <c r="AB87" s="3" t="s">
        <v>2301</v>
      </c>
      <c r="AC87" s="7">
        <v>90</v>
      </c>
      <c r="AD87" s="7">
        <v>0</v>
      </c>
      <c r="AE87" s="7">
        <v>0</v>
      </c>
      <c r="AF87" s="3" t="s">
        <v>48</v>
      </c>
      <c r="AG87" s="7">
        <v>2023</v>
      </c>
      <c r="AH87" s="3" t="s">
        <v>133</v>
      </c>
      <c r="AI87" s="3" t="s">
        <v>106</v>
      </c>
      <c r="AJ87" s="3" t="s">
        <v>48</v>
      </c>
      <c r="AK87" s="12" t="s">
        <v>140</v>
      </c>
      <c r="AL87" s="3" t="s">
        <v>59</v>
      </c>
      <c r="AM87" s="3" t="s">
        <v>115</v>
      </c>
      <c r="AN87" s="3" t="s">
        <v>61</v>
      </c>
      <c r="AO87" s="3" t="s">
        <v>62</v>
      </c>
      <c r="AP87" s="3" t="s">
        <v>69</v>
      </c>
      <c r="AQ87" s="3" t="s">
        <v>61</v>
      </c>
      <c r="AR87" s="3" t="s">
        <v>48</v>
      </c>
    </row>
    <row r="88" spans="1:44" ht="30" customHeight="1">
      <c r="A88" s="3" t="s">
        <v>44</v>
      </c>
      <c r="B88" s="3" t="s">
        <v>45</v>
      </c>
      <c r="C88" s="3" t="s">
        <v>46</v>
      </c>
      <c r="D88" s="3" t="s">
        <v>130</v>
      </c>
      <c r="E88" s="3" t="s">
        <v>48</v>
      </c>
      <c r="F88" s="3" t="s">
        <v>131</v>
      </c>
      <c r="G88" s="3" t="s">
        <v>48</v>
      </c>
      <c r="H88" s="4">
        <f>IF(DATEDIF(L88,S88,"m")&gt;12,DATEDIF(L88,S88,"y"),(DATEDIF(L88,S88,"m")/12))</f>
        <v>61</v>
      </c>
      <c r="I88" s="7">
        <f>DATEDIF(L88,S88,"M")</f>
        <v>734</v>
      </c>
      <c r="J88" s="7">
        <f>DATEDIF(L88,S88,"D")</f>
        <v>22366</v>
      </c>
      <c r="K88" s="3" t="s">
        <v>64</v>
      </c>
      <c r="L88" s="8">
        <v>22564</v>
      </c>
      <c r="M88" s="3" t="s">
        <v>45</v>
      </c>
      <c r="N88" s="3" t="s">
        <v>83</v>
      </c>
      <c r="O88" s="3" t="s">
        <v>52</v>
      </c>
      <c r="P88" s="3" t="s">
        <v>712</v>
      </c>
      <c r="Q88" s="7">
        <v>0</v>
      </c>
      <c r="R88" s="8">
        <v>44935</v>
      </c>
      <c r="S88" s="8">
        <v>44930</v>
      </c>
      <c r="T88" s="3" t="s">
        <v>54</v>
      </c>
      <c r="U88" s="3" t="s">
        <v>55</v>
      </c>
      <c r="V88" s="9"/>
      <c r="W88" s="10">
        <v>44943</v>
      </c>
      <c r="X88" s="7">
        <v>8</v>
      </c>
      <c r="Y88" s="7">
        <v>5</v>
      </c>
      <c r="Z88" s="7">
        <v>1</v>
      </c>
      <c r="AA88" s="7">
        <f>INT((S88-DATE(YEAR(S88-WEEKDAY(S88-0)+4),1,4)+WEEKDAY(DATE(YEAR(S88-WEEKDAY(S88-0)+4),1,4))+6)/7)</f>
        <v>1</v>
      </c>
      <c r="AB88" s="3" t="s">
        <v>2302</v>
      </c>
      <c r="AC88" s="7">
        <v>87</v>
      </c>
      <c r="AD88" s="7">
        <v>0</v>
      </c>
      <c r="AE88" s="7">
        <v>0</v>
      </c>
      <c r="AF88" s="3" t="s">
        <v>48</v>
      </c>
      <c r="AG88" s="7">
        <v>2023</v>
      </c>
      <c r="AH88" s="18" t="s">
        <v>133</v>
      </c>
      <c r="AI88" s="3" t="s">
        <v>106</v>
      </c>
      <c r="AJ88" s="3" t="s">
        <v>48</v>
      </c>
      <c r="AK88" s="12" t="s">
        <v>140</v>
      </c>
      <c r="AL88" s="3" t="s">
        <v>59</v>
      </c>
      <c r="AM88" s="3" t="s">
        <v>115</v>
      </c>
      <c r="AN88" s="3" t="s">
        <v>61</v>
      </c>
      <c r="AO88" s="3" t="s">
        <v>62</v>
      </c>
      <c r="AP88" s="3" t="s">
        <v>69</v>
      </c>
      <c r="AQ88" s="3" t="s">
        <v>61</v>
      </c>
      <c r="AR88" s="3" t="s">
        <v>48</v>
      </c>
    </row>
    <row r="89" spans="1:44" ht="30" customHeight="1">
      <c r="A89" s="3" t="s">
        <v>44</v>
      </c>
      <c r="B89" s="3" t="s">
        <v>45</v>
      </c>
      <c r="C89" s="3" t="s">
        <v>46</v>
      </c>
      <c r="D89" s="3" t="s">
        <v>130</v>
      </c>
      <c r="E89" s="3" t="s">
        <v>48</v>
      </c>
      <c r="F89" s="3" t="s">
        <v>131</v>
      </c>
      <c r="G89" s="3" t="s">
        <v>48</v>
      </c>
      <c r="H89" s="4">
        <f>IF(DATEDIF(L89,S89,"m")&gt;12,DATEDIF(L89,S89,"y"),(DATEDIF(L89,S89,"m")/12))</f>
        <v>62</v>
      </c>
      <c r="I89" s="7">
        <f>DATEDIF(L89,S89,"M")</f>
        <v>747</v>
      </c>
      <c r="J89" s="7">
        <f>DATEDIF(L89,S89,"D")</f>
        <v>22759</v>
      </c>
      <c r="K89" s="3" t="s">
        <v>64</v>
      </c>
      <c r="L89" s="8">
        <v>22174</v>
      </c>
      <c r="M89" s="3" t="s">
        <v>45</v>
      </c>
      <c r="N89" s="3" t="s">
        <v>83</v>
      </c>
      <c r="O89" s="3" t="s">
        <v>52</v>
      </c>
      <c r="P89" s="3" t="s">
        <v>169</v>
      </c>
      <c r="Q89" s="7">
        <v>0</v>
      </c>
      <c r="R89" s="8">
        <v>44935</v>
      </c>
      <c r="S89" s="8">
        <v>44933</v>
      </c>
      <c r="T89" s="3" t="s">
        <v>54</v>
      </c>
      <c r="U89" s="3" t="s">
        <v>55</v>
      </c>
      <c r="V89" s="9"/>
      <c r="W89" s="10">
        <v>44943</v>
      </c>
      <c r="X89" s="7">
        <v>8</v>
      </c>
      <c r="Y89" s="7">
        <v>2</v>
      </c>
      <c r="Z89" s="7">
        <v>1</v>
      </c>
      <c r="AA89" s="7">
        <f>INT((S89-DATE(YEAR(S89-WEEKDAY(S89-0)+4),1,4)+WEEKDAY(DATE(YEAR(S89-WEEKDAY(S89-0)+4),1,4))+6)/7)</f>
        <v>1</v>
      </c>
      <c r="AB89" s="3" t="s">
        <v>2516</v>
      </c>
      <c r="AC89" s="7">
        <v>88</v>
      </c>
      <c r="AD89" s="7">
        <v>0</v>
      </c>
      <c r="AE89" s="7">
        <v>0</v>
      </c>
      <c r="AF89" s="3" t="s">
        <v>48</v>
      </c>
      <c r="AG89" s="7">
        <v>2023</v>
      </c>
      <c r="AH89" s="3" t="s">
        <v>133</v>
      </c>
      <c r="AI89" s="3" t="s">
        <v>106</v>
      </c>
      <c r="AJ89" s="3" t="s">
        <v>48</v>
      </c>
      <c r="AK89" s="3" t="s">
        <v>154</v>
      </c>
      <c r="AL89" s="3" t="s">
        <v>59</v>
      </c>
      <c r="AM89" s="3" t="s">
        <v>115</v>
      </c>
      <c r="AN89" s="3" t="s">
        <v>61</v>
      </c>
      <c r="AO89" s="3" t="s">
        <v>62</v>
      </c>
      <c r="AP89" s="3" t="s">
        <v>69</v>
      </c>
      <c r="AQ89" s="3" t="s">
        <v>61</v>
      </c>
      <c r="AR89" s="3" t="s">
        <v>48</v>
      </c>
    </row>
    <row r="90" spans="1:44" ht="30" customHeight="1">
      <c r="A90" s="3" t="s">
        <v>44</v>
      </c>
      <c r="B90" s="3" t="s">
        <v>45</v>
      </c>
      <c r="C90" s="3" t="s">
        <v>46</v>
      </c>
      <c r="D90" s="3" t="s">
        <v>130</v>
      </c>
      <c r="E90" s="3" t="s">
        <v>48</v>
      </c>
      <c r="F90" s="3" t="s">
        <v>135</v>
      </c>
      <c r="G90" s="3" t="s">
        <v>1788</v>
      </c>
      <c r="H90" s="5">
        <f>IF(DATEDIF(L90,S90,"m")&gt;12,DATEDIF(L90,S90,"y"),(DATEDIF(L90,S90,"m")/12))</f>
        <v>0.83333333333333337</v>
      </c>
      <c r="I90" s="7">
        <f>DATEDIF(L90,S90,"M")</f>
        <v>10</v>
      </c>
      <c r="J90" s="7">
        <f>DATEDIF(L90,S90,"D")</f>
        <v>312</v>
      </c>
      <c r="K90" s="3" t="s">
        <v>51</v>
      </c>
      <c r="L90" s="8">
        <v>44629</v>
      </c>
      <c r="M90" s="3" t="s">
        <v>45</v>
      </c>
      <c r="N90" s="3" t="s">
        <v>83</v>
      </c>
      <c r="O90" s="3" t="s">
        <v>52</v>
      </c>
      <c r="P90" s="3" t="s">
        <v>169</v>
      </c>
      <c r="Q90" s="7">
        <v>0</v>
      </c>
      <c r="R90" s="8">
        <v>44945</v>
      </c>
      <c r="S90" s="8">
        <v>44941</v>
      </c>
      <c r="T90" s="3" t="s">
        <v>54</v>
      </c>
      <c r="U90" s="3" t="s">
        <v>55</v>
      </c>
      <c r="V90" s="9"/>
      <c r="W90" s="10">
        <v>44945</v>
      </c>
      <c r="X90" s="7">
        <v>0</v>
      </c>
      <c r="Y90" s="7">
        <v>4</v>
      </c>
      <c r="Z90" s="7">
        <v>1</v>
      </c>
      <c r="AA90" s="7">
        <f>INT((S90-DATE(YEAR(S90-WEEKDAY(S90-0)+4),1,4)+WEEKDAY(DATE(YEAR(S90-WEEKDAY(S90-0)+4),1,4))+6)/7)</f>
        <v>3</v>
      </c>
      <c r="AB90" s="3" t="s">
        <v>1789</v>
      </c>
      <c r="AC90" s="7">
        <v>82</v>
      </c>
      <c r="AD90" s="7">
        <v>0</v>
      </c>
      <c r="AE90" s="7">
        <v>0</v>
      </c>
      <c r="AF90" s="3" t="s">
        <v>48</v>
      </c>
      <c r="AG90" s="7">
        <v>2023</v>
      </c>
      <c r="AH90" s="3" t="s">
        <v>139</v>
      </c>
      <c r="AI90" s="3" t="s">
        <v>113</v>
      </c>
      <c r="AJ90" s="3" t="s">
        <v>48</v>
      </c>
      <c r="AK90" s="3" t="s">
        <v>409</v>
      </c>
      <c r="AL90" s="3" t="s">
        <v>59</v>
      </c>
      <c r="AM90" s="3" t="s">
        <v>60</v>
      </c>
      <c r="AN90" s="3" t="s">
        <v>61</v>
      </c>
      <c r="AO90" s="3" t="s">
        <v>62</v>
      </c>
      <c r="AP90" s="3" t="s">
        <v>69</v>
      </c>
      <c r="AQ90" s="3" t="s">
        <v>61</v>
      </c>
      <c r="AR90" s="3" t="s">
        <v>48</v>
      </c>
    </row>
    <row r="91" spans="1:44" ht="30" customHeight="1">
      <c r="A91" s="3" t="s">
        <v>44</v>
      </c>
      <c r="B91" s="3" t="s">
        <v>45</v>
      </c>
      <c r="C91" s="3" t="s">
        <v>121</v>
      </c>
      <c r="D91" s="3" t="s">
        <v>121</v>
      </c>
      <c r="E91" s="3" t="s">
        <v>48</v>
      </c>
      <c r="F91" s="3" t="s">
        <v>449</v>
      </c>
      <c r="G91" s="3" t="s">
        <v>1999</v>
      </c>
      <c r="H91" s="4">
        <f>IF(DATEDIF(L91,S91,"m")&gt;12,DATEDIF(L91,S91,"y"),(DATEDIF(L91,S91,"m")/12))</f>
        <v>68</v>
      </c>
      <c r="I91" s="7">
        <f>DATEDIF(L91,S91,"M")</f>
        <v>823</v>
      </c>
      <c r="J91" s="7">
        <f>DATEDIF(L91,S91,"D")</f>
        <v>25055</v>
      </c>
      <c r="K91" s="3" t="s">
        <v>51</v>
      </c>
      <c r="L91" s="8">
        <v>19886</v>
      </c>
      <c r="M91" s="3" t="s">
        <v>45</v>
      </c>
      <c r="N91" s="3" t="s">
        <v>187</v>
      </c>
      <c r="O91" s="3" t="s">
        <v>52</v>
      </c>
      <c r="P91" s="3" t="s">
        <v>1701</v>
      </c>
      <c r="Q91" s="7">
        <v>1</v>
      </c>
      <c r="R91" s="8">
        <v>44944</v>
      </c>
      <c r="S91" s="8">
        <v>44941</v>
      </c>
      <c r="T91" s="3" t="s">
        <v>54</v>
      </c>
      <c r="U91" s="3" t="s">
        <v>55</v>
      </c>
      <c r="V91" s="9"/>
      <c r="W91" s="10">
        <v>44945</v>
      </c>
      <c r="X91" s="7">
        <v>1</v>
      </c>
      <c r="Y91" s="7">
        <v>3</v>
      </c>
      <c r="Z91" s="7">
        <v>1</v>
      </c>
      <c r="AA91" s="7">
        <f>INT((S91-DATE(YEAR(S91-WEEKDAY(S91-0)+4),1,4)+WEEKDAY(DATE(YEAR(S91-WEEKDAY(S91-0)+4),1,4))+6)/7)</f>
        <v>3</v>
      </c>
      <c r="AB91" s="3" t="s">
        <v>2000</v>
      </c>
      <c r="AC91" s="7">
        <v>39145</v>
      </c>
      <c r="AD91" s="7">
        <v>0</v>
      </c>
      <c r="AE91" s="7">
        <v>1</v>
      </c>
      <c r="AF91" s="3" t="s">
        <v>48</v>
      </c>
      <c r="AG91" s="7">
        <v>2023</v>
      </c>
      <c r="AH91" s="12" t="s">
        <v>452</v>
      </c>
      <c r="AI91" s="3" t="s">
        <v>453</v>
      </c>
      <c r="AJ91" s="3" t="s">
        <v>48</v>
      </c>
      <c r="AK91" s="3" t="s">
        <v>1283</v>
      </c>
      <c r="AL91" s="3" t="s">
        <v>59</v>
      </c>
      <c r="AM91" s="3" t="s">
        <v>60</v>
      </c>
      <c r="AN91" s="3" t="s">
        <v>61</v>
      </c>
      <c r="AO91" s="3" t="s">
        <v>62</v>
      </c>
      <c r="AP91" s="3" t="s">
        <v>69</v>
      </c>
      <c r="AQ91" s="3" t="s">
        <v>61</v>
      </c>
      <c r="AR91" s="3" t="s">
        <v>48</v>
      </c>
    </row>
    <row r="92" spans="1:44" ht="30" customHeight="1">
      <c r="A92" s="3" t="s">
        <v>44</v>
      </c>
      <c r="B92" s="3" t="s">
        <v>45</v>
      </c>
      <c r="C92" s="3" t="s">
        <v>46</v>
      </c>
      <c r="D92" s="3" t="s">
        <v>130</v>
      </c>
      <c r="E92" s="3" t="s">
        <v>48</v>
      </c>
      <c r="F92" s="3" t="s">
        <v>131</v>
      </c>
      <c r="G92" s="3" t="s">
        <v>48</v>
      </c>
      <c r="H92" s="4">
        <f>IF(DATEDIF(L92,S92,"m")&gt;12,DATEDIF(L92,S92,"y"),(DATEDIF(L92,S92,"m")/12))</f>
        <v>2</v>
      </c>
      <c r="I92" s="7">
        <f>DATEDIF(L92,S92,"M")</f>
        <v>34</v>
      </c>
      <c r="J92" s="7">
        <f>DATEDIF(L92,S92,"D")</f>
        <v>1052</v>
      </c>
      <c r="K92" s="3" t="s">
        <v>64</v>
      </c>
      <c r="L92" s="8">
        <v>43888</v>
      </c>
      <c r="M92" s="3" t="s">
        <v>45</v>
      </c>
      <c r="N92" s="3" t="s">
        <v>83</v>
      </c>
      <c r="O92" s="3" t="s">
        <v>52</v>
      </c>
      <c r="P92" s="3" t="s">
        <v>287</v>
      </c>
      <c r="Q92" s="7">
        <v>0</v>
      </c>
      <c r="R92" s="8">
        <v>44942</v>
      </c>
      <c r="S92" s="8">
        <v>44940</v>
      </c>
      <c r="T92" s="3" t="s">
        <v>54</v>
      </c>
      <c r="U92" s="3" t="s">
        <v>55</v>
      </c>
      <c r="V92" s="9"/>
      <c r="W92" s="10">
        <v>44946</v>
      </c>
      <c r="X92" s="7">
        <v>4</v>
      </c>
      <c r="Y92" s="7">
        <v>2</v>
      </c>
      <c r="Z92" s="7">
        <v>1</v>
      </c>
      <c r="AA92" s="7">
        <f>INT((S92-DATE(YEAR(S92-WEEKDAY(S92-0)+4),1,4)+WEEKDAY(DATE(YEAR(S92-WEEKDAY(S92-0)+4),1,4))+6)/7)</f>
        <v>2</v>
      </c>
      <c r="AB92" s="3" t="s">
        <v>288</v>
      </c>
      <c r="AC92" s="7">
        <v>82</v>
      </c>
      <c r="AD92" s="7">
        <v>0</v>
      </c>
      <c r="AE92" s="7">
        <v>0</v>
      </c>
      <c r="AF92" s="3" t="s">
        <v>48</v>
      </c>
      <c r="AG92" s="7">
        <v>2023</v>
      </c>
      <c r="AH92" s="3" t="s">
        <v>133</v>
      </c>
      <c r="AI92" s="3" t="s">
        <v>106</v>
      </c>
      <c r="AJ92" s="3" t="s">
        <v>48</v>
      </c>
      <c r="AK92" s="12" t="s">
        <v>140</v>
      </c>
      <c r="AL92" s="3" t="s">
        <v>59</v>
      </c>
      <c r="AM92" s="3" t="s">
        <v>115</v>
      </c>
      <c r="AN92" s="3" t="s">
        <v>61</v>
      </c>
      <c r="AO92" s="3" t="s">
        <v>62</v>
      </c>
      <c r="AP92" s="3" t="s">
        <v>69</v>
      </c>
      <c r="AQ92" s="3" t="s">
        <v>61</v>
      </c>
      <c r="AR92" s="3" t="s">
        <v>48</v>
      </c>
    </row>
    <row r="93" spans="1:44" ht="30" customHeight="1">
      <c r="A93" s="3" t="s">
        <v>44</v>
      </c>
      <c r="B93" s="3" t="s">
        <v>45</v>
      </c>
      <c r="C93" s="3" t="s">
        <v>46</v>
      </c>
      <c r="D93" s="3" t="s">
        <v>130</v>
      </c>
      <c r="E93" s="3" t="s">
        <v>48</v>
      </c>
      <c r="F93" s="3" t="s">
        <v>131</v>
      </c>
      <c r="G93" s="3" t="s">
        <v>48</v>
      </c>
      <c r="H93" s="4">
        <f>IF(DATEDIF(L93,S93,"m")&gt;12,DATEDIF(L93,S93,"y"),(DATEDIF(L93,S93,"m")/12))</f>
        <v>34</v>
      </c>
      <c r="I93" s="7">
        <f>DATEDIF(L93,S93,"M")</f>
        <v>413</v>
      </c>
      <c r="J93" s="7">
        <f>DATEDIF(L93,S93,"D")</f>
        <v>12593</v>
      </c>
      <c r="K93" s="3" t="s">
        <v>64</v>
      </c>
      <c r="L93" s="8">
        <v>32347</v>
      </c>
      <c r="M93" s="3" t="s">
        <v>45</v>
      </c>
      <c r="N93" s="3" t="s">
        <v>83</v>
      </c>
      <c r="O93" s="3" t="s">
        <v>52</v>
      </c>
      <c r="P93" s="3" t="s">
        <v>287</v>
      </c>
      <c r="Q93" s="7">
        <v>0</v>
      </c>
      <c r="R93" s="8">
        <v>44942</v>
      </c>
      <c r="S93" s="8">
        <v>44940</v>
      </c>
      <c r="T93" s="3" t="s">
        <v>54</v>
      </c>
      <c r="U93" s="3" t="s">
        <v>55</v>
      </c>
      <c r="V93" s="9"/>
      <c r="W93" s="10">
        <v>44946</v>
      </c>
      <c r="X93" s="7">
        <v>4</v>
      </c>
      <c r="Y93" s="7">
        <v>2</v>
      </c>
      <c r="Z93" s="7">
        <v>1</v>
      </c>
      <c r="AA93" s="7">
        <f>INT((S93-DATE(YEAR(S93-WEEKDAY(S93-0)+4),1,4)+WEEKDAY(DATE(YEAR(S93-WEEKDAY(S93-0)+4),1,4))+6)/7)</f>
        <v>2</v>
      </c>
      <c r="AB93" s="3" t="s">
        <v>289</v>
      </c>
      <c r="AC93" s="7">
        <v>83</v>
      </c>
      <c r="AD93" s="7">
        <v>0</v>
      </c>
      <c r="AE93" s="7">
        <v>0</v>
      </c>
      <c r="AF93" s="3" t="s">
        <v>48</v>
      </c>
      <c r="AG93" s="7">
        <v>2023</v>
      </c>
      <c r="AH93" s="3" t="s">
        <v>133</v>
      </c>
      <c r="AI93" s="3" t="s">
        <v>106</v>
      </c>
      <c r="AJ93" s="3" t="s">
        <v>48</v>
      </c>
      <c r="AK93" s="12" t="s">
        <v>140</v>
      </c>
      <c r="AL93" s="3" t="s">
        <v>59</v>
      </c>
      <c r="AM93" s="3" t="s">
        <v>115</v>
      </c>
      <c r="AN93" s="3" t="s">
        <v>61</v>
      </c>
      <c r="AO93" s="3" t="s">
        <v>62</v>
      </c>
      <c r="AP93" s="3" t="s">
        <v>69</v>
      </c>
      <c r="AQ93" s="3" t="s">
        <v>61</v>
      </c>
      <c r="AR93" s="3" t="s">
        <v>48</v>
      </c>
    </row>
    <row r="94" spans="1:44" ht="30" customHeight="1">
      <c r="A94" s="3" t="s">
        <v>44</v>
      </c>
      <c r="B94" s="3" t="s">
        <v>45</v>
      </c>
      <c r="C94" s="3" t="s">
        <v>46</v>
      </c>
      <c r="D94" s="3" t="s">
        <v>130</v>
      </c>
      <c r="E94" s="3" t="s">
        <v>48</v>
      </c>
      <c r="F94" s="3" t="s">
        <v>131</v>
      </c>
      <c r="G94" s="3" t="s">
        <v>48</v>
      </c>
      <c r="H94" s="4">
        <f>IF(DATEDIF(L94,S94,"m")&gt;12,DATEDIF(L94,S94,"y"),(DATEDIF(L94,S94,"m")/12))</f>
        <v>1</v>
      </c>
      <c r="I94" s="7">
        <f>DATEDIF(L94,S94,"M")</f>
        <v>21</v>
      </c>
      <c r="J94" s="7">
        <f>DATEDIF(L94,S94,"D")</f>
        <v>666</v>
      </c>
      <c r="K94" s="3" t="s">
        <v>51</v>
      </c>
      <c r="L94" s="8">
        <v>44304</v>
      </c>
      <c r="M94" s="3" t="s">
        <v>45</v>
      </c>
      <c r="N94" s="3" t="s">
        <v>83</v>
      </c>
      <c r="O94" s="3" t="s">
        <v>52</v>
      </c>
      <c r="P94" s="3" t="s">
        <v>287</v>
      </c>
      <c r="Q94" s="7">
        <v>0</v>
      </c>
      <c r="R94" s="8">
        <v>44977</v>
      </c>
      <c r="S94" s="8">
        <v>44970</v>
      </c>
      <c r="T94" s="3" t="s">
        <v>54</v>
      </c>
      <c r="U94" s="3" t="s">
        <v>55</v>
      </c>
      <c r="V94" s="9"/>
      <c r="W94" s="10">
        <v>44946</v>
      </c>
      <c r="X94" s="7">
        <v>2</v>
      </c>
      <c r="Y94" s="7">
        <v>7</v>
      </c>
      <c r="Z94" s="7">
        <v>2</v>
      </c>
      <c r="AA94" s="7">
        <f>INT((S94-DATE(YEAR(S94-WEEKDAY(S94-0)+4),1,4)+WEEKDAY(DATE(YEAR(S94-WEEKDAY(S94-0)+4),1,4))+6)/7)</f>
        <v>7</v>
      </c>
      <c r="AB94" s="3" t="s">
        <v>478</v>
      </c>
      <c r="AC94" s="7">
        <v>81</v>
      </c>
      <c r="AD94" s="7">
        <v>0</v>
      </c>
      <c r="AE94" s="7">
        <v>0</v>
      </c>
      <c r="AF94" s="3" t="s">
        <v>48</v>
      </c>
      <c r="AG94" s="7">
        <v>2023</v>
      </c>
      <c r="AH94" s="3" t="s">
        <v>133</v>
      </c>
      <c r="AI94" s="3" t="s">
        <v>106</v>
      </c>
      <c r="AJ94" s="3" t="s">
        <v>48</v>
      </c>
      <c r="AK94" s="12" t="s">
        <v>140</v>
      </c>
      <c r="AL94" s="3" t="s">
        <v>59</v>
      </c>
      <c r="AM94" s="3" t="s">
        <v>115</v>
      </c>
      <c r="AN94" s="3" t="s">
        <v>61</v>
      </c>
      <c r="AO94" s="3" t="s">
        <v>62</v>
      </c>
      <c r="AP94" s="3" t="s">
        <v>69</v>
      </c>
      <c r="AQ94" s="3" t="s">
        <v>61</v>
      </c>
      <c r="AR94" s="3" t="s">
        <v>48</v>
      </c>
    </row>
    <row r="95" spans="1:44" ht="30" customHeight="1">
      <c r="A95" s="3" t="s">
        <v>44</v>
      </c>
      <c r="B95" s="3" t="s">
        <v>45</v>
      </c>
      <c r="C95" s="3" t="s">
        <v>46</v>
      </c>
      <c r="D95" s="3" t="s">
        <v>130</v>
      </c>
      <c r="E95" s="3" t="s">
        <v>48</v>
      </c>
      <c r="F95" s="3" t="s">
        <v>131</v>
      </c>
      <c r="G95" s="3" t="s">
        <v>48</v>
      </c>
      <c r="H95" s="4">
        <f>IF(DATEDIF(L95,S95,"m")&gt;12,DATEDIF(L95,S95,"y"),(DATEDIF(L95,S95,"m")/12))</f>
        <v>1</v>
      </c>
      <c r="I95" s="7">
        <f>DATEDIF(L95,S95,"M")</f>
        <v>20</v>
      </c>
      <c r="J95" s="7">
        <f>DATEDIF(L95,S95,"D")</f>
        <v>636</v>
      </c>
      <c r="K95" s="3" t="s">
        <v>51</v>
      </c>
      <c r="L95" s="8">
        <v>44304</v>
      </c>
      <c r="M95" s="3" t="s">
        <v>45</v>
      </c>
      <c r="N95" s="3" t="s">
        <v>83</v>
      </c>
      <c r="O95" s="3" t="s">
        <v>52</v>
      </c>
      <c r="P95" s="3" t="s">
        <v>287</v>
      </c>
      <c r="Q95" s="7">
        <v>0</v>
      </c>
      <c r="R95" s="8">
        <v>44942</v>
      </c>
      <c r="S95" s="8">
        <v>44940</v>
      </c>
      <c r="T95" s="3" t="s">
        <v>54</v>
      </c>
      <c r="U95" s="3" t="s">
        <v>55</v>
      </c>
      <c r="V95" s="9"/>
      <c r="W95" s="10">
        <v>44946</v>
      </c>
      <c r="X95" s="7">
        <v>4</v>
      </c>
      <c r="Y95" s="7">
        <v>2</v>
      </c>
      <c r="Z95" s="7">
        <v>1</v>
      </c>
      <c r="AA95" s="7">
        <f>INT((S95-DATE(YEAR(S95-WEEKDAY(S95-0)+4),1,4)+WEEKDAY(DATE(YEAR(S95-WEEKDAY(S95-0)+4),1,4))+6)/7)</f>
        <v>2</v>
      </c>
      <c r="AB95" s="3" t="s">
        <v>478</v>
      </c>
      <c r="AC95" s="7">
        <v>81</v>
      </c>
      <c r="AD95" s="7">
        <v>0</v>
      </c>
      <c r="AE95" s="7">
        <v>0</v>
      </c>
      <c r="AF95" s="3" t="s">
        <v>48</v>
      </c>
      <c r="AG95" s="7">
        <v>2023</v>
      </c>
      <c r="AH95" s="3" t="s">
        <v>133</v>
      </c>
      <c r="AI95" s="3" t="s">
        <v>106</v>
      </c>
      <c r="AJ95" s="3" t="s">
        <v>48</v>
      </c>
      <c r="AK95" s="12" t="s">
        <v>140</v>
      </c>
      <c r="AL95" s="3" t="s">
        <v>59</v>
      </c>
      <c r="AM95" s="3" t="s">
        <v>115</v>
      </c>
      <c r="AN95" s="3" t="s">
        <v>61</v>
      </c>
      <c r="AO95" s="3" t="s">
        <v>62</v>
      </c>
      <c r="AP95" s="3" t="s">
        <v>69</v>
      </c>
      <c r="AQ95" s="3" t="s">
        <v>61</v>
      </c>
      <c r="AR95" s="3" t="s">
        <v>48</v>
      </c>
    </row>
    <row r="96" spans="1:44" ht="30" customHeight="1">
      <c r="A96" s="3" t="s">
        <v>44</v>
      </c>
      <c r="B96" s="3" t="s">
        <v>45</v>
      </c>
      <c r="C96" s="3" t="s">
        <v>80</v>
      </c>
      <c r="D96" s="3" t="s">
        <v>81</v>
      </c>
      <c r="E96" s="3" t="s">
        <v>48</v>
      </c>
      <c r="F96" s="3" t="s">
        <v>81</v>
      </c>
      <c r="G96" s="3" t="s">
        <v>715</v>
      </c>
      <c r="H96" s="5">
        <f>IF(DATEDIF(L96,S96,"m")&gt;12,DATEDIF(L96,S96,"y"),(DATEDIF(L96,S96,"m")/12))</f>
        <v>0.33333333333333331</v>
      </c>
      <c r="I96" s="7">
        <f>DATEDIF(L96,S96,"M")</f>
        <v>4</v>
      </c>
      <c r="J96" s="7">
        <f>DATEDIF(L96,S96,"D")</f>
        <v>130</v>
      </c>
      <c r="K96" s="3" t="s">
        <v>64</v>
      </c>
      <c r="L96" s="8">
        <v>44807</v>
      </c>
      <c r="M96" s="3" t="s">
        <v>45</v>
      </c>
      <c r="N96" s="3" t="s">
        <v>49</v>
      </c>
      <c r="O96" s="3" t="s">
        <v>52</v>
      </c>
      <c r="P96" s="3" t="s">
        <v>225</v>
      </c>
      <c r="Q96" s="7">
        <v>1</v>
      </c>
      <c r="R96" s="8">
        <v>44938</v>
      </c>
      <c r="S96" s="8">
        <v>44937</v>
      </c>
      <c r="T96" s="3" t="s">
        <v>54</v>
      </c>
      <c r="U96" s="3" t="s">
        <v>55</v>
      </c>
      <c r="V96" s="9"/>
      <c r="W96" s="10">
        <v>44946</v>
      </c>
      <c r="X96" s="7">
        <v>8</v>
      </c>
      <c r="Y96" s="7">
        <v>1</v>
      </c>
      <c r="Z96" s="7">
        <v>1</v>
      </c>
      <c r="AA96" s="7">
        <f>INT((S96-DATE(YEAR(S96-WEEKDAY(S96-0)+4),1,4)+WEEKDAY(DATE(YEAR(S96-WEEKDAY(S96-0)+4),1,4))+6)/7)</f>
        <v>2</v>
      </c>
      <c r="AB96" s="3" t="s">
        <v>716</v>
      </c>
      <c r="AC96" s="7">
        <v>13876</v>
      </c>
      <c r="AD96" s="7">
        <v>0</v>
      </c>
      <c r="AE96" s="7">
        <v>0</v>
      </c>
      <c r="AF96" s="3" t="s">
        <v>48</v>
      </c>
      <c r="AG96" s="7">
        <v>2023</v>
      </c>
      <c r="AH96" s="3" t="s">
        <v>86</v>
      </c>
      <c r="AI96" s="3" t="s">
        <v>48</v>
      </c>
      <c r="AJ96" s="3" t="s">
        <v>48</v>
      </c>
      <c r="AK96" s="3" t="s">
        <v>717</v>
      </c>
      <c r="AL96" s="3" t="s">
        <v>59</v>
      </c>
      <c r="AM96" s="3" t="s">
        <v>60</v>
      </c>
      <c r="AN96" s="3" t="s">
        <v>69</v>
      </c>
      <c r="AO96" s="3" t="s">
        <v>62</v>
      </c>
      <c r="AP96" s="3" t="s">
        <v>69</v>
      </c>
      <c r="AQ96" s="3" t="s">
        <v>61</v>
      </c>
      <c r="AR96" s="3" t="s">
        <v>48</v>
      </c>
    </row>
    <row r="97" spans="1:44" ht="30" customHeight="1">
      <c r="A97" s="3" t="s">
        <v>44</v>
      </c>
      <c r="B97" s="3" t="s">
        <v>45</v>
      </c>
      <c r="C97" s="3" t="s">
        <v>46</v>
      </c>
      <c r="D97" s="3" t="s">
        <v>130</v>
      </c>
      <c r="E97" s="3" t="s">
        <v>48</v>
      </c>
      <c r="F97" s="3" t="s">
        <v>131</v>
      </c>
      <c r="G97" s="3" t="s">
        <v>48</v>
      </c>
      <c r="H97" s="4">
        <f>IF(DATEDIF(L97,S97,"m")&gt;12,DATEDIF(L97,S97,"y"),(DATEDIF(L97,S97,"m")/12))</f>
        <v>1</v>
      </c>
      <c r="I97" s="7">
        <f>DATEDIF(L97,S97,"M")</f>
        <v>18</v>
      </c>
      <c r="J97" s="7">
        <f>DATEDIF(L97,S97,"D")</f>
        <v>574</v>
      </c>
      <c r="K97" s="3" t="s">
        <v>51</v>
      </c>
      <c r="L97" s="8">
        <v>44365</v>
      </c>
      <c r="M97" s="3" t="s">
        <v>45</v>
      </c>
      <c r="N97" s="3" t="s">
        <v>83</v>
      </c>
      <c r="O97" s="3" t="s">
        <v>52</v>
      </c>
      <c r="P97" s="3" t="s">
        <v>368</v>
      </c>
      <c r="Q97" s="7">
        <v>0</v>
      </c>
      <c r="R97" s="8">
        <v>44942</v>
      </c>
      <c r="S97" s="8">
        <v>44939</v>
      </c>
      <c r="T97" s="3" t="s">
        <v>54</v>
      </c>
      <c r="U97" s="3" t="s">
        <v>55</v>
      </c>
      <c r="V97" s="9"/>
      <c r="W97" s="10">
        <v>44946</v>
      </c>
      <c r="X97" s="7">
        <v>4</v>
      </c>
      <c r="Y97" s="7">
        <v>3</v>
      </c>
      <c r="Z97" s="7">
        <v>1</v>
      </c>
      <c r="AA97" s="7">
        <f>INT((S97-DATE(YEAR(S97-WEEKDAY(S97-0)+4),1,4)+WEEKDAY(DATE(YEAR(S97-WEEKDAY(S97-0)+4),1,4))+6)/7)</f>
        <v>2</v>
      </c>
      <c r="AB97" s="3" t="s">
        <v>744</v>
      </c>
      <c r="AC97" s="7">
        <v>85</v>
      </c>
      <c r="AD97" s="7">
        <v>0</v>
      </c>
      <c r="AE97" s="7">
        <v>0</v>
      </c>
      <c r="AF97" s="3" t="s">
        <v>48</v>
      </c>
      <c r="AG97" s="7">
        <v>2023</v>
      </c>
      <c r="AH97" s="3" t="s">
        <v>133</v>
      </c>
      <c r="AI97" s="3" t="s">
        <v>106</v>
      </c>
      <c r="AJ97" s="3" t="s">
        <v>48</v>
      </c>
      <c r="AK97" s="12" t="s">
        <v>140</v>
      </c>
      <c r="AL97" s="3" t="s">
        <v>59</v>
      </c>
      <c r="AM97" s="3" t="s">
        <v>115</v>
      </c>
      <c r="AN97" s="3" t="s">
        <v>61</v>
      </c>
      <c r="AO97" s="3" t="s">
        <v>62</v>
      </c>
      <c r="AP97" s="3" t="s">
        <v>69</v>
      </c>
      <c r="AQ97" s="3" t="s">
        <v>61</v>
      </c>
      <c r="AR97" s="3" t="s">
        <v>48</v>
      </c>
    </row>
    <row r="98" spans="1:44" ht="30" customHeight="1">
      <c r="A98" s="3" t="s">
        <v>44</v>
      </c>
      <c r="B98" s="3" t="s">
        <v>45</v>
      </c>
      <c r="C98" s="3" t="s">
        <v>46</v>
      </c>
      <c r="D98" s="3" t="s">
        <v>130</v>
      </c>
      <c r="E98" s="3" t="s">
        <v>48</v>
      </c>
      <c r="F98" s="3" t="s">
        <v>131</v>
      </c>
      <c r="G98" s="3" t="s">
        <v>48</v>
      </c>
      <c r="H98" s="4">
        <f>IF(DATEDIF(L98,S98,"m")&gt;12,DATEDIF(L98,S98,"y"),(DATEDIF(L98,S98,"m")/12))</f>
        <v>52</v>
      </c>
      <c r="I98" s="7">
        <f>DATEDIF(L98,S98,"M")</f>
        <v>624</v>
      </c>
      <c r="J98" s="7">
        <f>DATEDIF(L98,S98,"D")</f>
        <v>19006</v>
      </c>
      <c r="K98" s="3" t="s">
        <v>51</v>
      </c>
      <c r="L98" s="8">
        <v>25934</v>
      </c>
      <c r="M98" s="3" t="s">
        <v>45</v>
      </c>
      <c r="N98" s="3" t="s">
        <v>83</v>
      </c>
      <c r="O98" s="3" t="s">
        <v>52</v>
      </c>
      <c r="P98" s="3" t="s">
        <v>137</v>
      </c>
      <c r="Q98" s="7">
        <v>0</v>
      </c>
      <c r="R98" s="8">
        <v>44942</v>
      </c>
      <c r="S98" s="8">
        <v>44940</v>
      </c>
      <c r="T98" s="3" t="s">
        <v>54</v>
      </c>
      <c r="U98" s="3" t="s">
        <v>55</v>
      </c>
      <c r="V98" s="9"/>
      <c r="W98" s="10">
        <v>44946</v>
      </c>
      <c r="X98" s="7">
        <v>4</v>
      </c>
      <c r="Y98" s="7">
        <v>2</v>
      </c>
      <c r="Z98" s="7">
        <v>1</v>
      </c>
      <c r="AA98" s="7">
        <f>INT((S98-DATE(YEAR(S98-WEEKDAY(S98-0)+4),1,4)+WEEKDAY(DATE(YEAR(S98-WEEKDAY(S98-0)+4),1,4))+6)/7)</f>
        <v>2</v>
      </c>
      <c r="AB98" s="3" t="s">
        <v>1288</v>
      </c>
      <c r="AC98" s="7">
        <v>80</v>
      </c>
      <c r="AD98" s="7">
        <v>0</v>
      </c>
      <c r="AE98" s="7">
        <v>0</v>
      </c>
      <c r="AF98" s="3" t="s">
        <v>48</v>
      </c>
      <c r="AG98" s="7">
        <v>2023</v>
      </c>
      <c r="AH98" s="3" t="s">
        <v>133</v>
      </c>
      <c r="AI98" s="3" t="s">
        <v>106</v>
      </c>
      <c r="AJ98" s="3" t="s">
        <v>48</v>
      </c>
      <c r="AK98" s="3" t="s">
        <v>1289</v>
      </c>
      <c r="AL98" s="3" t="s">
        <v>59</v>
      </c>
      <c r="AM98" s="3" t="s">
        <v>115</v>
      </c>
      <c r="AN98" s="3" t="s">
        <v>61</v>
      </c>
      <c r="AO98" s="3" t="s">
        <v>62</v>
      </c>
      <c r="AP98" s="3" t="s">
        <v>69</v>
      </c>
      <c r="AQ98" s="3" t="s">
        <v>61</v>
      </c>
      <c r="AR98" s="3" t="s">
        <v>48</v>
      </c>
    </row>
    <row r="99" spans="1:44" ht="30" customHeight="1">
      <c r="A99" s="3" t="s">
        <v>44</v>
      </c>
      <c r="B99" s="3" t="s">
        <v>45</v>
      </c>
      <c r="C99" s="3" t="s">
        <v>46</v>
      </c>
      <c r="D99" s="3" t="s">
        <v>130</v>
      </c>
      <c r="E99" s="3" t="s">
        <v>48</v>
      </c>
      <c r="F99" s="3" t="s">
        <v>131</v>
      </c>
      <c r="G99" s="3" t="s">
        <v>48</v>
      </c>
      <c r="H99" s="4">
        <f>IF(DATEDIF(L99,S99,"m")&gt;12,DATEDIF(L99,S99,"y"),(DATEDIF(L99,S99,"m")/12))</f>
        <v>7</v>
      </c>
      <c r="I99" s="7">
        <f>DATEDIF(L99,S99,"M")</f>
        <v>90</v>
      </c>
      <c r="J99" s="7">
        <f>DATEDIF(L99,S99,"D")</f>
        <v>2763</v>
      </c>
      <c r="K99" s="3" t="s">
        <v>64</v>
      </c>
      <c r="L99" s="8">
        <v>42177</v>
      </c>
      <c r="M99" s="3" t="s">
        <v>45</v>
      </c>
      <c r="N99" s="3" t="s">
        <v>83</v>
      </c>
      <c r="O99" s="3" t="s">
        <v>52</v>
      </c>
      <c r="P99" s="3" t="s">
        <v>156</v>
      </c>
      <c r="Q99" s="7">
        <v>0</v>
      </c>
      <c r="R99" s="8">
        <v>44942</v>
      </c>
      <c r="S99" s="8">
        <v>44940</v>
      </c>
      <c r="T99" s="3" t="s">
        <v>54</v>
      </c>
      <c r="U99" s="3" t="s">
        <v>55</v>
      </c>
      <c r="V99" s="9"/>
      <c r="W99" s="10">
        <v>44946</v>
      </c>
      <c r="X99" s="7">
        <v>4</v>
      </c>
      <c r="Y99" s="7">
        <v>2</v>
      </c>
      <c r="Z99" s="7">
        <v>1</v>
      </c>
      <c r="AA99" s="7">
        <f>INT((S99-DATE(YEAR(S99-WEEKDAY(S99-0)+4),1,4)+WEEKDAY(DATE(YEAR(S99-WEEKDAY(S99-0)+4),1,4))+6)/7)</f>
        <v>2</v>
      </c>
      <c r="AB99" s="3" t="s">
        <v>2048</v>
      </c>
      <c r="AC99" s="7">
        <v>84</v>
      </c>
      <c r="AD99" s="7">
        <v>0</v>
      </c>
      <c r="AE99" s="7">
        <v>0</v>
      </c>
      <c r="AF99" s="3" t="s">
        <v>48</v>
      </c>
      <c r="AG99" s="7">
        <v>2023</v>
      </c>
      <c r="AH99" s="3" t="s">
        <v>133</v>
      </c>
      <c r="AI99" s="3" t="s">
        <v>106</v>
      </c>
      <c r="AJ99" s="3" t="s">
        <v>48</v>
      </c>
      <c r="AK99" s="3" t="s">
        <v>154</v>
      </c>
      <c r="AL99" s="3" t="s">
        <v>59</v>
      </c>
      <c r="AM99" s="3" t="s">
        <v>115</v>
      </c>
      <c r="AN99" s="3" t="s">
        <v>61</v>
      </c>
      <c r="AO99" s="3" t="s">
        <v>62</v>
      </c>
      <c r="AP99" s="3" t="s">
        <v>69</v>
      </c>
      <c r="AQ99" s="3" t="s">
        <v>61</v>
      </c>
      <c r="AR99" s="3" t="s">
        <v>48</v>
      </c>
    </row>
    <row r="100" spans="1:44" ht="30" customHeight="1">
      <c r="A100" s="3" t="s">
        <v>44</v>
      </c>
      <c r="B100" s="3" t="s">
        <v>45</v>
      </c>
      <c r="C100" s="3" t="s">
        <v>80</v>
      </c>
      <c r="D100" s="3" t="s">
        <v>81</v>
      </c>
      <c r="E100" s="3" t="s">
        <v>48</v>
      </c>
      <c r="F100" s="3" t="s">
        <v>81</v>
      </c>
      <c r="G100" s="3" t="s">
        <v>2127</v>
      </c>
      <c r="H100" s="4">
        <f>IF(DATEDIF(L100,S100,"m")&gt;12,DATEDIF(L100,S100,"y"),(DATEDIF(L100,S100,"m")/12))</f>
        <v>20</v>
      </c>
      <c r="I100" s="7">
        <f>DATEDIF(L100,S100,"M")</f>
        <v>247</v>
      </c>
      <c r="J100" s="7">
        <f>DATEDIF(L100,S100,"D")</f>
        <v>7533</v>
      </c>
      <c r="K100" s="3" t="s">
        <v>64</v>
      </c>
      <c r="L100" s="8">
        <v>37401</v>
      </c>
      <c r="M100" s="3" t="s">
        <v>45</v>
      </c>
      <c r="N100" s="3" t="s">
        <v>90</v>
      </c>
      <c r="O100" s="3" t="s">
        <v>52</v>
      </c>
      <c r="P100" s="3" t="s">
        <v>91</v>
      </c>
      <c r="Q100" s="7">
        <v>1</v>
      </c>
      <c r="R100" s="8">
        <v>44937</v>
      </c>
      <c r="S100" s="8">
        <v>44934</v>
      </c>
      <c r="T100" s="3" t="s">
        <v>54</v>
      </c>
      <c r="U100" s="3" t="s">
        <v>55</v>
      </c>
      <c r="V100" s="9"/>
      <c r="W100" s="10">
        <v>44946</v>
      </c>
      <c r="X100" s="7">
        <v>9</v>
      </c>
      <c r="Y100" s="7">
        <v>3</v>
      </c>
      <c r="Z100" s="7">
        <v>1</v>
      </c>
      <c r="AA100" s="7">
        <f>INT((S100-DATE(YEAR(S100-WEEKDAY(S100-0)+4),1,4)+WEEKDAY(DATE(YEAR(S100-WEEKDAY(S100-0)+4),1,4))+6)/7)</f>
        <v>2</v>
      </c>
      <c r="AB100" s="3" t="s">
        <v>2128</v>
      </c>
      <c r="AC100" s="7">
        <v>13872</v>
      </c>
      <c r="AD100" s="7">
        <v>0</v>
      </c>
      <c r="AE100" s="7">
        <v>0</v>
      </c>
      <c r="AF100" s="3" t="s">
        <v>48</v>
      </c>
      <c r="AG100" s="7">
        <v>2023</v>
      </c>
      <c r="AH100" s="3" t="s">
        <v>86</v>
      </c>
      <c r="AI100" s="3" t="s">
        <v>48</v>
      </c>
      <c r="AJ100" s="3" t="s">
        <v>48</v>
      </c>
      <c r="AK100" s="3" t="s">
        <v>2028</v>
      </c>
      <c r="AL100" s="3" t="s">
        <v>59</v>
      </c>
      <c r="AM100" s="3" t="s">
        <v>60</v>
      </c>
      <c r="AN100" s="3" t="s">
        <v>69</v>
      </c>
      <c r="AO100" s="3" t="s">
        <v>62</v>
      </c>
      <c r="AP100" s="3" t="s">
        <v>69</v>
      </c>
      <c r="AQ100" s="3" t="s">
        <v>61</v>
      </c>
      <c r="AR100" s="3" t="s">
        <v>48</v>
      </c>
    </row>
    <row r="101" spans="1:44" ht="30" customHeight="1">
      <c r="A101" s="3" t="s">
        <v>44</v>
      </c>
      <c r="B101" s="3" t="s">
        <v>45</v>
      </c>
      <c r="C101" s="3" t="s">
        <v>46</v>
      </c>
      <c r="D101" s="3" t="s">
        <v>70</v>
      </c>
      <c r="E101" s="3" t="s">
        <v>48</v>
      </c>
      <c r="F101" s="3" t="s">
        <v>71</v>
      </c>
      <c r="G101" s="3" t="s">
        <v>344</v>
      </c>
      <c r="H101" s="4">
        <f>IF(DATEDIF(L101,S101,"m")&gt;12,DATEDIF(L101,S101,"y"),(DATEDIF(L101,S101,"m")/12))</f>
        <v>39</v>
      </c>
      <c r="I101" s="7">
        <f>DATEDIF(L101,S101,"M")</f>
        <v>477</v>
      </c>
      <c r="J101" s="7">
        <f>DATEDIF(L101,S101,"D")</f>
        <v>14550</v>
      </c>
      <c r="K101" s="3" t="s">
        <v>51</v>
      </c>
      <c r="L101" s="8">
        <v>30395</v>
      </c>
      <c r="M101" s="3" t="s">
        <v>45</v>
      </c>
      <c r="N101" s="3" t="s">
        <v>90</v>
      </c>
      <c r="O101" s="3" t="s">
        <v>52</v>
      </c>
      <c r="P101" s="3" t="s">
        <v>84</v>
      </c>
      <c r="Q101" s="7">
        <v>1</v>
      </c>
      <c r="R101" s="8">
        <v>44946</v>
      </c>
      <c r="S101" s="8">
        <v>44945</v>
      </c>
      <c r="T101" s="3" t="s">
        <v>54</v>
      </c>
      <c r="U101" s="3" t="s">
        <v>55</v>
      </c>
      <c r="V101" s="9"/>
      <c r="W101" s="10">
        <v>44949</v>
      </c>
      <c r="X101" s="7">
        <v>3</v>
      </c>
      <c r="Y101" s="7">
        <v>1</v>
      </c>
      <c r="Z101" s="7">
        <v>1</v>
      </c>
      <c r="AA101" s="7">
        <f>INT((S101-DATE(YEAR(S101-WEEKDAY(S101-0)+4),1,4)+WEEKDAY(DATE(YEAR(S101-WEEKDAY(S101-0)+4),1,4))+6)/7)</f>
        <v>3</v>
      </c>
      <c r="AB101" s="3" t="s">
        <v>345</v>
      </c>
      <c r="AC101" s="7">
        <v>623</v>
      </c>
      <c r="AD101" s="7">
        <v>0</v>
      </c>
      <c r="AE101" s="7">
        <v>1</v>
      </c>
      <c r="AF101" s="3" t="s">
        <v>48</v>
      </c>
      <c r="AG101" s="7">
        <v>2023</v>
      </c>
      <c r="AH101" s="3" t="s">
        <v>76</v>
      </c>
      <c r="AI101" s="3" t="s">
        <v>166</v>
      </c>
      <c r="AJ101" s="3" t="s">
        <v>78</v>
      </c>
      <c r="AK101" s="3" t="s">
        <v>346</v>
      </c>
      <c r="AL101" s="3" t="s">
        <v>59</v>
      </c>
      <c r="AM101" s="3" t="s">
        <v>60</v>
      </c>
      <c r="AN101" s="3" t="s">
        <v>61</v>
      </c>
      <c r="AO101" s="3" t="s">
        <v>62</v>
      </c>
      <c r="AP101" s="3" t="s">
        <v>69</v>
      </c>
      <c r="AQ101" s="3" t="s">
        <v>61</v>
      </c>
      <c r="AR101" s="3" t="s">
        <v>48</v>
      </c>
    </row>
    <row r="102" spans="1:44" ht="30" customHeight="1">
      <c r="A102" s="3" t="s">
        <v>44</v>
      </c>
      <c r="B102" s="3" t="s">
        <v>45</v>
      </c>
      <c r="C102" s="3" t="s">
        <v>46</v>
      </c>
      <c r="D102" s="3" t="s">
        <v>70</v>
      </c>
      <c r="E102" s="3" t="s">
        <v>48</v>
      </c>
      <c r="F102" s="3" t="s">
        <v>71</v>
      </c>
      <c r="G102" s="3" t="s">
        <v>466</v>
      </c>
      <c r="H102" s="4">
        <f>IF(DATEDIF(L102,S102,"m")&gt;12,DATEDIF(L102,S102,"y"),(DATEDIF(L102,S102,"m")/12))</f>
        <v>1</v>
      </c>
      <c r="I102" s="7">
        <f>DATEDIF(L102,S102,"M")</f>
        <v>18</v>
      </c>
      <c r="J102" s="7">
        <f>DATEDIF(L102,S102,"D")</f>
        <v>551</v>
      </c>
      <c r="K102" s="3" t="s">
        <v>51</v>
      </c>
      <c r="L102" s="8">
        <v>44394</v>
      </c>
      <c r="M102" s="3" t="s">
        <v>45</v>
      </c>
      <c r="N102" s="3" t="s">
        <v>159</v>
      </c>
      <c r="O102" s="3" t="s">
        <v>52</v>
      </c>
      <c r="P102" s="3" t="s">
        <v>84</v>
      </c>
      <c r="Q102" s="7">
        <v>1</v>
      </c>
      <c r="R102" s="8">
        <v>44946</v>
      </c>
      <c r="S102" s="8">
        <v>44945</v>
      </c>
      <c r="T102" s="3" t="s">
        <v>54</v>
      </c>
      <c r="U102" s="3" t="s">
        <v>55</v>
      </c>
      <c r="V102" s="9"/>
      <c r="W102" s="10">
        <v>44949</v>
      </c>
      <c r="X102" s="7">
        <v>3</v>
      </c>
      <c r="Y102" s="7">
        <v>1</v>
      </c>
      <c r="Z102" s="7">
        <v>1</v>
      </c>
      <c r="AA102" s="7">
        <f>INT((S102-DATE(YEAR(S102-WEEKDAY(S102-0)+4),1,4)+WEEKDAY(DATE(YEAR(S102-WEEKDAY(S102-0)+4),1,4))+6)/7)</f>
        <v>3</v>
      </c>
      <c r="AB102" s="3" t="s">
        <v>467</v>
      </c>
      <c r="AC102" s="7">
        <v>625</v>
      </c>
      <c r="AD102" s="7">
        <v>0</v>
      </c>
      <c r="AE102" s="7">
        <v>1</v>
      </c>
      <c r="AF102" s="3" t="s">
        <v>48</v>
      </c>
      <c r="AG102" s="7">
        <v>2023</v>
      </c>
      <c r="AH102" s="3" t="s">
        <v>76</v>
      </c>
      <c r="AI102" s="3" t="s">
        <v>77</v>
      </c>
      <c r="AJ102" s="3" t="s">
        <v>78</v>
      </c>
      <c r="AK102" s="3" t="s">
        <v>468</v>
      </c>
      <c r="AL102" s="3" t="s">
        <v>59</v>
      </c>
      <c r="AM102" s="3" t="s">
        <v>60</v>
      </c>
      <c r="AN102" s="3" t="s">
        <v>61</v>
      </c>
      <c r="AO102" s="3" t="s">
        <v>62</v>
      </c>
      <c r="AP102" s="3" t="s">
        <v>69</v>
      </c>
      <c r="AQ102" s="3" t="s">
        <v>61</v>
      </c>
      <c r="AR102" s="3" t="s">
        <v>48</v>
      </c>
    </row>
    <row r="103" spans="1:44" ht="30" customHeight="1">
      <c r="A103" s="3" t="s">
        <v>44</v>
      </c>
      <c r="B103" s="3" t="s">
        <v>45</v>
      </c>
      <c r="C103" s="3" t="s">
        <v>46</v>
      </c>
      <c r="D103" s="3" t="s">
        <v>186</v>
      </c>
      <c r="E103" s="3" t="s">
        <v>48</v>
      </c>
      <c r="F103" s="3" t="s">
        <v>271</v>
      </c>
      <c r="G103" s="3" t="s">
        <v>489</v>
      </c>
      <c r="H103" s="4">
        <f>IF(DATEDIF(L103,S103,"m")&gt;12,DATEDIF(L103,S103,"y"),(DATEDIF(L103,S103,"m")/12))</f>
        <v>2</v>
      </c>
      <c r="I103" s="7">
        <f>DATEDIF(L103,S103,"M")</f>
        <v>25</v>
      </c>
      <c r="J103" s="7">
        <f>DATEDIF(L103,S103,"D")</f>
        <v>765</v>
      </c>
      <c r="K103" s="3" t="s">
        <v>51</v>
      </c>
      <c r="L103" s="8">
        <v>44172</v>
      </c>
      <c r="M103" s="3" t="s">
        <v>45</v>
      </c>
      <c r="N103" s="3" t="s">
        <v>187</v>
      </c>
      <c r="O103" s="3" t="s">
        <v>52</v>
      </c>
      <c r="P103" s="3" t="s">
        <v>490</v>
      </c>
      <c r="Q103" s="7">
        <v>0</v>
      </c>
      <c r="R103" s="8">
        <v>44941</v>
      </c>
      <c r="S103" s="8">
        <v>44937</v>
      </c>
      <c r="T103" s="3" t="s">
        <v>54</v>
      </c>
      <c r="U103" s="3" t="s">
        <v>55</v>
      </c>
      <c r="V103" s="9"/>
      <c r="W103" s="10">
        <v>44949</v>
      </c>
      <c r="X103" s="7">
        <v>8</v>
      </c>
      <c r="Y103" s="7">
        <v>4</v>
      </c>
      <c r="Z103" s="7">
        <v>1</v>
      </c>
      <c r="AA103" s="7">
        <f>INT((S103-DATE(YEAR(S103-WEEKDAY(S103-0)+4),1,4)+WEEKDAY(DATE(YEAR(S103-WEEKDAY(S103-0)+4),1,4))+6)/7)</f>
        <v>2</v>
      </c>
      <c r="AB103" s="3" t="s">
        <v>491</v>
      </c>
      <c r="AC103" s="7">
        <v>92</v>
      </c>
      <c r="AD103" s="7">
        <v>0</v>
      </c>
      <c r="AE103" s="7">
        <v>0</v>
      </c>
      <c r="AF103" s="3" t="s">
        <v>48</v>
      </c>
      <c r="AG103" s="7">
        <v>2023</v>
      </c>
      <c r="AH103" s="3" t="s">
        <v>276</v>
      </c>
      <c r="AI103" s="3" t="s">
        <v>191</v>
      </c>
      <c r="AJ103" s="3" t="s">
        <v>186</v>
      </c>
      <c r="AK103" s="3" t="s">
        <v>260</v>
      </c>
      <c r="AL103" s="3" t="s">
        <v>59</v>
      </c>
      <c r="AM103" s="3" t="s">
        <v>60</v>
      </c>
      <c r="AN103" s="3" t="s">
        <v>61</v>
      </c>
      <c r="AO103" s="3" t="s">
        <v>62</v>
      </c>
      <c r="AP103" s="3" t="s">
        <v>69</v>
      </c>
      <c r="AQ103" s="3" t="s">
        <v>61</v>
      </c>
      <c r="AR103" s="3" t="s">
        <v>48</v>
      </c>
    </row>
    <row r="104" spans="1:44" ht="30" customHeight="1">
      <c r="A104" s="3" t="s">
        <v>44</v>
      </c>
      <c r="B104" s="3" t="s">
        <v>45</v>
      </c>
      <c r="C104" s="3" t="s">
        <v>46</v>
      </c>
      <c r="D104" s="3" t="s">
        <v>70</v>
      </c>
      <c r="E104" s="3" t="s">
        <v>48</v>
      </c>
      <c r="F104" s="3" t="s">
        <v>71</v>
      </c>
      <c r="G104" s="3" t="s">
        <v>588</v>
      </c>
      <c r="H104" s="4">
        <f>IF(DATEDIF(L104,S104,"m")&gt;12,DATEDIF(L104,S104,"y"),(DATEDIF(L104,S104,"m")/12))</f>
        <v>1</v>
      </c>
      <c r="I104" s="7">
        <f>DATEDIF(L104,S104,"M")</f>
        <v>22</v>
      </c>
      <c r="J104" s="7">
        <f>DATEDIF(L104,S104,"D")</f>
        <v>690</v>
      </c>
      <c r="K104" s="3" t="s">
        <v>64</v>
      </c>
      <c r="L104" s="8">
        <v>44256</v>
      </c>
      <c r="M104" s="3" t="s">
        <v>45</v>
      </c>
      <c r="N104" s="3" t="s">
        <v>65</v>
      </c>
      <c r="O104" s="3" t="s">
        <v>52</v>
      </c>
      <c r="P104" s="3" t="s">
        <v>169</v>
      </c>
      <c r="Q104" s="7">
        <v>1</v>
      </c>
      <c r="R104" s="8">
        <v>44947</v>
      </c>
      <c r="S104" s="8">
        <v>44946</v>
      </c>
      <c r="T104" s="3" t="s">
        <v>54</v>
      </c>
      <c r="U104" s="3" t="s">
        <v>55</v>
      </c>
      <c r="V104" s="9"/>
      <c r="W104" s="10">
        <v>44949</v>
      </c>
      <c r="X104" s="7">
        <v>2</v>
      </c>
      <c r="Y104" s="7">
        <v>1</v>
      </c>
      <c r="Z104" s="7">
        <v>1</v>
      </c>
      <c r="AA104" s="7">
        <f>INT((S104-DATE(YEAR(S104-WEEKDAY(S104-0)+4),1,4)+WEEKDAY(DATE(YEAR(S104-WEEKDAY(S104-0)+4),1,4))+6)/7)</f>
        <v>3</v>
      </c>
      <c r="AB104" s="3" t="s">
        <v>589</v>
      </c>
      <c r="AC104" s="7">
        <v>627</v>
      </c>
      <c r="AD104" s="7">
        <v>0</v>
      </c>
      <c r="AE104" s="7">
        <v>1</v>
      </c>
      <c r="AF104" s="3" t="s">
        <v>48</v>
      </c>
      <c r="AG104" s="7">
        <v>2023</v>
      </c>
      <c r="AH104" s="3" t="s">
        <v>76</v>
      </c>
      <c r="AI104" s="3" t="s">
        <v>77</v>
      </c>
      <c r="AJ104" s="3" t="s">
        <v>78</v>
      </c>
      <c r="AK104" s="18" t="s">
        <v>590</v>
      </c>
      <c r="AL104" s="3" t="s">
        <v>59</v>
      </c>
      <c r="AM104" s="3" t="s">
        <v>60</v>
      </c>
      <c r="AN104" s="3" t="s">
        <v>61</v>
      </c>
      <c r="AO104" s="3" t="s">
        <v>62</v>
      </c>
      <c r="AP104" s="3" t="s">
        <v>69</v>
      </c>
      <c r="AQ104" s="3" t="s">
        <v>61</v>
      </c>
      <c r="AR104" s="3" t="s">
        <v>48</v>
      </c>
    </row>
    <row r="105" spans="1:44" ht="30" customHeight="1">
      <c r="A105" s="3" t="s">
        <v>44</v>
      </c>
      <c r="B105" s="3" t="s">
        <v>45</v>
      </c>
      <c r="C105" s="3" t="s">
        <v>46</v>
      </c>
      <c r="D105" s="3" t="s">
        <v>70</v>
      </c>
      <c r="E105" s="3" t="s">
        <v>48</v>
      </c>
      <c r="F105" s="3" t="s">
        <v>71</v>
      </c>
      <c r="G105" s="3" t="s">
        <v>643</v>
      </c>
      <c r="H105" s="4">
        <f>IF(DATEDIF(L105,S105,"m")&gt;12,DATEDIF(L105,S105,"y"),(DATEDIF(L105,S105,"m")/12))</f>
        <v>2</v>
      </c>
      <c r="I105" s="7">
        <f>DATEDIF(L105,S105,"M")</f>
        <v>33</v>
      </c>
      <c r="J105" s="7">
        <f>DATEDIF(L105,S105,"D")</f>
        <v>1026</v>
      </c>
      <c r="K105" s="3" t="s">
        <v>51</v>
      </c>
      <c r="L105" s="8">
        <v>43919</v>
      </c>
      <c r="M105" s="3" t="s">
        <v>45</v>
      </c>
      <c r="N105" s="3" t="s">
        <v>159</v>
      </c>
      <c r="O105" s="3" t="s">
        <v>52</v>
      </c>
      <c r="P105" s="3" t="s">
        <v>137</v>
      </c>
      <c r="Q105" s="7">
        <v>1</v>
      </c>
      <c r="R105" s="8">
        <v>44946</v>
      </c>
      <c r="S105" s="8">
        <v>44945</v>
      </c>
      <c r="T105" s="3" t="s">
        <v>54</v>
      </c>
      <c r="U105" s="3" t="s">
        <v>55</v>
      </c>
      <c r="V105" s="9"/>
      <c r="W105" s="10">
        <v>44949</v>
      </c>
      <c r="X105" s="7">
        <v>3</v>
      </c>
      <c r="Y105" s="7">
        <v>1</v>
      </c>
      <c r="Z105" s="7">
        <v>1</v>
      </c>
      <c r="AA105" s="7">
        <f>INT((S105-DATE(YEAR(S105-WEEKDAY(S105-0)+4),1,4)+WEEKDAY(DATE(YEAR(S105-WEEKDAY(S105-0)+4),1,4))+6)/7)</f>
        <v>3</v>
      </c>
      <c r="AB105" s="3" t="s">
        <v>644</v>
      </c>
      <c r="AC105" s="7">
        <v>624</v>
      </c>
      <c r="AD105" s="7">
        <v>0</v>
      </c>
      <c r="AE105" s="7">
        <v>1</v>
      </c>
      <c r="AF105" s="3" t="s">
        <v>48</v>
      </c>
      <c r="AG105" s="7">
        <v>2023</v>
      </c>
      <c r="AH105" s="3" t="s">
        <v>76</v>
      </c>
      <c r="AI105" s="3" t="s">
        <v>77</v>
      </c>
      <c r="AJ105" s="3" t="s">
        <v>48</v>
      </c>
      <c r="AK105" s="3" t="s">
        <v>171</v>
      </c>
      <c r="AL105" s="3" t="s">
        <v>59</v>
      </c>
      <c r="AM105" s="3" t="s">
        <v>60</v>
      </c>
      <c r="AN105" s="3" t="s">
        <v>61</v>
      </c>
      <c r="AO105" s="3" t="s">
        <v>48</v>
      </c>
      <c r="AP105" s="3" t="s">
        <v>69</v>
      </c>
      <c r="AQ105" s="3" t="s">
        <v>61</v>
      </c>
      <c r="AR105" s="3" t="s">
        <v>48</v>
      </c>
    </row>
    <row r="106" spans="1:44" ht="30" customHeight="1">
      <c r="A106" s="3" t="s">
        <v>44</v>
      </c>
      <c r="B106" s="3" t="s">
        <v>45</v>
      </c>
      <c r="C106" s="3" t="s">
        <v>46</v>
      </c>
      <c r="D106" s="3" t="s">
        <v>186</v>
      </c>
      <c r="E106" s="3" t="s">
        <v>48</v>
      </c>
      <c r="F106" s="3" t="s">
        <v>271</v>
      </c>
      <c r="G106" s="3" t="s">
        <v>674</v>
      </c>
      <c r="H106" s="4">
        <f>IF(DATEDIF(L106,S106,"m")&gt;12,DATEDIF(L106,S106,"y"),(DATEDIF(L106,S106,"m")/12))</f>
        <v>1</v>
      </c>
      <c r="I106" s="7">
        <f>DATEDIF(L106,S106,"M")</f>
        <v>15</v>
      </c>
      <c r="J106" s="7">
        <f>DATEDIF(L106,S106,"D")</f>
        <v>471</v>
      </c>
      <c r="K106" s="3" t="s">
        <v>51</v>
      </c>
      <c r="L106" s="8">
        <v>44469</v>
      </c>
      <c r="M106" s="3" t="s">
        <v>45</v>
      </c>
      <c r="N106" s="3" t="s">
        <v>187</v>
      </c>
      <c r="O106" s="3" t="s">
        <v>52</v>
      </c>
      <c r="P106" s="3" t="s">
        <v>103</v>
      </c>
      <c r="Q106" s="7">
        <v>0</v>
      </c>
      <c r="R106" s="8">
        <v>44942</v>
      </c>
      <c r="S106" s="8">
        <v>44940</v>
      </c>
      <c r="T106" s="3" t="s">
        <v>54</v>
      </c>
      <c r="U106" s="3" t="s">
        <v>55</v>
      </c>
      <c r="V106" s="9"/>
      <c r="W106" s="10">
        <v>44949</v>
      </c>
      <c r="X106" s="7">
        <v>7</v>
      </c>
      <c r="Y106" s="7">
        <v>2</v>
      </c>
      <c r="Z106" s="7">
        <v>1</v>
      </c>
      <c r="AA106" s="7">
        <f>INT((S106-DATE(YEAR(S106-WEEKDAY(S106-0)+4),1,4)+WEEKDAY(DATE(YEAR(S106-WEEKDAY(S106-0)+4),1,4))+6)/7)</f>
        <v>2</v>
      </c>
      <c r="AB106" s="3" t="s">
        <v>675</v>
      </c>
      <c r="AC106" s="7">
        <v>89</v>
      </c>
      <c r="AD106" s="7">
        <v>0</v>
      </c>
      <c r="AE106" s="7">
        <v>0</v>
      </c>
      <c r="AF106" s="3" t="s">
        <v>48</v>
      </c>
      <c r="AG106" s="7">
        <v>2023</v>
      </c>
      <c r="AH106" s="3" t="s">
        <v>276</v>
      </c>
      <c r="AI106" s="3" t="s">
        <v>191</v>
      </c>
      <c r="AJ106" s="3" t="s">
        <v>186</v>
      </c>
      <c r="AK106" s="3" t="s">
        <v>676</v>
      </c>
      <c r="AL106" s="3" t="s">
        <v>59</v>
      </c>
      <c r="AM106" s="3" t="s">
        <v>60</v>
      </c>
      <c r="AN106" s="3" t="s">
        <v>61</v>
      </c>
      <c r="AO106" s="3" t="s">
        <v>62</v>
      </c>
      <c r="AP106" s="3" t="s">
        <v>69</v>
      </c>
      <c r="AQ106" s="3" t="s">
        <v>61</v>
      </c>
      <c r="AR106" s="3" t="s">
        <v>48</v>
      </c>
    </row>
    <row r="107" spans="1:44" ht="30" customHeight="1">
      <c r="A107" s="3" t="s">
        <v>44</v>
      </c>
      <c r="B107" s="3" t="s">
        <v>45</v>
      </c>
      <c r="C107" s="3" t="s">
        <v>46</v>
      </c>
      <c r="D107" s="3" t="s">
        <v>186</v>
      </c>
      <c r="E107" s="3" t="s">
        <v>48</v>
      </c>
      <c r="F107" s="3" t="s">
        <v>48</v>
      </c>
      <c r="G107" s="3" t="s">
        <v>48</v>
      </c>
      <c r="H107" s="4">
        <f>IF(DATEDIF(L107,S107,"m")&gt;12,DATEDIF(L107,S107,"y"),(DATEDIF(L107,S107,"m")/12))</f>
        <v>16</v>
      </c>
      <c r="I107" s="7">
        <f>DATEDIF(L107,S107,"M")</f>
        <v>192</v>
      </c>
      <c r="J107" s="7">
        <f>DATEDIF(L107,S107,"D")</f>
        <v>5862</v>
      </c>
      <c r="K107" s="3" t="s">
        <v>64</v>
      </c>
      <c r="L107" s="8">
        <v>39076</v>
      </c>
      <c r="M107" s="3" t="s">
        <v>45</v>
      </c>
      <c r="N107" s="3" t="s">
        <v>187</v>
      </c>
      <c r="O107" s="3" t="s">
        <v>52</v>
      </c>
      <c r="P107" s="3" t="s">
        <v>745</v>
      </c>
      <c r="Q107" s="7">
        <v>0</v>
      </c>
      <c r="R107" s="8">
        <v>44942</v>
      </c>
      <c r="S107" s="8">
        <v>44938</v>
      </c>
      <c r="T107" s="3" t="s">
        <v>54</v>
      </c>
      <c r="U107" s="3" t="s">
        <v>55</v>
      </c>
      <c r="V107" s="9"/>
      <c r="W107" s="10">
        <v>44949</v>
      </c>
      <c r="X107" s="7">
        <v>7</v>
      </c>
      <c r="Y107" s="7">
        <v>4</v>
      </c>
      <c r="Z107" s="7">
        <v>1</v>
      </c>
      <c r="AA107" s="7">
        <f>INT((S107-DATE(YEAR(S107-WEEKDAY(S107-0)+4),1,4)+WEEKDAY(DATE(YEAR(S107-WEEKDAY(S107-0)+4),1,4))+6)/7)</f>
        <v>2</v>
      </c>
      <c r="AB107" s="3" t="s">
        <v>746</v>
      </c>
      <c r="AC107" s="7">
        <v>70</v>
      </c>
      <c r="AD107" s="7">
        <v>0</v>
      </c>
      <c r="AE107" s="7">
        <v>1</v>
      </c>
      <c r="AF107" s="3" t="s">
        <v>48</v>
      </c>
      <c r="AG107" s="7">
        <v>2023</v>
      </c>
      <c r="AH107" s="3" t="s">
        <v>190</v>
      </c>
      <c r="AI107" s="3" t="s">
        <v>191</v>
      </c>
      <c r="AJ107" s="3" t="s">
        <v>186</v>
      </c>
      <c r="AK107" s="3" t="s">
        <v>192</v>
      </c>
      <c r="AL107" s="3" t="s">
        <v>59</v>
      </c>
      <c r="AM107" s="3" t="s">
        <v>115</v>
      </c>
      <c r="AN107" s="3" t="s">
        <v>61</v>
      </c>
      <c r="AO107" s="3" t="s">
        <v>62</v>
      </c>
      <c r="AP107" s="3" t="s">
        <v>69</v>
      </c>
      <c r="AQ107" s="3" t="s">
        <v>61</v>
      </c>
      <c r="AR107" s="3" t="s">
        <v>48</v>
      </c>
    </row>
    <row r="108" spans="1:44" ht="30" customHeight="1">
      <c r="A108" s="3" t="s">
        <v>44</v>
      </c>
      <c r="B108" s="3" t="s">
        <v>45</v>
      </c>
      <c r="C108" s="3" t="s">
        <v>46</v>
      </c>
      <c r="D108" s="3" t="s">
        <v>70</v>
      </c>
      <c r="E108" s="3" t="s">
        <v>48</v>
      </c>
      <c r="F108" s="3" t="s">
        <v>71</v>
      </c>
      <c r="G108" s="3" t="s">
        <v>771</v>
      </c>
      <c r="H108" s="5">
        <f>IF(DATEDIF(L108,S108,"m")&gt;12,DATEDIF(L108,S108,"y"),(DATEDIF(L108,S108,"m")/12))</f>
        <v>0.5</v>
      </c>
      <c r="I108" s="7">
        <f>DATEDIF(L108,S108,"M")</f>
        <v>6</v>
      </c>
      <c r="J108" s="7">
        <f>DATEDIF(L108,S108,"D")</f>
        <v>184</v>
      </c>
      <c r="K108" s="3" t="s">
        <v>64</v>
      </c>
      <c r="L108" s="8">
        <v>44763</v>
      </c>
      <c r="M108" s="3" t="s">
        <v>45</v>
      </c>
      <c r="N108" s="3" t="s">
        <v>159</v>
      </c>
      <c r="O108" s="3" t="s">
        <v>52</v>
      </c>
      <c r="P108" s="3" t="s">
        <v>91</v>
      </c>
      <c r="Q108" s="7">
        <v>1</v>
      </c>
      <c r="R108" s="8">
        <v>44948</v>
      </c>
      <c r="S108" s="8">
        <v>44947</v>
      </c>
      <c r="T108" s="3" t="s">
        <v>54</v>
      </c>
      <c r="U108" s="3" t="s">
        <v>55</v>
      </c>
      <c r="V108" s="9"/>
      <c r="W108" s="10">
        <v>44949</v>
      </c>
      <c r="X108" s="7">
        <v>1</v>
      </c>
      <c r="Y108" s="7">
        <v>1</v>
      </c>
      <c r="Z108" s="7">
        <v>1</v>
      </c>
      <c r="AA108" s="7">
        <f>INT((S108-DATE(YEAR(S108-WEEKDAY(S108-0)+4),1,4)+WEEKDAY(DATE(YEAR(S108-WEEKDAY(S108-0)+4),1,4))+6)/7)</f>
        <v>3</v>
      </c>
      <c r="AB108" s="3" t="s">
        <v>772</v>
      </c>
      <c r="AC108" s="7">
        <v>632</v>
      </c>
      <c r="AD108" s="7">
        <v>0</v>
      </c>
      <c r="AE108" s="7">
        <v>1</v>
      </c>
      <c r="AF108" s="3" t="s">
        <v>48</v>
      </c>
      <c r="AG108" s="7">
        <v>2023</v>
      </c>
      <c r="AH108" s="3" t="s">
        <v>76</v>
      </c>
      <c r="AI108" s="3" t="s">
        <v>77</v>
      </c>
      <c r="AJ108" s="3" t="s">
        <v>78</v>
      </c>
      <c r="AK108" s="3" t="s">
        <v>773</v>
      </c>
      <c r="AL108" s="3" t="s">
        <v>59</v>
      </c>
      <c r="AM108" s="3" t="s">
        <v>60</v>
      </c>
      <c r="AN108" s="3" t="s">
        <v>61</v>
      </c>
      <c r="AO108" s="3" t="s">
        <v>62</v>
      </c>
      <c r="AP108" s="3" t="s">
        <v>69</v>
      </c>
      <c r="AQ108" s="3" t="s">
        <v>61</v>
      </c>
      <c r="AR108" s="3" t="s">
        <v>48</v>
      </c>
    </row>
    <row r="109" spans="1:44" ht="30" customHeight="1">
      <c r="A109" s="3" t="s">
        <v>44</v>
      </c>
      <c r="B109" s="3" t="s">
        <v>45</v>
      </c>
      <c r="C109" s="3" t="s">
        <v>46</v>
      </c>
      <c r="D109" s="3" t="s">
        <v>186</v>
      </c>
      <c r="E109" s="3" t="s">
        <v>48</v>
      </c>
      <c r="F109" s="3" t="s">
        <v>271</v>
      </c>
      <c r="G109" s="3" t="s">
        <v>894</v>
      </c>
      <c r="H109" s="4">
        <f>IF(DATEDIF(L109,S109,"m")&gt;12,DATEDIF(L109,S109,"y"),(DATEDIF(L109,S109,"m")/12))</f>
        <v>1</v>
      </c>
      <c r="I109" s="7">
        <f>DATEDIF(L109,S109,"M")</f>
        <v>12</v>
      </c>
      <c r="J109" s="7">
        <f>DATEDIF(L109,S109,"D")</f>
        <v>385</v>
      </c>
      <c r="K109" s="3" t="s">
        <v>51</v>
      </c>
      <c r="L109" s="8">
        <v>44554</v>
      </c>
      <c r="M109" s="3" t="s">
        <v>45</v>
      </c>
      <c r="N109" s="3" t="s">
        <v>187</v>
      </c>
      <c r="O109" s="3" t="s">
        <v>52</v>
      </c>
      <c r="P109" s="3" t="s">
        <v>895</v>
      </c>
      <c r="Q109" s="7">
        <v>0</v>
      </c>
      <c r="R109" s="8">
        <v>44943</v>
      </c>
      <c r="S109" s="8">
        <v>44939</v>
      </c>
      <c r="T109" s="3" t="s">
        <v>54</v>
      </c>
      <c r="U109" s="3" t="s">
        <v>55</v>
      </c>
      <c r="V109" s="9"/>
      <c r="W109" s="10">
        <v>44949</v>
      </c>
      <c r="X109" s="7">
        <v>6</v>
      </c>
      <c r="Y109" s="7">
        <v>4</v>
      </c>
      <c r="Z109" s="7">
        <v>1</v>
      </c>
      <c r="AA109" s="7">
        <f>INT((S109-DATE(YEAR(S109-WEEKDAY(S109-0)+4),1,4)+WEEKDAY(DATE(YEAR(S109-WEEKDAY(S109-0)+4),1,4))+6)/7)</f>
        <v>2</v>
      </c>
      <c r="AB109" s="3" t="s">
        <v>896</v>
      </c>
      <c r="AC109" s="7">
        <v>88</v>
      </c>
      <c r="AD109" s="7">
        <v>0</v>
      </c>
      <c r="AE109" s="7">
        <v>0</v>
      </c>
      <c r="AF109" s="3" t="s">
        <v>48</v>
      </c>
      <c r="AG109" s="7">
        <v>2023</v>
      </c>
      <c r="AH109" s="3" t="s">
        <v>276</v>
      </c>
      <c r="AI109" s="3" t="s">
        <v>191</v>
      </c>
      <c r="AJ109" s="3" t="s">
        <v>186</v>
      </c>
      <c r="AK109" s="3" t="s">
        <v>817</v>
      </c>
      <c r="AL109" s="3" t="s">
        <v>59</v>
      </c>
      <c r="AM109" s="3" t="s">
        <v>60</v>
      </c>
      <c r="AN109" s="3" t="s">
        <v>61</v>
      </c>
      <c r="AO109" s="3" t="s">
        <v>62</v>
      </c>
      <c r="AP109" s="3" t="s">
        <v>69</v>
      </c>
      <c r="AQ109" s="3" t="s">
        <v>61</v>
      </c>
      <c r="AR109" s="3" t="s">
        <v>48</v>
      </c>
    </row>
    <row r="110" spans="1:44" ht="30" customHeight="1">
      <c r="A110" s="3" t="s">
        <v>44</v>
      </c>
      <c r="B110" s="3" t="s">
        <v>45</v>
      </c>
      <c r="C110" s="3" t="s">
        <v>46</v>
      </c>
      <c r="D110" s="3" t="s">
        <v>108</v>
      </c>
      <c r="E110" s="3" t="s">
        <v>48</v>
      </c>
      <c r="F110" s="3" t="s">
        <v>108</v>
      </c>
      <c r="G110" s="3" t="s">
        <v>946</v>
      </c>
      <c r="H110" s="4">
        <f>IF(DATEDIF(L110,S110,"m")&gt;12,DATEDIF(L110,S110,"y"),(DATEDIF(L110,S110,"m")/12))</f>
        <v>3</v>
      </c>
      <c r="I110" s="7">
        <f>DATEDIF(L110,S110,"M")</f>
        <v>42</v>
      </c>
      <c r="J110" s="7">
        <f>DATEDIF(L110,S110,"D")</f>
        <v>1306</v>
      </c>
      <c r="K110" s="3" t="s">
        <v>64</v>
      </c>
      <c r="L110" s="8">
        <v>43655</v>
      </c>
      <c r="M110" s="3" t="s">
        <v>45</v>
      </c>
      <c r="N110" s="3" t="s">
        <v>73</v>
      </c>
      <c r="O110" s="3" t="s">
        <v>52</v>
      </c>
      <c r="P110" s="3" t="s">
        <v>110</v>
      </c>
      <c r="Q110" s="7">
        <v>0</v>
      </c>
      <c r="R110" s="8">
        <v>44964</v>
      </c>
      <c r="S110" s="8">
        <v>44961</v>
      </c>
      <c r="T110" s="3" t="s">
        <v>54</v>
      </c>
      <c r="U110" s="3" t="s">
        <v>55</v>
      </c>
      <c r="V110" s="9"/>
      <c r="W110" s="10">
        <v>44971</v>
      </c>
      <c r="X110" s="7">
        <v>7</v>
      </c>
      <c r="Y110" s="7">
        <v>3</v>
      </c>
      <c r="Z110" s="7">
        <v>2</v>
      </c>
      <c r="AA110" s="7">
        <f>INT((S110-DATE(YEAR(S110-WEEKDAY(S110-0)+4),1,4)+WEEKDAY(DATE(YEAR(S110-WEEKDAY(S110-0)+4),1,4))+6)/7)</f>
        <v>5</v>
      </c>
      <c r="AB110" s="3" t="s">
        <v>947</v>
      </c>
      <c r="AC110" s="7">
        <v>239</v>
      </c>
      <c r="AD110" s="7">
        <v>0</v>
      </c>
      <c r="AE110" s="7">
        <v>0</v>
      </c>
      <c r="AF110" s="3" t="s">
        <v>48</v>
      </c>
      <c r="AG110" s="7">
        <v>2023</v>
      </c>
      <c r="AH110" s="3" t="s">
        <v>112</v>
      </c>
      <c r="AI110" s="3" t="s">
        <v>113</v>
      </c>
      <c r="AJ110" s="3" t="s">
        <v>48</v>
      </c>
      <c r="AK110" s="3" t="s">
        <v>114</v>
      </c>
      <c r="AL110" s="3" t="s">
        <v>59</v>
      </c>
      <c r="AM110" s="3" t="s">
        <v>115</v>
      </c>
      <c r="AN110" s="3" t="s">
        <v>61</v>
      </c>
      <c r="AO110" s="3" t="s">
        <v>62</v>
      </c>
      <c r="AP110" s="3" t="s">
        <v>69</v>
      </c>
      <c r="AQ110" s="3" t="s">
        <v>61</v>
      </c>
      <c r="AR110" s="3" t="s">
        <v>48</v>
      </c>
    </row>
    <row r="111" spans="1:44" ht="30" customHeight="1">
      <c r="A111" s="3" t="s">
        <v>44</v>
      </c>
      <c r="B111" s="3" t="s">
        <v>45</v>
      </c>
      <c r="C111" s="3" t="s">
        <v>46</v>
      </c>
      <c r="D111" s="3" t="s">
        <v>108</v>
      </c>
      <c r="E111" s="3" t="s">
        <v>48</v>
      </c>
      <c r="F111" s="3" t="s">
        <v>108</v>
      </c>
      <c r="G111" s="3" t="s">
        <v>1672</v>
      </c>
      <c r="H111" s="4">
        <f>IF(DATEDIF(L111,S111,"m")&gt;12,DATEDIF(L111,S111,"y"),(DATEDIF(L111,S111,"m")/12))</f>
        <v>55</v>
      </c>
      <c r="I111" s="7">
        <f>DATEDIF(L111,S111,"M")</f>
        <v>668</v>
      </c>
      <c r="J111" s="7">
        <f>DATEDIF(L111,S111,"D")</f>
        <v>20335</v>
      </c>
      <c r="K111" s="3" t="s">
        <v>64</v>
      </c>
      <c r="L111" s="8">
        <v>24626</v>
      </c>
      <c r="M111" s="3" t="s">
        <v>45</v>
      </c>
      <c r="N111" s="3" t="s">
        <v>73</v>
      </c>
      <c r="O111" s="3" t="s">
        <v>52</v>
      </c>
      <c r="P111" s="3" t="s">
        <v>169</v>
      </c>
      <c r="Q111" s="7">
        <v>0</v>
      </c>
      <c r="R111" s="8">
        <v>44963</v>
      </c>
      <c r="S111" s="8">
        <v>44961</v>
      </c>
      <c r="T111" s="3" t="s">
        <v>54</v>
      </c>
      <c r="U111" s="3" t="s">
        <v>55</v>
      </c>
      <c r="V111" s="9"/>
      <c r="W111" s="10">
        <v>44971</v>
      </c>
      <c r="X111" s="7">
        <v>8</v>
      </c>
      <c r="Y111" s="7">
        <v>2</v>
      </c>
      <c r="Z111" s="7">
        <v>2</v>
      </c>
      <c r="AA111" s="7">
        <f>INT((S111-DATE(YEAR(S111-WEEKDAY(S111-0)+4),1,4)+WEEKDAY(DATE(YEAR(S111-WEEKDAY(S111-0)+4),1,4))+6)/7)</f>
        <v>5</v>
      </c>
      <c r="AB111" s="3" t="s">
        <v>1673</v>
      </c>
      <c r="AC111" s="7">
        <v>216</v>
      </c>
      <c r="AD111" s="7">
        <v>0</v>
      </c>
      <c r="AE111" s="7">
        <v>0</v>
      </c>
      <c r="AF111" s="3" t="s">
        <v>48</v>
      </c>
      <c r="AG111" s="7">
        <v>2023</v>
      </c>
      <c r="AH111" s="3" t="s">
        <v>112</v>
      </c>
      <c r="AI111" s="3" t="s">
        <v>113</v>
      </c>
      <c r="AJ111" s="3" t="s">
        <v>48</v>
      </c>
      <c r="AK111" s="3" t="s">
        <v>114</v>
      </c>
      <c r="AL111" s="3" t="s">
        <v>59</v>
      </c>
      <c r="AM111" s="3" t="s">
        <v>115</v>
      </c>
      <c r="AN111" s="3" t="s">
        <v>61</v>
      </c>
      <c r="AO111" s="3" t="s">
        <v>62</v>
      </c>
      <c r="AP111" s="3" t="s">
        <v>69</v>
      </c>
      <c r="AQ111" s="3" t="s">
        <v>61</v>
      </c>
      <c r="AR111" s="3" t="s">
        <v>48</v>
      </c>
    </row>
    <row r="112" spans="1:44" ht="30" customHeight="1">
      <c r="A112" s="3" t="s">
        <v>44</v>
      </c>
      <c r="B112" s="3" t="s">
        <v>45</v>
      </c>
      <c r="C112" s="3" t="s">
        <v>46</v>
      </c>
      <c r="D112" s="3" t="s">
        <v>70</v>
      </c>
      <c r="E112" s="3" t="s">
        <v>48</v>
      </c>
      <c r="F112" s="3" t="s">
        <v>71</v>
      </c>
      <c r="G112" s="3" t="s">
        <v>1069</v>
      </c>
      <c r="H112" s="4">
        <f>IF(DATEDIF(L112,S112,"m")&gt;12,DATEDIF(L112,S112,"y"),(DATEDIF(L112,S112,"m")/12))</f>
        <v>8</v>
      </c>
      <c r="I112" s="7">
        <f>DATEDIF(L112,S112,"M")</f>
        <v>99</v>
      </c>
      <c r="J112" s="7">
        <f>DATEDIF(L112,S112,"D")</f>
        <v>3039</v>
      </c>
      <c r="K112" s="3" t="s">
        <v>51</v>
      </c>
      <c r="L112" s="8">
        <v>41907</v>
      </c>
      <c r="M112" s="3" t="s">
        <v>45</v>
      </c>
      <c r="N112" s="3" t="s">
        <v>90</v>
      </c>
      <c r="O112" s="3" t="s">
        <v>52</v>
      </c>
      <c r="P112" s="3" t="s">
        <v>537</v>
      </c>
      <c r="Q112" s="7">
        <v>1</v>
      </c>
      <c r="R112" s="8">
        <v>44947</v>
      </c>
      <c r="S112" s="8">
        <v>44946</v>
      </c>
      <c r="T112" s="3" t="s">
        <v>54</v>
      </c>
      <c r="U112" s="3" t="s">
        <v>55</v>
      </c>
      <c r="V112" s="9"/>
      <c r="W112" s="10">
        <v>44949</v>
      </c>
      <c r="X112" s="7">
        <v>2</v>
      </c>
      <c r="Y112" s="7">
        <v>1</v>
      </c>
      <c r="Z112" s="7">
        <v>1</v>
      </c>
      <c r="AA112" s="7">
        <f>INT((S112-DATE(YEAR(S112-WEEKDAY(S112-0)+4),1,4)+WEEKDAY(DATE(YEAR(S112-WEEKDAY(S112-0)+4),1,4))+6)/7)</f>
        <v>3</v>
      </c>
      <c r="AB112" s="3" t="s">
        <v>1070</v>
      </c>
      <c r="AC112" s="7">
        <v>628</v>
      </c>
      <c r="AD112" s="7">
        <v>0</v>
      </c>
      <c r="AE112" s="7">
        <v>1</v>
      </c>
      <c r="AF112" s="3" t="s">
        <v>48</v>
      </c>
      <c r="AG112" s="7">
        <v>2023</v>
      </c>
      <c r="AH112" s="3" t="s">
        <v>76</v>
      </c>
      <c r="AI112" s="3" t="s">
        <v>166</v>
      </c>
      <c r="AJ112" s="3" t="s">
        <v>78</v>
      </c>
      <c r="AK112" s="3" t="s">
        <v>257</v>
      </c>
      <c r="AL112" s="3" t="s">
        <v>59</v>
      </c>
      <c r="AM112" s="3" t="s">
        <v>60</v>
      </c>
      <c r="AN112" s="3" t="s">
        <v>61</v>
      </c>
      <c r="AO112" s="3" t="s">
        <v>62</v>
      </c>
      <c r="AP112" s="3" t="s">
        <v>69</v>
      </c>
      <c r="AQ112" s="3" t="s">
        <v>61</v>
      </c>
      <c r="AR112" s="3" t="s">
        <v>48</v>
      </c>
    </row>
    <row r="113" spans="1:44" ht="30" customHeight="1">
      <c r="A113" s="3" t="s">
        <v>44</v>
      </c>
      <c r="B113" s="3" t="s">
        <v>45</v>
      </c>
      <c r="C113" s="3" t="s">
        <v>46</v>
      </c>
      <c r="D113" s="3" t="s">
        <v>70</v>
      </c>
      <c r="E113" s="3" t="s">
        <v>48</v>
      </c>
      <c r="F113" s="3" t="s">
        <v>71</v>
      </c>
      <c r="G113" s="3" t="s">
        <v>1294</v>
      </c>
      <c r="H113" s="4">
        <f>IF(DATEDIF(L113,S113,"m")&gt;12,DATEDIF(L113,S113,"y"),(DATEDIF(L113,S113,"m")/12))</f>
        <v>3</v>
      </c>
      <c r="I113" s="7">
        <f>DATEDIF(L113,S113,"M")</f>
        <v>44</v>
      </c>
      <c r="J113" s="7">
        <f>DATEDIF(L113,S113,"D")</f>
        <v>1366</v>
      </c>
      <c r="K113" s="3" t="s">
        <v>64</v>
      </c>
      <c r="L113" s="8">
        <v>43581</v>
      </c>
      <c r="M113" s="3" t="s">
        <v>45</v>
      </c>
      <c r="N113" s="3" t="s">
        <v>90</v>
      </c>
      <c r="O113" s="3" t="s">
        <v>52</v>
      </c>
      <c r="P113" s="3" t="s">
        <v>463</v>
      </c>
      <c r="Q113" s="7">
        <v>1</v>
      </c>
      <c r="R113" s="8">
        <v>44948</v>
      </c>
      <c r="S113" s="8">
        <v>44947</v>
      </c>
      <c r="T113" s="3" t="s">
        <v>54</v>
      </c>
      <c r="U113" s="3" t="s">
        <v>55</v>
      </c>
      <c r="V113" s="9"/>
      <c r="W113" s="10">
        <v>44949</v>
      </c>
      <c r="X113" s="7">
        <v>1</v>
      </c>
      <c r="Y113" s="7">
        <v>1</v>
      </c>
      <c r="Z113" s="7">
        <v>1</v>
      </c>
      <c r="AA113" s="7">
        <f>INT((S113-DATE(YEAR(S113-WEEKDAY(S113-0)+4),1,4)+WEEKDAY(DATE(YEAR(S113-WEEKDAY(S113-0)+4),1,4))+6)/7)</f>
        <v>3</v>
      </c>
      <c r="AB113" s="3" t="s">
        <v>1295</v>
      </c>
      <c r="AC113" s="7">
        <v>633</v>
      </c>
      <c r="AD113" s="7">
        <v>0</v>
      </c>
      <c r="AE113" s="7">
        <v>1</v>
      </c>
      <c r="AF113" s="3" t="s">
        <v>48</v>
      </c>
      <c r="AG113" s="7">
        <v>2023</v>
      </c>
      <c r="AH113" s="3" t="s">
        <v>76</v>
      </c>
      <c r="AI113" s="3" t="s">
        <v>166</v>
      </c>
      <c r="AJ113" s="3" t="s">
        <v>78</v>
      </c>
      <c r="AK113" s="3" t="s">
        <v>162</v>
      </c>
      <c r="AL113" s="3" t="s">
        <v>59</v>
      </c>
      <c r="AM113" s="3" t="s">
        <v>60</v>
      </c>
      <c r="AN113" s="3" t="s">
        <v>61</v>
      </c>
      <c r="AO113" s="3" t="s">
        <v>62</v>
      </c>
      <c r="AP113" s="3" t="s">
        <v>69</v>
      </c>
      <c r="AQ113" s="3" t="s">
        <v>61</v>
      </c>
      <c r="AR113" s="3" t="s">
        <v>48</v>
      </c>
    </row>
    <row r="114" spans="1:44" ht="30" customHeight="1">
      <c r="A114" s="3" t="s">
        <v>44</v>
      </c>
      <c r="B114" s="3" t="s">
        <v>45</v>
      </c>
      <c r="C114" s="3" t="s">
        <v>46</v>
      </c>
      <c r="D114" s="3" t="s">
        <v>100</v>
      </c>
      <c r="E114" s="3" t="s">
        <v>48</v>
      </c>
      <c r="F114" s="3" t="s">
        <v>1322</v>
      </c>
      <c r="G114" s="3" t="s">
        <v>1372</v>
      </c>
      <c r="H114" s="4">
        <f>IF(DATEDIF(L114,S114,"m")&gt;12,DATEDIF(L114,S114,"y"),(DATEDIF(L114,S114,"m")/12))</f>
        <v>26</v>
      </c>
      <c r="I114" s="7">
        <f>DATEDIF(L114,S114,"M")</f>
        <v>323</v>
      </c>
      <c r="J114" s="7">
        <f>DATEDIF(L114,S114,"D")</f>
        <v>9847</v>
      </c>
      <c r="K114" s="3" t="s">
        <v>64</v>
      </c>
      <c r="L114" s="8">
        <v>35089</v>
      </c>
      <c r="M114" s="3" t="s">
        <v>45</v>
      </c>
      <c r="N114" s="3" t="s">
        <v>65</v>
      </c>
      <c r="O114" s="3" t="s">
        <v>52</v>
      </c>
      <c r="P114" s="3" t="s">
        <v>298</v>
      </c>
      <c r="Q114" s="7">
        <v>1</v>
      </c>
      <c r="R114" s="8">
        <v>44939</v>
      </c>
      <c r="S114" s="8">
        <v>44936</v>
      </c>
      <c r="T114" s="3" t="s">
        <v>54</v>
      </c>
      <c r="U114" s="3" t="s">
        <v>55</v>
      </c>
      <c r="V114" s="9"/>
      <c r="W114" s="10">
        <v>44949</v>
      </c>
      <c r="X114" s="7">
        <v>10</v>
      </c>
      <c r="Y114" s="7">
        <v>3</v>
      </c>
      <c r="Z114" s="7">
        <v>1</v>
      </c>
      <c r="AA114" s="7">
        <f>INT((S114-DATE(YEAR(S114-WEEKDAY(S114-0)+4),1,4)+WEEKDAY(DATE(YEAR(S114-WEEKDAY(S114-0)+4),1,4))+6)/7)</f>
        <v>2</v>
      </c>
      <c r="AB114" s="3" t="s">
        <v>1373</v>
      </c>
      <c r="AC114" s="7">
        <v>14</v>
      </c>
      <c r="AD114" s="7">
        <v>0</v>
      </c>
      <c r="AE114" s="7">
        <v>0</v>
      </c>
      <c r="AF114" s="3" t="s">
        <v>48</v>
      </c>
      <c r="AG114" s="7">
        <v>2023</v>
      </c>
      <c r="AH114" s="3" t="s">
        <v>223</v>
      </c>
      <c r="AI114" s="3" t="s">
        <v>48</v>
      </c>
      <c r="AJ114" s="3" t="s">
        <v>48</v>
      </c>
      <c r="AK114" s="3" t="s">
        <v>903</v>
      </c>
      <c r="AL114" s="3" t="s">
        <v>59</v>
      </c>
      <c r="AM114" s="3" t="s">
        <v>99</v>
      </c>
      <c r="AN114" s="3" t="s">
        <v>61</v>
      </c>
      <c r="AO114" s="3" t="s">
        <v>62</v>
      </c>
      <c r="AP114" s="3" t="s">
        <v>69</v>
      </c>
      <c r="AQ114" s="3" t="s">
        <v>69</v>
      </c>
      <c r="AR114" s="3" t="s">
        <v>1374</v>
      </c>
    </row>
    <row r="115" spans="1:44" ht="30" customHeight="1">
      <c r="A115" s="3" t="s">
        <v>44</v>
      </c>
      <c r="B115" s="3" t="s">
        <v>45</v>
      </c>
      <c r="C115" s="3" t="s">
        <v>46</v>
      </c>
      <c r="D115" s="3" t="s">
        <v>108</v>
      </c>
      <c r="E115" s="3" t="s">
        <v>48</v>
      </c>
      <c r="F115" s="3" t="s">
        <v>108</v>
      </c>
      <c r="G115" s="3" t="s">
        <v>1732</v>
      </c>
      <c r="H115" s="4">
        <f>IF(DATEDIF(L115,S115,"m")&gt;12,DATEDIF(L115,S115,"y"),(DATEDIF(L115,S115,"m")/12))</f>
        <v>1</v>
      </c>
      <c r="I115" s="7">
        <f>DATEDIF(L115,S115,"M")</f>
        <v>16</v>
      </c>
      <c r="J115" s="7">
        <f>DATEDIF(L115,S115,"D")</f>
        <v>489</v>
      </c>
      <c r="K115" s="3" t="s">
        <v>51</v>
      </c>
      <c r="L115" s="8">
        <v>44474</v>
      </c>
      <c r="M115" s="3" t="s">
        <v>45</v>
      </c>
      <c r="N115" s="3" t="s">
        <v>73</v>
      </c>
      <c r="O115" s="3" t="s">
        <v>52</v>
      </c>
      <c r="P115" s="3" t="s">
        <v>237</v>
      </c>
      <c r="Q115" s="7">
        <v>0</v>
      </c>
      <c r="R115" s="8">
        <v>44965</v>
      </c>
      <c r="S115" s="8">
        <v>44963</v>
      </c>
      <c r="T115" s="3" t="s">
        <v>54</v>
      </c>
      <c r="U115" s="3" t="s">
        <v>55</v>
      </c>
      <c r="V115" s="9"/>
      <c r="W115" s="10">
        <v>44971</v>
      </c>
      <c r="X115" s="7">
        <v>6</v>
      </c>
      <c r="Y115" s="7">
        <v>2</v>
      </c>
      <c r="Z115" s="7">
        <v>2</v>
      </c>
      <c r="AA115" s="7">
        <f>INT((S115-DATE(YEAR(S115-WEEKDAY(S115-0)+4),1,4)+WEEKDAY(DATE(YEAR(S115-WEEKDAY(S115-0)+4),1,4))+6)/7)</f>
        <v>6</v>
      </c>
      <c r="AB115" s="3" t="s">
        <v>1733</v>
      </c>
      <c r="AC115" s="7">
        <v>244</v>
      </c>
      <c r="AD115" s="7">
        <v>0</v>
      </c>
      <c r="AE115" s="7">
        <v>0</v>
      </c>
      <c r="AF115" s="3" t="s">
        <v>48</v>
      </c>
      <c r="AG115" s="7">
        <v>2023</v>
      </c>
      <c r="AH115" s="3" t="s">
        <v>112</v>
      </c>
      <c r="AI115" s="3" t="s">
        <v>113</v>
      </c>
      <c r="AJ115" s="3" t="s">
        <v>48</v>
      </c>
      <c r="AK115" s="3" t="s">
        <v>114</v>
      </c>
      <c r="AL115" s="3" t="s">
        <v>59</v>
      </c>
      <c r="AM115" s="3" t="s">
        <v>115</v>
      </c>
      <c r="AN115" s="3" t="s">
        <v>61</v>
      </c>
      <c r="AO115" s="3" t="s">
        <v>62</v>
      </c>
      <c r="AP115" s="3" t="s">
        <v>69</v>
      </c>
      <c r="AQ115" s="3" t="s">
        <v>61</v>
      </c>
      <c r="AR115" s="3" t="s">
        <v>48</v>
      </c>
    </row>
    <row r="116" spans="1:44" ht="30" customHeight="1">
      <c r="A116" s="3" t="s">
        <v>44</v>
      </c>
      <c r="B116" s="3" t="s">
        <v>45</v>
      </c>
      <c r="C116" s="3" t="s">
        <v>46</v>
      </c>
      <c r="D116" s="3" t="s">
        <v>70</v>
      </c>
      <c r="E116" s="3" t="s">
        <v>48</v>
      </c>
      <c r="F116" s="3" t="s">
        <v>71</v>
      </c>
      <c r="G116" s="3" t="s">
        <v>1444</v>
      </c>
      <c r="H116" s="4">
        <f>IF(DATEDIF(L116,S116,"m")&gt;12,DATEDIF(L116,S116,"y"),(DATEDIF(L116,S116,"m")/12))</f>
        <v>1</v>
      </c>
      <c r="I116" s="7">
        <f>DATEDIF(L116,S116,"M")</f>
        <v>14</v>
      </c>
      <c r="J116" s="7">
        <f>DATEDIF(L116,S116,"D")</f>
        <v>444</v>
      </c>
      <c r="K116" s="3" t="s">
        <v>64</v>
      </c>
      <c r="L116" s="8">
        <v>44502</v>
      </c>
      <c r="M116" s="3" t="s">
        <v>45</v>
      </c>
      <c r="N116" s="3" t="s">
        <v>90</v>
      </c>
      <c r="O116" s="3" t="s">
        <v>52</v>
      </c>
      <c r="P116" s="3" t="s">
        <v>103</v>
      </c>
      <c r="Q116" s="7">
        <v>1</v>
      </c>
      <c r="R116" s="8">
        <v>44947</v>
      </c>
      <c r="S116" s="8">
        <v>44946</v>
      </c>
      <c r="T116" s="3" t="s">
        <v>54</v>
      </c>
      <c r="U116" s="3" t="s">
        <v>55</v>
      </c>
      <c r="V116" s="9"/>
      <c r="W116" s="10">
        <v>44949</v>
      </c>
      <c r="X116" s="7">
        <v>2</v>
      </c>
      <c r="Y116" s="7">
        <v>1</v>
      </c>
      <c r="Z116" s="7">
        <v>1</v>
      </c>
      <c r="AA116" s="7">
        <f>INT((S116-DATE(YEAR(S116-WEEKDAY(S116-0)+4),1,4)+WEEKDAY(DATE(YEAR(S116-WEEKDAY(S116-0)+4),1,4))+6)/7)</f>
        <v>3</v>
      </c>
      <c r="AB116" s="3" t="s">
        <v>1445</v>
      </c>
      <c r="AC116" s="7">
        <v>626</v>
      </c>
      <c r="AD116" s="7">
        <v>0</v>
      </c>
      <c r="AE116" s="7">
        <v>1</v>
      </c>
      <c r="AF116" s="3" t="s">
        <v>48</v>
      </c>
      <c r="AG116" s="7">
        <v>2023</v>
      </c>
      <c r="AH116" s="3" t="s">
        <v>76</v>
      </c>
      <c r="AI116" s="3" t="s">
        <v>166</v>
      </c>
      <c r="AJ116" s="3" t="s">
        <v>78</v>
      </c>
      <c r="AK116" s="3" t="s">
        <v>257</v>
      </c>
      <c r="AL116" s="3" t="s">
        <v>59</v>
      </c>
      <c r="AM116" s="3" t="s">
        <v>60</v>
      </c>
      <c r="AN116" s="3" t="s">
        <v>61</v>
      </c>
      <c r="AO116" s="3" t="s">
        <v>62</v>
      </c>
      <c r="AP116" s="3" t="s">
        <v>69</v>
      </c>
      <c r="AQ116" s="3" t="s">
        <v>61</v>
      </c>
      <c r="AR116" s="3" t="s">
        <v>48</v>
      </c>
    </row>
    <row r="117" spans="1:44" ht="30" customHeight="1">
      <c r="A117" s="3" t="s">
        <v>44</v>
      </c>
      <c r="B117" s="3" t="s">
        <v>45</v>
      </c>
      <c r="C117" s="3" t="s">
        <v>46</v>
      </c>
      <c r="D117" s="3" t="s">
        <v>108</v>
      </c>
      <c r="E117" s="3" t="s">
        <v>48</v>
      </c>
      <c r="F117" s="3" t="s">
        <v>108</v>
      </c>
      <c r="G117" s="3" t="s">
        <v>2134</v>
      </c>
      <c r="H117" s="4">
        <f>IF(DATEDIF(L117,S117,"m")&gt;12,DATEDIF(L117,S117,"y"),(DATEDIF(L117,S117,"m")/12))</f>
        <v>5</v>
      </c>
      <c r="I117" s="7">
        <f>DATEDIF(L117,S117,"M")</f>
        <v>71</v>
      </c>
      <c r="J117" s="7">
        <f>DATEDIF(L117,S117,"D")</f>
        <v>2165</v>
      </c>
      <c r="K117" s="3" t="s">
        <v>51</v>
      </c>
      <c r="L117" s="8">
        <v>42796</v>
      </c>
      <c r="M117" s="3" t="s">
        <v>45</v>
      </c>
      <c r="N117" s="3" t="s">
        <v>73</v>
      </c>
      <c r="O117" s="3" t="s">
        <v>52</v>
      </c>
      <c r="P117" s="3" t="s">
        <v>169</v>
      </c>
      <c r="Q117" s="7">
        <v>0</v>
      </c>
      <c r="R117" s="8">
        <v>44963</v>
      </c>
      <c r="S117" s="8">
        <v>44961</v>
      </c>
      <c r="T117" s="3" t="s">
        <v>54</v>
      </c>
      <c r="U117" s="3" t="s">
        <v>55</v>
      </c>
      <c r="V117" s="9"/>
      <c r="W117" s="10">
        <v>44971</v>
      </c>
      <c r="X117" s="7">
        <v>8</v>
      </c>
      <c r="Y117" s="7">
        <v>2</v>
      </c>
      <c r="Z117" s="7">
        <v>2</v>
      </c>
      <c r="AA117" s="7">
        <f>INT((S117-DATE(YEAR(S117-WEEKDAY(S117-0)+4),1,4)+WEEKDAY(DATE(YEAR(S117-WEEKDAY(S117-0)+4),1,4))+6)/7)</f>
        <v>5</v>
      </c>
      <c r="AB117" s="3" t="s">
        <v>2135</v>
      </c>
      <c r="AC117" s="7">
        <v>217</v>
      </c>
      <c r="AD117" s="7">
        <v>0</v>
      </c>
      <c r="AE117" s="7">
        <v>0</v>
      </c>
      <c r="AF117" s="3" t="s">
        <v>48</v>
      </c>
      <c r="AG117" s="7">
        <v>2023</v>
      </c>
      <c r="AH117" s="3" t="s">
        <v>112</v>
      </c>
      <c r="AI117" s="3" t="s">
        <v>113</v>
      </c>
      <c r="AJ117" s="3" t="s">
        <v>48</v>
      </c>
      <c r="AK117" s="3" t="s">
        <v>114</v>
      </c>
      <c r="AL117" s="3" t="s">
        <v>59</v>
      </c>
      <c r="AM117" s="3" t="s">
        <v>115</v>
      </c>
      <c r="AN117" s="3" t="s">
        <v>61</v>
      </c>
      <c r="AO117" s="3" t="s">
        <v>62</v>
      </c>
      <c r="AP117" s="3" t="s">
        <v>69</v>
      </c>
      <c r="AQ117" s="3" t="s">
        <v>61</v>
      </c>
      <c r="AR117" s="3" t="s">
        <v>48</v>
      </c>
    </row>
    <row r="118" spans="1:44" ht="30" customHeight="1">
      <c r="A118" s="3" t="s">
        <v>44</v>
      </c>
      <c r="B118" s="3" t="s">
        <v>45</v>
      </c>
      <c r="C118" s="3" t="s">
        <v>46</v>
      </c>
      <c r="D118" s="3" t="s">
        <v>186</v>
      </c>
      <c r="E118" s="3" t="s">
        <v>48</v>
      </c>
      <c r="F118" s="3" t="s">
        <v>271</v>
      </c>
      <c r="G118" s="3" t="s">
        <v>1700</v>
      </c>
      <c r="H118" s="4">
        <f>IF(DATEDIF(L118,S118,"m")&gt;12,DATEDIF(L118,S118,"y"),(DATEDIF(L118,S118,"m")/12))</f>
        <v>74</v>
      </c>
      <c r="I118" s="7">
        <f>DATEDIF(L118,S118,"M")</f>
        <v>892</v>
      </c>
      <c r="J118" s="7">
        <f>DATEDIF(L118,S118,"D")</f>
        <v>27173</v>
      </c>
      <c r="K118" s="3" t="s">
        <v>51</v>
      </c>
      <c r="L118" s="8">
        <v>17768</v>
      </c>
      <c r="M118" s="3" t="s">
        <v>45</v>
      </c>
      <c r="N118" s="3" t="s">
        <v>187</v>
      </c>
      <c r="O118" s="3" t="s">
        <v>52</v>
      </c>
      <c r="P118" s="3" t="s">
        <v>1701</v>
      </c>
      <c r="Q118" s="7">
        <v>0</v>
      </c>
      <c r="R118" s="8">
        <v>44941</v>
      </c>
      <c r="S118" s="8">
        <v>44941</v>
      </c>
      <c r="T118" s="3" t="s">
        <v>54</v>
      </c>
      <c r="U118" s="3" t="s">
        <v>55</v>
      </c>
      <c r="V118" s="9"/>
      <c r="W118" s="10">
        <v>44949</v>
      </c>
      <c r="X118" s="7">
        <v>8</v>
      </c>
      <c r="Y118" s="7">
        <v>0</v>
      </c>
      <c r="Z118" s="7">
        <v>1</v>
      </c>
      <c r="AA118" s="7">
        <f>INT((S118-DATE(YEAR(S118-WEEKDAY(S118-0)+4),1,4)+WEEKDAY(DATE(YEAR(S118-WEEKDAY(S118-0)+4),1,4))+6)/7)</f>
        <v>3</v>
      </c>
      <c r="AB118" s="3" t="s">
        <v>1702</v>
      </c>
      <c r="AC118" s="7">
        <v>91</v>
      </c>
      <c r="AD118" s="7">
        <v>0</v>
      </c>
      <c r="AE118" s="7">
        <v>0</v>
      </c>
      <c r="AF118" s="3" t="s">
        <v>48</v>
      </c>
      <c r="AG118" s="7">
        <v>2023</v>
      </c>
      <c r="AH118" s="18" t="s">
        <v>276</v>
      </c>
      <c r="AI118" s="3" t="s">
        <v>191</v>
      </c>
      <c r="AJ118" s="3" t="s">
        <v>186</v>
      </c>
      <c r="AK118" s="3" t="s">
        <v>1283</v>
      </c>
      <c r="AL118" s="3" t="s">
        <v>59</v>
      </c>
      <c r="AM118" s="3" t="s">
        <v>60</v>
      </c>
      <c r="AN118" s="3" t="s">
        <v>61</v>
      </c>
      <c r="AO118" s="3" t="s">
        <v>62</v>
      </c>
      <c r="AP118" s="3" t="s">
        <v>69</v>
      </c>
      <c r="AQ118" s="3" t="s">
        <v>61</v>
      </c>
      <c r="AR118" s="3" t="s">
        <v>48</v>
      </c>
    </row>
    <row r="119" spans="1:44" ht="30" customHeight="1">
      <c r="A119" s="3" t="s">
        <v>44</v>
      </c>
      <c r="B119" s="3" t="s">
        <v>45</v>
      </c>
      <c r="C119" s="3" t="s">
        <v>46</v>
      </c>
      <c r="D119" s="3" t="s">
        <v>130</v>
      </c>
      <c r="E119" s="3" t="s">
        <v>48</v>
      </c>
      <c r="F119" s="3" t="s">
        <v>135</v>
      </c>
      <c r="G119" s="3" t="s">
        <v>1723</v>
      </c>
      <c r="H119" s="4">
        <f>IF(DATEDIF(L119,S119,"m")&gt;12,DATEDIF(L119,S119,"y"),(DATEDIF(L119,S119,"m")/12))</f>
        <v>3</v>
      </c>
      <c r="I119" s="7">
        <f>DATEDIF(L119,S119,"M")</f>
        <v>42</v>
      </c>
      <c r="J119" s="7">
        <f>DATEDIF(L119,S119,"D")</f>
        <v>1302</v>
      </c>
      <c r="K119" s="3" t="s">
        <v>51</v>
      </c>
      <c r="L119" s="8">
        <v>43641</v>
      </c>
      <c r="M119" s="3" t="s">
        <v>45</v>
      </c>
      <c r="N119" s="3" t="s">
        <v>83</v>
      </c>
      <c r="O119" s="3" t="s">
        <v>52</v>
      </c>
      <c r="P119" s="3" t="s">
        <v>322</v>
      </c>
      <c r="Q119" s="7">
        <v>0</v>
      </c>
      <c r="R119" s="8">
        <v>44946</v>
      </c>
      <c r="S119" s="8">
        <v>44943</v>
      </c>
      <c r="T119" s="3" t="s">
        <v>54</v>
      </c>
      <c r="U119" s="3" t="s">
        <v>55</v>
      </c>
      <c r="V119" s="9"/>
      <c r="W119" s="10">
        <v>44949</v>
      </c>
      <c r="X119" s="7">
        <v>3</v>
      </c>
      <c r="Y119" s="7">
        <v>3</v>
      </c>
      <c r="Z119" s="7">
        <v>1</v>
      </c>
      <c r="AA119" s="7">
        <f>INT((S119-DATE(YEAR(S119-WEEKDAY(S119-0)+4),1,4)+WEEKDAY(DATE(YEAR(S119-WEEKDAY(S119-0)+4),1,4))+6)/7)</f>
        <v>3</v>
      </c>
      <c r="AB119" s="3" t="s">
        <v>1724</v>
      </c>
      <c r="AC119" s="7">
        <v>83</v>
      </c>
      <c r="AD119" s="7">
        <v>0</v>
      </c>
      <c r="AE119" s="7">
        <v>0</v>
      </c>
      <c r="AF119" s="3" t="s">
        <v>48</v>
      </c>
      <c r="AG119" s="7">
        <v>2023</v>
      </c>
      <c r="AH119" s="3" t="s">
        <v>139</v>
      </c>
      <c r="AI119" s="3" t="s">
        <v>113</v>
      </c>
      <c r="AJ119" s="3" t="s">
        <v>48</v>
      </c>
      <c r="AK119" s="12" t="s">
        <v>140</v>
      </c>
      <c r="AL119" s="3" t="s">
        <v>59</v>
      </c>
      <c r="AM119" s="3" t="s">
        <v>60</v>
      </c>
      <c r="AN119" s="3" t="s">
        <v>61</v>
      </c>
      <c r="AO119" s="3" t="s">
        <v>62</v>
      </c>
      <c r="AP119" s="3" t="s">
        <v>69</v>
      </c>
      <c r="AQ119" s="3" t="s">
        <v>61</v>
      </c>
      <c r="AR119" s="3" t="s">
        <v>48</v>
      </c>
    </row>
    <row r="120" spans="1:44" ht="30" customHeight="1">
      <c r="A120" s="3" t="s">
        <v>44</v>
      </c>
      <c r="B120" s="3" t="s">
        <v>45</v>
      </c>
      <c r="C120" s="3" t="s">
        <v>46</v>
      </c>
      <c r="D120" s="3" t="s">
        <v>70</v>
      </c>
      <c r="E120" s="3" t="s">
        <v>48</v>
      </c>
      <c r="F120" s="3" t="s">
        <v>71</v>
      </c>
      <c r="G120" s="3" t="s">
        <v>1754</v>
      </c>
      <c r="H120" s="4">
        <f>IF(DATEDIF(L120,S120,"m")&gt;12,DATEDIF(L120,S120,"y"),(DATEDIF(L120,S120,"m")/12))</f>
        <v>1</v>
      </c>
      <c r="I120" s="7">
        <f>DATEDIF(L120,S120,"M")</f>
        <v>23</v>
      </c>
      <c r="J120" s="7">
        <f>DATEDIF(L120,S120,"D")</f>
        <v>713</v>
      </c>
      <c r="K120" s="3" t="s">
        <v>51</v>
      </c>
      <c r="L120" s="8">
        <v>44233</v>
      </c>
      <c r="M120" s="3" t="s">
        <v>45</v>
      </c>
      <c r="N120" s="3" t="s">
        <v>329</v>
      </c>
      <c r="O120" s="3" t="s">
        <v>52</v>
      </c>
      <c r="P120" s="3" t="s">
        <v>1163</v>
      </c>
      <c r="Q120" s="7">
        <v>1</v>
      </c>
      <c r="R120" s="8">
        <v>44947</v>
      </c>
      <c r="S120" s="8">
        <v>44946</v>
      </c>
      <c r="T120" s="3" t="s">
        <v>54</v>
      </c>
      <c r="U120" s="3" t="s">
        <v>55</v>
      </c>
      <c r="V120" s="9"/>
      <c r="W120" s="10">
        <v>44949</v>
      </c>
      <c r="X120" s="7">
        <v>2</v>
      </c>
      <c r="Y120" s="7">
        <v>1</v>
      </c>
      <c r="Z120" s="7">
        <v>1</v>
      </c>
      <c r="AA120" s="7">
        <f>INT((S120-DATE(YEAR(S120-WEEKDAY(S120-0)+4),1,4)+WEEKDAY(DATE(YEAR(S120-WEEKDAY(S120-0)+4),1,4))+6)/7)</f>
        <v>3</v>
      </c>
      <c r="AB120" s="3" t="s">
        <v>1755</v>
      </c>
      <c r="AC120" s="7">
        <v>629</v>
      </c>
      <c r="AD120" s="7">
        <v>0</v>
      </c>
      <c r="AE120" s="7">
        <v>1</v>
      </c>
      <c r="AF120" s="3" t="s">
        <v>48</v>
      </c>
      <c r="AG120" s="7">
        <v>2023</v>
      </c>
      <c r="AH120" s="3" t="s">
        <v>76</v>
      </c>
      <c r="AI120" s="3" t="s">
        <v>166</v>
      </c>
      <c r="AJ120" s="3" t="s">
        <v>78</v>
      </c>
      <c r="AK120" s="3" t="s">
        <v>162</v>
      </c>
      <c r="AL120" s="3" t="s">
        <v>59</v>
      </c>
      <c r="AM120" s="3" t="s">
        <v>60</v>
      </c>
      <c r="AN120" s="3" t="s">
        <v>61</v>
      </c>
      <c r="AO120" s="3" t="s">
        <v>62</v>
      </c>
      <c r="AP120" s="3" t="s">
        <v>69</v>
      </c>
      <c r="AQ120" s="3" t="s">
        <v>61</v>
      </c>
      <c r="AR120" s="3" t="s">
        <v>48</v>
      </c>
    </row>
    <row r="121" spans="1:44" ht="30" customHeight="1">
      <c r="A121" s="3" t="s">
        <v>44</v>
      </c>
      <c r="B121" s="3" t="s">
        <v>45</v>
      </c>
      <c r="C121" s="3" t="s">
        <v>46</v>
      </c>
      <c r="D121" s="3" t="s">
        <v>130</v>
      </c>
      <c r="E121" s="3" t="s">
        <v>48</v>
      </c>
      <c r="F121" s="3" t="s">
        <v>135</v>
      </c>
      <c r="G121" s="3" t="s">
        <v>1771</v>
      </c>
      <c r="H121" s="4">
        <f>IF(DATEDIF(L121,S121,"m")&gt;12,DATEDIF(L121,S121,"y"),(DATEDIF(L121,S121,"m")/12))</f>
        <v>8</v>
      </c>
      <c r="I121" s="7">
        <f>DATEDIF(L121,S121,"M")</f>
        <v>104</v>
      </c>
      <c r="J121" s="7">
        <f>DATEDIF(L121,S121,"D")</f>
        <v>3167</v>
      </c>
      <c r="K121" s="3" t="s">
        <v>64</v>
      </c>
      <c r="L121" s="8">
        <v>41778</v>
      </c>
      <c r="M121" s="3" t="s">
        <v>45</v>
      </c>
      <c r="N121" s="3" t="s">
        <v>83</v>
      </c>
      <c r="O121" s="3" t="s">
        <v>52</v>
      </c>
      <c r="P121" s="3" t="s">
        <v>608</v>
      </c>
      <c r="Q121" s="7">
        <v>0</v>
      </c>
      <c r="R121" s="8">
        <v>44949</v>
      </c>
      <c r="S121" s="8">
        <v>44945</v>
      </c>
      <c r="T121" s="3" t="s">
        <v>54</v>
      </c>
      <c r="U121" s="3" t="s">
        <v>55</v>
      </c>
      <c r="V121" s="9"/>
      <c r="W121" s="10">
        <v>44949</v>
      </c>
      <c r="X121" s="7">
        <v>0</v>
      </c>
      <c r="Y121" s="7">
        <v>4</v>
      </c>
      <c r="Z121" s="7">
        <v>1</v>
      </c>
      <c r="AA121" s="7">
        <f>INT((S121-DATE(YEAR(S121-WEEKDAY(S121-0)+4),1,4)+WEEKDAY(DATE(YEAR(S121-WEEKDAY(S121-0)+4),1,4))+6)/7)</f>
        <v>3</v>
      </c>
      <c r="AB121" s="3" t="s">
        <v>1772</v>
      </c>
      <c r="AC121" s="7">
        <v>84</v>
      </c>
      <c r="AD121" s="7">
        <v>0</v>
      </c>
      <c r="AE121" s="7">
        <v>0</v>
      </c>
      <c r="AF121" s="3" t="s">
        <v>48</v>
      </c>
      <c r="AG121" s="7">
        <v>2023</v>
      </c>
      <c r="AH121" s="3" t="s">
        <v>139</v>
      </c>
      <c r="AI121" s="3" t="s">
        <v>113</v>
      </c>
      <c r="AJ121" s="3" t="s">
        <v>48</v>
      </c>
      <c r="AK121" s="12" t="s">
        <v>140</v>
      </c>
      <c r="AL121" s="3" t="s">
        <v>59</v>
      </c>
      <c r="AM121" s="3" t="s">
        <v>60</v>
      </c>
      <c r="AN121" s="3" t="s">
        <v>61</v>
      </c>
      <c r="AO121" s="3" t="s">
        <v>62</v>
      </c>
      <c r="AP121" s="3" t="s">
        <v>69</v>
      </c>
      <c r="AQ121" s="3" t="s">
        <v>61</v>
      </c>
      <c r="AR121" s="3" t="s">
        <v>48</v>
      </c>
    </row>
    <row r="122" spans="1:44" ht="30" customHeight="1">
      <c r="A122" s="3" t="s">
        <v>44</v>
      </c>
      <c r="B122" s="3" t="s">
        <v>45</v>
      </c>
      <c r="C122" s="3" t="s">
        <v>46</v>
      </c>
      <c r="D122" s="3" t="s">
        <v>186</v>
      </c>
      <c r="E122" s="3" t="s">
        <v>48</v>
      </c>
      <c r="F122" s="3" t="s">
        <v>48</v>
      </c>
      <c r="G122" s="3" t="s">
        <v>48</v>
      </c>
      <c r="H122" s="4">
        <f>IF(DATEDIF(L122,S122,"m")&gt;12,DATEDIF(L122,S122,"y"),(DATEDIF(L122,S122,"m")/12))</f>
        <v>9</v>
      </c>
      <c r="I122" s="7">
        <f>DATEDIF(L122,S122,"M")</f>
        <v>110</v>
      </c>
      <c r="J122" s="7">
        <f>DATEDIF(L122,S122,"D")</f>
        <v>3370</v>
      </c>
      <c r="K122" s="3" t="s">
        <v>51</v>
      </c>
      <c r="L122" s="8">
        <v>41564</v>
      </c>
      <c r="M122" s="3" t="s">
        <v>45</v>
      </c>
      <c r="N122" s="3" t="s">
        <v>187</v>
      </c>
      <c r="O122" s="3" t="s">
        <v>52</v>
      </c>
      <c r="P122" s="3" t="s">
        <v>1863</v>
      </c>
      <c r="Q122" s="7">
        <v>0</v>
      </c>
      <c r="R122" s="8">
        <v>44939</v>
      </c>
      <c r="S122" s="8">
        <v>44934</v>
      </c>
      <c r="T122" s="3" t="s">
        <v>54</v>
      </c>
      <c r="U122" s="3" t="s">
        <v>55</v>
      </c>
      <c r="V122" s="9"/>
      <c r="W122" s="10">
        <v>44949</v>
      </c>
      <c r="X122" s="7">
        <v>10</v>
      </c>
      <c r="Y122" s="7">
        <v>5</v>
      </c>
      <c r="Z122" s="7">
        <v>1</v>
      </c>
      <c r="AA122" s="7">
        <f>INT((S122-DATE(YEAR(S122-WEEKDAY(S122-0)+4),1,4)+WEEKDAY(DATE(YEAR(S122-WEEKDAY(S122-0)+4),1,4))+6)/7)</f>
        <v>2</v>
      </c>
      <c r="AB122" s="3" t="s">
        <v>1864</v>
      </c>
      <c r="AC122" s="7">
        <v>69</v>
      </c>
      <c r="AD122" s="7">
        <v>0</v>
      </c>
      <c r="AE122" s="7">
        <v>0</v>
      </c>
      <c r="AF122" s="3" t="s">
        <v>48</v>
      </c>
      <c r="AG122" s="7">
        <v>2023</v>
      </c>
      <c r="AH122" s="3" t="s">
        <v>190</v>
      </c>
      <c r="AI122" s="3" t="s">
        <v>191</v>
      </c>
      <c r="AJ122" s="3" t="s">
        <v>186</v>
      </c>
      <c r="AK122" s="3" t="s">
        <v>817</v>
      </c>
      <c r="AL122" s="3" t="s">
        <v>59</v>
      </c>
      <c r="AM122" s="3" t="s">
        <v>115</v>
      </c>
      <c r="AN122" s="3" t="s">
        <v>61</v>
      </c>
      <c r="AO122" s="3" t="s">
        <v>62</v>
      </c>
      <c r="AP122" s="3" t="s">
        <v>69</v>
      </c>
      <c r="AQ122" s="3" t="s">
        <v>61</v>
      </c>
      <c r="AR122" s="3" t="s">
        <v>48</v>
      </c>
    </row>
    <row r="123" spans="1:44" ht="30" customHeight="1">
      <c r="A123" s="3" t="s">
        <v>44</v>
      </c>
      <c r="B123" s="3" t="s">
        <v>45</v>
      </c>
      <c r="C123" s="3" t="s">
        <v>46</v>
      </c>
      <c r="D123" s="3" t="s">
        <v>108</v>
      </c>
      <c r="E123" s="3" t="s">
        <v>48</v>
      </c>
      <c r="F123" s="3" t="s">
        <v>108</v>
      </c>
      <c r="G123" s="3" t="s">
        <v>2377</v>
      </c>
      <c r="H123" s="4">
        <f>IF(DATEDIF(L123,S123,"m")&gt;12,DATEDIF(L123,S123,"y"),(DATEDIF(L123,S123,"m")/12))</f>
        <v>5</v>
      </c>
      <c r="I123" s="7">
        <f>DATEDIF(L123,S123,"M")</f>
        <v>62</v>
      </c>
      <c r="J123" s="7">
        <f>DATEDIF(L123,S123,"D")</f>
        <v>1910</v>
      </c>
      <c r="K123" s="3" t="s">
        <v>51</v>
      </c>
      <c r="L123" s="8">
        <v>43051</v>
      </c>
      <c r="M123" s="3" t="s">
        <v>45</v>
      </c>
      <c r="N123" s="3" t="s">
        <v>73</v>
      </c>
      <c r="O123" s="3" t="s">
        <v>52</v>
      </c>
      <c r="P123" s="3" t="s">
        <v>84</v>
      </c>
      <c r="Q123" s="7">
        <v>0</v>
      </c>
      <c r="R123" s="8">
        <v>44964</v>
      </c>
      <c r="S123" s="8">
        <v>44961</v>
      </c>
      <c r="T123" s="3" t="s">
        <v>54</v>
      </c>
      <c r="U123" s="3" t="s">
        <v>55</v>
      </c>
      <c r="V123" s="9"/>
      <c r="W123" s="10">
        <v>44971</v>
      </c>
      <c r="X123" s="7">
        <v>7</v>
      </c>
      <c r="Y123" s="7">
        <v>3</v>
      </c>
      <c r="Z123" s="7">
        <v>2</v>
      </c>
      <c r="AA123" s="7">
        <f>INT((S123-DATE(YEAR(S123-WEEKDAY(S123-0)+4),1,4)+WEEKDAY(DATE(YEAR(S123-WEEKDAY(S123-0)+4),1,4))+6)/7)</f>
        <v>5</v>
      </c>
      <c r="AB123" s="3" t="s">
        <v>2378</v>
      </c>
      <c r="AC123" s="7">
        <v>237</v>
      </c>
      <c r="AD123" s="7">
        <v>0</v>
      </c>
      <c r="AE123" s="7">
        <v>0</v>
      </c>
      <c r="AF123" s="3" t="s">
        <v>48</v>
      </c>
      <c r="AG123" s="7">
        <v>2023</v>
      </c>
      <c r="AH123" s="3" t="s">
        <v>112</v>
      </c>
      <c r="AI123" s="3" t="s">
        <v>113</v>
      </c>
      <c r="AJ123" s="3" t="s">
        <v>48</v>
      </c>
      <c r="AK123" s="18" t="s">
        <v>114</v>
      </c>
      <c r="AL123" s="3" t="s">
        <v>59</v>
      </c>
      <c r="AM123" s="3" t="s">
        <v>115</v>
      </c>
      <c r="AN123" s="3" t="s">
        <v>61</v>
      </c>
      <c r="AO123" s="3" t="s">
        <v>62</v>
      </c>
      <c r="AP123" s="3" t="s">
        <v>69</v>
      </c>
      <c r="AQ123" s="3" t="s">
        <v>61</v>
      </c>
      <c r="AR123" s="3" t="s">
        <v>48</v>
      </c>
    </row>
    <row r="124" spans="1:44" ht="30" customHeight="1">
      <c r="A124" s="3" t="s">
        <v>44</v>
      </c>
      <c r="B124" s="3" t="s">
        <v>45</v>
      </c>
      <c r="C124" s="3" t="s">
        <v>46</v>
      </c>
      <c r="D124" s="3" t="s">
        <v>186</v>
      </c>
      <c r="E124" s="3" t="s">
        <v>48</v>
      </c>
      <c r="F124" s="3" t="s">
        <v>271</v>
      </c>
      <c r="G124" s="3" t="s">
        <v>2419</v>
      </c>
      <c r="H124" s="5">
        <f>IF(DATEDIF(L124,S124,"m")&gt;12,DATEDIF(L124,S124,"y"),(DATEDIF(L124,S124,"m")/12))</f>
        <v>0.33333333333333331</v>
      </c>
      <c r="I124" s="7">
        <f>DATEDIF(L124,S124,"M")</f>
        <v>4</v>
      </c>
      <c r="J124" s="7">
        <f>DATEDIF(L124,S124,"D")</f>
        <v>142</v>
      </c>
      <c r="K124" s="3" t="s">
        <v>64</v>
      </c>
      <c r="L124" s="8">
        <v>44797</v>
      </c>
      <c r="M124" s="3" t="s">
        <v>45</v>
      </c>
      <c r="N124" s="3" t="s">
        <v>187</v>
      </c>
      <c r="O124" s="3" t="s">
        <v>52</v>
      </c>
      <c r="P124" s="3" t="s">
        <v>2420</v>
      </c>
      <c r="Q124" s="7">
        <v>0</v>
      </c>
      <c r="R124" s="8">
        <v>44942</v>
      </c>
      <c r="S124" s="8">
        <v>44939</v>
      </c>
      <c r="T124" s="3" t="s">
        <v>54</v>
      </c>
      <c r="U124" s="3" t="s">
        <v>55</v>
      </c>
      <c r="V124" s="9"/>
      <c r="W124" s="10">
        <v>44949</v>
      </c>
      <c r="X124" s="7">
        <v>7</v>
      </c>
      <c r="Y124" s="7">
        <v>3</v>
      </c>
      <c r="Z124" s="7">
        <v>1</v>
      </c>
      <c r="AA124" s="7">
        <f>INT((S124-DATE(YEAR(S124-WEEKDAY(S124-0)+4),1,4)+WEEKDAY(DATE(YEAR(S124-WEEKDAY(S124-0)+4),1,4))+6)/7)</f>
        <v>2</v>
      </c>
      <c r="AB124" s="3" t="s">
        <v>2421</v>
      </c>
      <c r="AC124" s="7">
        <v>90</v>
      </c>
      <c r="AD124" s="7">
        <v>0</v>
      </c>
      <c r="AE124" s="7">
        <v>0</v>
      </c>
      <c r="AF124" s="3" t="s">
        <v>48</v>
      </c>
      <c r="AG124" s="7">
        <v>2023</v>
      </c>
      <c r="AH124" s="3" t="s">
        <v>276</v>
      </c>
      <c r="AI124" s="3" t="s">
        <v>191</v>
      </c>
      <c r="AJ124" s="3" t="s">
        <v>186</v>
      </c>
      <c r="AK124" s="3" t="s">
        <v>2422</v>
      </c>
      <c r="AL124" s="3" t="s">
        <v>59</v>
      </c>
      <c r="AM124" s="3" t="s">
        <v>60</v>
      </c>
      <c r="AN124" s="3" t="s">
        <v>61</v>
      </c>
      <c r="AO124" s="3" t="s">
        <v>62</v>
      </c>
      <c r="AP124" s="3" t="s">
        <v>69</v>
      </c>
      <c r="AQ124" s="3" t="s">
        <v>61</v>
      </c>
      <c r="AR124" s="3" t="s">
        <v>48</v>
      </c>
    </row>
    <row r="125" spans="1:44" ht="30" customHeight="1">
      <c r="A125" s="3" t="s">
        <v>44</v>
      </c>
      <c r="B125" s="3" t="s">
        <v>45</v>
      </c>
      <c r="C125" s="3" t="s">
        <v>46</v>
      </c>
      <c r="D125" s="3" t="s">
        <v>70</v>
      </c>
      <c r="E125" s="3" t="s">
        <v>48</v>
      </c>
      <c r="F125" s="3" t="s">
        <v>71</v>
      </c>
      <c r="G125" s="3" t="s">
        <v>2425</v>
      </c>
      <c r="H125" s="4">
        <f>IF(DATEDIF(L125,S125,"m")&gt;12,DATEDIF(L125,S125,"y"),(DATEDIF(L125,S125,"m")/12))</f>
        <v>9</v>
      </c>
      <c r="I125" s="7">
        <f>DATEDIF(L125,S125,"M")</f>
        <v>117</v>
      </c>
      <c r="J125" s="7">
        <f>DATEDIF(L125,S125,"D")</f>
        <v>3570</v>
      </c>
      <c r="K125" s="3" t="s">
        <v>64</v>
      </c>
      <c r="L125" s="8">
        <v>41377</v>
      </c>
      <c r="M125" s="3" t="s">
        <v>45</v>
      </c>
      <c r="N125" s="3" t="s">
        <v>159</v>
      </c>
      <c r="O125" s="3" t="s">
        <v>52</v>
      </c>
      <c r="P125" s="3" t="s">
        <v>169</v>
      </c>
      <c r="Q125" s="7">
        <v>1</v>
      </c>
      <c r="R125" s="8">
        <v>44948</v>
      </c>
      <c r="S125" s="8">
        <v>44947</v>
      </c>
      <c r="T125" s="3" t="s">
        <v>54</v>
      </c>
      <c r="U125" s="3" t="s">
        <v>55</v>
      </c>
      <c r="V125" s="9"/>
      <c r="W125" s="10">
        <v>44949</v>
      </c>
      <c r="X125" s="7">
        <v>1</v>
      </c>
      <c r="Y125" s="7">
        <v>1</v>
      </c>
      <c r="Z125" s="7">
        <v>1</v>
      </c>
      <c r="AA125" s="7">
        <f>INT((S125-DATE(YEAR(S125-WEEKDAY(S125-0)+4),1,4)+WEEKDAY(DATE(YEAR(S125-WEEKDAY(S125-0)+4),1,4))+6)/7)</f>
        <v>3</v>
      </c>
      <c r="AB125" s="3" t="s">
        <v>2426</v>
      </c>
      <c r="AC125" s="7">
        <v>630</v>
      </c>
      <c r="AD125" s="7">
        <v>0</v>
      </c>
      <c r="AE125" s="7">
        <v>1</v>
      </c>
      <c r="AF125" s="3" t="s">
        <v>48</v>
      </c>
      <c r="AG125" s="7">
        <v>2023</v>
      </c>
      <c r="AH125" s="3" t="s">
        <v>76</v>
      </c>
      <c r="AI125" s="3" t="s">
        <v>77</v>
      </c>
      <c r="AJ125" s="3" t="s">
        <v>78</v>
      </c>
      <c r="AK125" s="3" t="s">
        <v>619</v>
      </c>
      <c r="AL125" s="3" t="s">
        <v>59</v>
      </c>
      <c r="AM125" s="3" t="s">
        <v>60</v>
      </c>
      <c r="AN125" s="3" t="s">
        <v>61</v>
      </c>
      <c r="AO125" s="3" t="s">
        <v>62</v>
      </c>
      <c r="AP125" s="3" t="s">
        <v>69</v>
      </c>
      <c r="AQ125" s="3" t="s">
        <v>61</v>
      </c>
      <c r="AR125" s="3" t="s">
        <v>48</v>
      </c>
    </row>
    <row r="126" spans="1:44" ht="30" customHeight="1">
      <c r="A126" s="3" t="s">
        <v>44</v>
      </c>
      <c r="B126" s="3" t="s">
        <v>45</v>
      </c>
      <c r="C126" s="3" t="s">
        <v>46</v>
      </c>
      <c r="D126" s="3" t="s">
        <v>108</v>
      </c>
      <c r="E126" s="3" t="s">
        <v>48</v>
      </c>
      <c r="F126" s="3" t="s">
        <v>108</v>
      </c>
      <c r="G126" s="3" t="s">
        <v>1018</v>
      </c>
      <c r="H126" s="4">
        <f>IF(DATEDIF(L126,S126,"m")&gt;12,DATEDIF(L126,S126,"y"),(DATEDIF(L126,S126,"m")/12))</f>
        <v>4</v>
      </c>
      <c r="I126" s="7">
        <f>DATEDIF(L126,S126,"M")</f>
        <v>59</v>
      </c>
      <c r="J126" s="7">
        <f>DATEDIF(L126,S126,"D")</f>
        <v>1821</v>
      </c>
      <c r="K126" s="3" t="s">
        <v>51</v>
      </c>
      <c r="L126" s="8">
        <v>43154</v>
      </c>
      <c r="M126" s="3" t="s">
        <v>45</v>
      </c>
      <c r="N126" s="3" t="s">
        <v>73</v>
      </c>
      <c r="O126" s="3" t="s">
        <v>52</v>
      </c>
      <c r="P126" s="3" t="s">
        <v>819</v>
      </c>
      <c r="Q126" s="7">
        <v>0</v>
      </c>
      <c r="R126" s="8">
        <v>44978</v>
      </c>
      <c r="S126" s="8">
        <v>44975</v>
      </c>
      <c r="T126" s="3" t="s">
        <v>54</v>
      </c>
      <c r="U126" s="3" t="s">
        <v>55</v>
      </c>
      <c r="V126" s="9"/>
      <c r="W126" s="10">
        <v>44984</v>
      </c>
      <c r="X126" s="7">
        <v>6</v>
      </c>
      <c r="Y126" s="7">
        <v>3</v>
      </c>
      <c r="Z126" s="7">
        <v>2</v>
      </c>
      <c r="AA126" s="7">
        <f>INT((S126-DATE(YEAR(S126-WEEKDAY(S126-0)+4),1,4)+WEEKDAY(DATE(YEAR(S126-WEEKDAY(S126-0)+4),1,4))+6)/7)</f>
        <v>7</v>
      </c>
      <c r="AB126" s="3" t="s">
        <v>1019</v>
      </c>
      <c r="AC126" s="7">
        <v>282</v>
      </c>
      <c r="AD126" s="7">
        <v>0</v>
      </c>
      <c r="AE126" s="7">
        <v>0</v>
      </c>
      <c r="AF126" s="3" t="s">
        <v>48</v>
      </c>
      <c r="AG126" s="7">
        <v>2023</v>
      </c>
      <c r="AH126" s="26" t="s">
        <v>112</v>
      </c>
      <c r="AI126" s="3" t="s">
        <v>113</v>
      </c>
      <c r="AJ126" s="3" t="s">
        <v>48</v>
      </c>
      <c r="AK126" s="3" t="s">
        <v>114</v>
      </c>
      <c r="AL126" s="3" t="s">
        <v>59</v>
      </c>
      <c r="AM126" s="3" t="s">
        <v>115</v>
      </c>
      <c r="AN126" s="3" t="s">
        <v>61</v>
      </c>
      <c r="AO126" s="3" t="s">
        <v>62</v>
      </c>
      <c r="AP126" s="3" t="s">
        <v>69</v>
      </c>
      <c r="AQ126" s="3" t="s">
        <v>61</v>
      </c>
      <c r="AR126" s="3" t="s">
        <v>48</v>
      </c>
    </row>
    <row r="127" spans="1:44" ht="30" customHeight="1">
      <c r="A127" s="3" t="s">
        <v>44</v>
      </c>
      <c r="B127" s="3" t="s">
        <v>45</v>
      </c>
      <c r="C127" s="3" t="s">
        <v>46</v>
      </c>
      <c r="D127" s="3" t="s">
        <v>108</v>
      </c>
      <c r="E127" s="3" t="s">
        <v>48</v>
      </c>
      <c r="F127" s="3" t="s">
        <v>108</v>
      </c>
      <c r="G127" s="3" t="s">
        <v>1826</v>
      </c>
      <c r="H127" s="4">
        <f>IF(DATEDIF(L127,S127,"m")&gt;12,DATEDIF(L127,S127,"y"),(DATEDIF(L127,S127,"m")/12))</f>
        <v>1</v>
      </c>
      <c r="I127" s="7">
        <f>DATEDIF(L127,S127,"M")</f>
        <v>20</v>
      </c>
      <c r="J127" s="7">
        <f>DATEDIF(L127,S127,"D")</f>
        <v>638</v>
      </c>
      <c r="K127" s="3" t="s">
        <v>64</v>
      </c>
      <c r="L127" s="8">
        <v>44337</v>
      </c>
      <c r="M127" s="3" t="s">
        <v>45</v>
      </c>
      <c r="N127" s="3" t="s">
        <v>73</v>
      </c>
      <c r="O127" s="3" t="s">
        <v>52</v>
      </c>
      <c r="P127" s="3" t="s">
        <v>1827</v>
      </c>
      <c r="Q127" s="7">
        <v>0</v>
      </c>
      <c r="R127" s="8">
        <v>44978</v>
      </c>
      <c r="S127" s="8">
        <v>44975</v>
      </c>
      <c r="T127" s="3" t="s">
        <v>54</v>
      </c>
      <c r="U127" s="3" t="s">
        <v>55</v>
      </c>
      <c r="V127" s="9"/>
      <c r="W127" s="10">
        <v>44984</v>
      </c>
      <c r="X127" s="7">
        <v>6</v>
      </c>
      <c r="Y127" s="7">
        <v>3</v>
      </c>
      <c r="Z127" s="7">
        <v>2</v>
      </c>
      <c r="AA127" s="7">
        <f>INT((S127-DATE(YEAR(S127-WEEKDAY(S127-0)+4),1,4)+WEEKDAY(DATE(YEAR(S127-WEEKDAY(S127-0)+4),1,4))+6)/7)</f>
        <v>7</v>
      </c>
      <c r="AB127" s="3" t="s">
        <v>1828</v>
      </c>
      <c r="AC127" s="7">
        <v>286</v>
      </c>
      <c r="AD127" s="7">
        <v>0</v>
      </c>
      <c r="AE127" s="7">
        <v>0</v>
      </c>
      <c r="AF127" s="3" t="s">
        <v>48</v>
      </c>
      <c r="AG127" s="7">
        <v>2023</v>
      </c>
      <c r="AH127" s="3" t="s">
        <v>112</v>
      </c>
      <c r="AI127" s="3" t="s">
        <v>113</v>
      </c>
      <c r="AJ127" s="3" t="s">
        <v>48</v>
      </c>
      <c r="AK127" s="3" t="s">
        <v>114</v>
      </c>
      <c r="AL127" s="3" t="s">
        <v>59</v>
      </c>
      <c r="AM127" s="3" t="s">
        <v>115</v>
      </c>
      <c r="AN127" s="3" t="s">
        <v>61</v>
      </c>
      <c r="AO127" s="3" t="s">
        <v>62</v>
      </c>
      <c r="AP127" s="3" t="s">
        <v>69</v>
      </c>
      <c r="AQ127" s="3" t="s">
        <v>61</v>
      </c>
      <c r="AR127" s="3" t="s">
        <v>48</v>
      </c>
    </row>
    <row r="128" spans="1:44" ht="30" customHeight="1">
      <c r="A128" s="3" t="s">
        <v>44</v>
      </c>
      <c r="B128" s="3" t="s">
        <v>45</v>
      </c>
      <c r="C128" s="3" t="s">
        <v>46</v>
      </c>
      <c r="D128" s="3" t="s">
        <v>108</v>
      </c>
      <c r="E128" s="3" t="s">
        <v>48</v>
      </c>
      <c r="F128" s="3" t="s">
        <v>108</v>
      </c>
      <c r="G128" s="3" t="s">
        <v>508</v>
      </c>
      <c r="H128" s="4">
        <f>IF(DATEDIF(L128,S128,"m")&gt;12,DATEDIF(L128,S128,"y"),(DATEDIF(L128,S128,"m")/12))</f>
        <v>4</v>
      </c>
      <c r="I128" s="7">
        <f>DATEDIF(L128,S128,"M")</f>
        <v>59</v>
      </c>
      <c r="J128" s="7">
        <f>DATEDIF(L128,S128,"D")</f>
        <v>1818</v>
      </c>
      <c r="K128" s="3" t="s">
        <v>51</v>
      </c>
      <c r="L128" s="8">
        <v>43162</v>
      </c>
      <c r="M128" s="3" t="s">
        <v>45</v>
      </c>
      <c r="N128" s="3" t="s">
        <v>73</v>
      </c>
      <c r="O128" s="3" t="s">
        <v>52</v>
      </c>
      <c r="P128" s="3" t="s">
        <v>432</v>
      </c>
      <c r="Q128" s="7">
        <v>0</v>
      </c>
      <c r="R128" s="8">
        <v>44985</v>
      </c>
      <c r="S128" s="8">
        <v>44980</v>
      </c>
      <c r="T128" s="3" t="s">
        <v>54</v>
      </c>
      <c r="U128" s="3" t="s">
        <v>55</v>
      </c>
      <c r="V128" s="9"/>
      <c r="W128" s="10">
        <v>44991</v>
      </c>
      <c r="X128" s="7">
        <v>6</v>
      </c>
      <c r="Y128" s="7">
        <v>5</v>
      </c>
      <c r="Z128" s="7">
        <v>2</v>
      </c>
      <c r="AA128" s="7">
        <f>INT((S128-DATE(YEAR(S128-WEEKDAY(S128-0)+4),1,4)+WEEKDAY(DATE(YEAR(S128-WEEKDAY(S128-0)+4),1,4))+6)/7)</f>
        <v>8</v>
      </c>
      <c r="AB128" s="3" t="s">
        <v>509</v>
      </c>
      <c r="AC128" s="7">
        <v>317</v>
      </c>
      <c r="AD128" s="7">
        <v>0</v>
      </c>
      <c r="AE128" s="7">
        <v>0</v>
      </c>
      <c r="AF128" s="3" t="s">
        <v>48</v>
      </c>
      <c r="AG128" s="7">
        <v>2023</v>
      </c>
      <c r="AH128" s="3" t="s">
        <v>112</v>
      </c>
      <c r="AI128" s="3" t="s">
        <v>113</v>
      </c>
      <c r="AJ128" s="3" t="s">
        <v>48</v>
      </c>
      <c r="AK128" s="26" t="s">
        <v>114</v>
      </c>
      <c r="AL128" s="3" t="s">
        <v>59</v>
      </c>
      <c r="AM128" s="3" t="s">
        <v>115</v>
      </c>
      <c r="AN128" s="3" t="s">
        <v>61</v>
      </c>
      <c r="AO128" s="3" t="s">
        <v>62</v>
      </c>
      <c r="AP128" s="3" t="s">
        <v>69</v>
      </c>
      <c r="AQ128" s="3" t="s">
        <v>61</v>
      </c>
      <c r="AR128" s="3" t="s">
        <v>48</v>
      </c>
    </row>
    <row r="129" spans="1:44" ht="30" customHeight="1">
      <c r="A129" s="3" t="s">
        <v>44</v>
      </c>
      <c r="B129" s="3" t="s">
        <v>45</v>
      </c>
      <c r="C129" s="3" t="s">
        <v>46</v>
      </c>
      <c r="D129" s="3" t="s">
        <v>108</v>
      </c>
      <c r="E129" s="3" t="s">
        <v>48</v>
      </c>
      <c r="F129" s="3" t="s">
        <v>108</v>
      </c>
      <c r="G129" s="3" t="s">
        <v>1084</v>
      </c>
      <c r="H129" s="4">
        <f>IF(DATEDIF(L129,S129,"m")&gt;12,DATEDIF(L129,S129,"y"),(DATEDIF(L129,S129,"m")/12))</f>
        <v>6</v>
      </c>
      <c r="I129" s="7">
        <f>DATEDIF(L129,S129,"M")</f>
        <v>83</v>
      </c>
      <c r="J129" s="7">
        <f>DATEDIF(L129,S129,"D")</f>
        <v>2548</v>
      </c>
      <c r="K129" s="3" t="s">
        <v>64</v>
      </c>
      <c r="L129" s="8">
        <v>42438</v>
      </c>
      <c r="M129" s="3" t="s">
        <v>45</v>
      </c>
      <c r="N129" s="3" t="s">
        <v>73</v>
      </c>
      <c r="O129" s="3" t="s">
        <v>52</v>
      </c>
      <c r="P129" s="3" t="s">
        <v>180</v>
      </c>
      <c r="Q129" s="7">
        <v>0</v>
      </c>
      <c r="R129" s="8">
        <v>44987</v>
      </c>
      <c r="S129" s="8">
        <v>44986</v>
      </c>
      <c r="T129" s="3" t="s">
        <v>54</v>
      </c>
      <c r="U129" s="3" t="s">
        <v>55</v>
      </c>
      <c r="V129" s="9"/>
      <c r="W129" s="10">
        <v>44991</v>
      </c>
      <c r="X129" s="7">
        <v>4</v>
      </c>
      <c r="Y129" s="7">
        <v>1</v>
      </c>
      <c r="Z129" s="7">
        <v>3</v>
      </c>
      <c r="AA129" s="7">
        <f>INT((S129-DATE(YEAR(S129-WEEKDAY(S129-0)+4),1,4)+WEEKDAY(DATE(YEAR(S129-WEEKDAY(S129-0)+4),1,4))+6)/7)</f>
        <v>9</v>
      </c>
      <c r="AB129" s="3" t="s">
        <v>1085</v>
      </c>
      <c r="AC129" s="7">
        <v>321</v>
      </c>
      <c r="AD129" s="7">
        <v>0</v>
      </c>
      <c r="AE129" s="7">
        <v>0</v>
      </c>
      <c r="AF129" s="3" t="s">
        <v>48</v>
      </c>
      <c r="AG129" s="7">
        <v>2023</v>
      </c>
      <c r="AH129" s="3" t="s">
        <v>112</v>
      </c>
      <c r="AI129" s="3" t="s">
        <v>113</v>
      </c>
      <c r="AJ129" s="3" t="s">
        <v>48</v>
      </c>
      <c r="AK129" s="3" t="s">
        <v>114</v>
      </c>
      <c r="AL129" s="3" t="s">
        <v>59</v>
      </c>
      <c r="AM129" s="3" t="s">
        <v>115</v>
      </c>
      <c r="AN129" s="3" t="s">
        <v>61</v>
      </c>
      <c r="AO129" s="3" t="s">
        <v>62</v>
      </c>
      <c r="AP129" s="3" t="s">
        <v>69</v>
      </c>
      <c r="AQ129" s="3" t="s">
        <v>61</v>
      </c>
      <c r="AR129" s="3" t="s">
        <v>48</v>
      </c>
    </row>
    <row r="130" spans="1:44" ht="30" customHeight="1">
      <c r="A130" s="3" t="s">
        <v>44</v>
      </c>
      <c r="B130" s="3" t="s">
        <v>45</v>
      </c>
      <c r="C130" s="3" t="s">
        <v>46</v>
      </c>
      <c r="D130" s="3" t="s">
        <v>47</v>
      </c>
      <c r="E130" s="3" t="s">
        <v>48</v>
      </c>
      <c r="F130" s="3" t="s">
        <v>49</v>
      </c>
      <c r="G130" s="3" t="s">
        <v>565</v>
      </c>
      <c r="H130" s="4">
        <f>IF(DATEDIF(L130,S130,"m")&gt;12,DATEDIF(L130,S130,"y"),(DATEDIF(L130,S130,"m")/12))</f>
        <v>2</v>
      </c>
      <c r="I130" s="7">
        <f>DATEDIF(L130,S130,"M")</f>
        <v>25</v>
      </c>
      <c r="J130" s="7">
        <f>DATEDIF(L130,S130,"D")</f>
        <v>787</v>
      </c>
      <c r="K130" s="3" t="s">
        <v>64</v>
      </c>
      <c r="L130" s="8">
        <v>44156</v>
      </c>
      <c r="M130" s="3" t="s">
        <v>45</v>
      </c>
      <c r="N130" s="3" t="s">
        <v>49</v>
      </c>
      <c r="O130" s="3" t="s">
        <v>52</v>
      </c>
      <c r="P130" s="3" t="s">
        <v>176</v>
      </c>
      <c r="Q130" s="7">
        <v>1</v>
      </c>
      <c r="R130" s="8">
        <v>44947</v>
      </c>
      <c r="S130" s="8">
        <v>44943</v>
      </c>
      <c r="T130" s="3" t="s">
        <v>54</v>
      </c>
      <c r="U130" s="3" t="s">
        <v>55</v>
      </c>
      <c r="V130" s="9"/>
      <c r="W130" s="10">
        <v>44950</v>
      </c>
      <c r="X130" s="7">
        <v>3</v>
      </c>
      <c r="Y130" s="7">
        <v>4</v>
      </c>
      <c r="Z130" s="7">
        <v>1</v>
      </c>
      <c r="AA130" s="7">
        <f>INT((S130-DATE(YEAR(S130-WEEKDAY(S130-0)+4),1,4)+WEEKDAY(DATE(YEAR(S130-WEEKDAY(S130-0)+4),1,4))+6)/7)</f>
        <v>3</v>
      </c>
      <c r="AB130" s="3" t="s">
        <v>566</v>
      </c>
      <c r="AC130" s="7">
        <v>73</v>
      </c>
      <c r="AD130" s="7">
        <v>0</v>
      </c>
      <c r="AE130" s="7">
        <v>0</v>
      </c>
      <c r="AF130" s="3" t="s">
        <v>48</v>
      </c>
      <c r="AG130" s="7">
        <v>2023</v>
      </c>
      <c r="AH130" s="3" t="s">
        <v>57</v>
      </c>
      <c r="AI130" s="3" t="s">
        <v>106</v>
      </c>
      <c r="AJ130" s="3" t="s">
        <v>252</v>
      </c>
      <c r="AK130" s="3" t="s">
        <v>567</v>
      </c>
      <c r="AL130" s="3" t="s">
        <v>59</v>
      </c>
      <c r="AM130" s="3" t="s">
        <v>60</v>
      </c>
      <c r="AN130" s="3" t="s">
        <v>61</v>
      </c>
      <c r="AO130" s="3" t="s">
        <v>62</v>
      </c>
      <c r="AP130" s="3" t="s">
        <v>69</v>
      </c>
      <c r="AQ130" s="3" t="s">
        <v>61</v>
      </c>
      <c r="AR130" s="3" t="s">
        <v>48</v>
      </c>
    </row>
    <row r="131" spans="1:44" ht="30" customHeight="1">
      <c r="A131" s="3" t="s">
        <v>44</v>
      </c>
      <c r="B131" s="3" t="s">
        <v>45</v>
      </c>
      <c r="C131" s="3" t="s">
        <v>46</v>
      </c>
      <c r="D131" s="3" t="s">
        <v>108</v>
      </c>
      <c r="E131" s="3" t="s">
        <v>48</v>
      </c>
      <c r="F131" s="3" t="s">
        <v>108</v>
      </c>
      <c r="G131" s="3" t="s">
        <v>1581</v>
      </c>
      <c r="H131" s="4">
        <f>IF(DATEDIF(L131,S131,"m")&gt;12,DATEDIF(L131,S131,"y"),(DATEDIF(L131,S131,"m")/12))</f>
        <v>9</v>
      </c>
      <c r="I131" s="7">
        <f>DATEDIF(L131,S131,"M")</f>
        <v>109</v>
      </c>
      <c r="J131" s="7">
        <f>DATEDIF(L131,S131,"D")</f>
        <v>3331</v>
      </c>
      <c r="K131" s="3" t="s">
        <v>51</v>
      </c>
      <c r="L131" s="8">
        <v>41653</v>
      </c>
      <c r="M131" s="3" t="s">
        <v>45</v>
      </c>
      <c r="N131" s="3" t="s">
        <v>73</v>
      </c>
      <c r="O131" s="3" t="s">
        <v>52</v>
      </c>
      <c r="P131" s="3" t="s">
        <v>1467</v>
      </c>
      <c r="Q131" s="7">
        <v>0</v>
      </c>
      <c r="R131" s="8">
        <v>44985</v>
      </c>
      <c r="S131" s="8">
        <v>44984</v>
      </c>
      <c r="T131" s="3" t="s">
        <v>54</v>
      </c>
      <c r="U131" s="3" t="s">
        <v>55</v>
      </c>
      <c r="V131" s="9"/>
      <c r="W131" s="10">
        <v>44991</v>
      </c>
      <c r="X131" s="7">
        <v>6</v>
      </c>
      <c r="Y131" s="7">
        <v>1</v>
      </c>
      <c r="Z131" s="7">
        <v>2</v>
      </c>
      <c r="AA131" s="7">
        <f>INT((S131-DATE(YEAR(S131-WEEKDAY(S131-0)+4),1,4)+WEEKDAY(DATE(YEAR(S131-WEEKDAY(S131-0)+4),1,4))+6)/7)</f>
        <v>9</v>
      </c>
      <c r="AB131" s="3" t="s">
        <v>1582</v>
      </c>
      <c r="AC131" s="7">
        <v>318</v>
      </c>
      <c r="AD131" s="7">
        <v>0</v>
      </c>
      <c r="AE131" s="7">
        <v>0</v>
      </c>
      <c r="AF131" s="3" t="s">
        <v>48</v>
      </c>
      <c r="AG131" s="7">
        <v>2023</v>
      </c>
      <c r="AH131" s="3" t="s">
        <v>112</v>
      </c>
      <c r="AI131" s="3" t="s">
        <v>113</v>
      </c>
      <c r="AJ131" s="3" t="s">
        <v>48</v>
      </c>
      <c r="AK131" s="3" t="s">
        <v>114</v>
      </c>
      <c r="AL131" s="3" t="s">
        <v>59</v>
      </c>
      <c r="AM131" s="3" t="s">
        <v>115</v>
      </c>
      <c r="AN131" s="3" t="s">
        <v>61</v>
      </c>
      <c r="AO131" s="3" t="s">
        <v>62</v>
      </c>
      <c r="AP131" s="3" t="s">
        <v>69</v>
      </c>
      <c r="AQ131" s="3" t="s">
        <v>61</v>
      </c>
      <c r="AR131" s="3" t="s">
        <v>48</v>
      </c>
    </row>
    <row r="132" spans="1:44" ht="30" customHeight="1">
      <c r="A132" s="3" t="s">
        <v>44</v>
      </c>
      <c r="B132" s="3" t="s">
        <v>45</v>
      </c>
      <c r="C132" s="3" t="s">
        <v>80</v>
      </c>
      <c r="D132" s="3" t="s">
        <v>81</v>
      </c>
      <c r="E132" s="3" t="s">
        <v>48</v>
      </c>
      <c r="F132" s="3" t="s">
        <v>81</v>
      </c>
      <c r="G132" s="3" t="s">
        <v>818</v>
      </c>
      <c r="H132" s="4">
        <f>IF(DATEDIF(L132,S132,"m")&gt;12,DATEDIF(L132,S132,"y"),(DATEDIF(L132,S132,"m")/12))</f>
        <v>42</v>
      </c>
      <c r="I132" s="7">
        <f>DATEDIF(L132,S132,"M")</f>
        <v>514</v>
      </c>
      <c r="J132" s="7">
        <f>DATEDIF(L132,S132,"D")</f>
        <v>15675</v>
      </c>
      <c r="K132" s="3" t="s">
        <v>51</v>
      </c>
      <c r="L132" s="8">
        <v>29305</v>
      </c>
      <c r="M132" s="3" t="s">
        <v>45</v>
      </c>
      <c r="N132" s="3" t="s">
        <v>73</v>
      </c>
      <c r="O132" s="3" t="s">
        <v>52</v>
      </c>
      <c r="P132" s="3" t="s">
        <v>819</v>
      </c>
      <c r="Q132" s="7">
        <v>0</v>
      </c>
      <c r="R132" s="8">
        <v>44988</v>
      </c>
      <c r="S132" s="8">
        <v>44980</v>
      </c>
      <c r="T132" s="3" t="s">
        <v>54</v>
      </c>
      <c r="U132" s="3" t="s">
        <v>55</v>
      </c>
      <c r="V132" s="9"/>
      <c r="W132" s="10">
        <v>44995</v>
      </c>
      <c r="X132" s="7">
        <v>7</v>
      </c>
      <c r="Y132" s="7">
        <v>8</v>
      </c>
      <c r="Z132" s="7">
        <v>2</v>
      </c>
      <c r="AA132" s="7">
        <f>INT((S132-DATE(YEAR(S132-WEEKDAY(S132-0)+4),1,4)+WEEKDAY(DATE(YEAR(S132-WEEKDAY(S132-0)+4),1,4))+6)/7)</f>
        <v>8</v>
      </c>
      <c r="AB132" s="3" t="s">
        <v>820</v>
      </c>
      <c r="AC132" s="7">
        <v>14060</v>
      </c>
      <c r="AD132" s="7">
        <v>0</v>
      </c>
      <c r="AE132" s="7">
        <v>0</v>
      </c>
      <c r="AF132" s="3" t="s">
        <v>48</v>
      </c>
      <c r="AG132" s="7">
        <v>2023</v>
      </c>
      <c r="AH132" s="26" t="s">
        <v>86</v>
      </c>
      <c r="AI132" s="3" t="s">
        <v>48</v>
      </c>
      <c r="AJ132" s="3" t="s">
        <v>48</v>
      </c>
      <c r="AK132" s="3" t="s">
        <v>114</v>
      </c>
      <c r="AL132" s="3" t="s">
        <v>59</v>
      </c>
      <c r="AM132" s="3" t="s">
        <v>60</v>
      </c>
      <c r="AN132" s="3" t="s">
        <v>61</v>
      </c>
      <c r="AO132" s="3" t="s">
        <v>62</v>
      </c>
      <c r="AP132" s="3" t="s">
        <v>69</v>
      </c>
      <c r="AQ132" s="3" t="s">
        <v>69</v>
      </c>
      <c r="AR132" s="3" t="s">
        <v>48</v>
      </c>
    </row>
    <row r="133" spans="1:44" ht="30" customHeight="1">
      <c r="A133" s="3" t="s">
        <v>44</v>
      </c>
      <c r="B133" s="3" t="s">
        <v>45</v>
      </c>
      <c r="C133" s="3" t="s">
        <v>46</v>
      </c>
      <c r="D133" s="3" t="s">
        <v>108</v>
      </c>
      <c r="E133" s="3" t="s">
        <v>48</v>
      </c>
      <c r="F133" s="3" t="s">
        <v>108</v>
      </c>
      <c r="G133" s="3" t="s">
        <v>575</v>
      </c>
      <c r="H133" s="4">
        <f>IF(DATEDIF(L133,S133,"m")&gt;12,DATEDIF(L133,S133,"y"),(DATEDIF(L133,S133,"m")/12))</f>
        <v>63</v>
      </c>
      <c r="I133" s="7">
        <f>DATEDIF(L133,S133,"M")</f>
        <v>767</v>
      </c>
      <c r="J133" s="7">
        <f>DATEDIF(L133,S133,"D")</f>
        <v>23358</v>
      </c>
      <c r="K133" s="3" t="s">
        <v>64</v>
      </c>
      <c r="L133" s="8">
        <v>21622</v>
      </c>
      <c r="M133" s="3" t="s">
        <v>45</v>
      </c>
      <c r="N133" s="3" t="s">
        <v>73</v>
      </c>
      <c r="O133" s="3" t="s">
        <v>52</v>
      </c>
      <c r="P133" s="3" t="s">
        <v>576</v>
      </c>
      <c r="Q133" s="7">
        <v>0</v>
      </c>
      <c r="R133" s="8">
        <v>44992</v>
      </c>
      <c r="S133" s="8">
        <v>44980</v>
      </c>
      <c r="T133" s="3" t="s">
        <v>54</v>
      </c>
      <c r="U133" s="3" t="s">
        <v>55</v>
      </c>
      <c r="V133" s="9"/>
      <c r="W133" s="10">
        <v>44998</v>
      </c>
      <c r="X133" s="7">
        <v>6</v>
      </c>
      <c r="Y133" s="7">
        <v>12</v>
      </c>
      <c r="Z133" s="7">
        <v>2</v>
      </c>
      <c r="AA133" s="7">
        <f>INT((S133-DATE(YEAR(S133-WEEKDAY(S133-0)+4),1,4)+WEEKDAY(DATE(YEAR(S133-WEEKDAY(S133-0)+4),1,4))+6)/7)</f>
        <v>8</v>
      </c>
      <c r="AB133" s="3" t="s">
        <v>577</v>
      </c>
      <c r="AC133" s="7">
        <v>342</v>
      </c>
      <c r="AD133" s="7">
        <v>0</v>
      </c>
      <c r="AE133" s="7">
        <v>0</v>
      </c>
      <c r="AF133" s="3" t="s">
        <v>48</v>
      </c>
      <c r="AG133" s="7">
        <v>2023</v>
      </c>
      <c r="AH133" s="3" t="s">
        <v>112</v>
      </c>
      <c r="AI133" s="3" t="s">
        <v>113</v>
      </c>
      <c r="AJ133" s="3" t="s">
        <v>48</v>
      </c>
      <c r="AK133" s="3" t="s">
        <v>114</v>
      </c>
      <c r="AL133" s="3" t="s">
        <v>59</v>
      </c>
      <c r="AM133" s="3" t="s">
        <v>115</v>
      </c>
      <c r="AN133" s="3" t="s">
        <v>61</v>
      </c>
      <c r="AO133" s="3" t="s">
        <v>62</v>
      </c>
      <c r="AP133" s="3" t="s">
        <v>69</v>
      </c>
      <c r="AQ133" s="3" t="s">
        <v>61</v>
      </c>
      <c r="AR133" s="3" t="s">
        <v>48</v>
      </c>
    </row>
    <row r="134" spans="1:44" ht="30" customHeight="1">
      <c r="A134" s="3" t="s">
        <v>44</v>
      </c>
      <c r="B134" s="3" t="s">
        <v>45</v>
      </c>
      <c r="C134" s="3" t="s">
        <v>46</v>
      </c>
      <c r="D134" s="3" t="s">
        <v>108</v>
      </c>
      <c r="E134" s="3" t="s">
        <v>48</v>
      </c>
      <c r="F134" s="3" t="s">
        <v>108</v>
      </c>
      <c r="G134" s="3" t="s">
        <v>780</v>
      </c>
      <c r="H134" s="4">
        <f>IF(DATEDIF(L134,S134,"m")&gt;12,DATEDIF(L134,S134,"y"),(DATEDIF(L134,S134,"m")/12))</f>
        <v>2</v>
      </c>
      <c r="I134" s="7">
        <f>DATEDIF(L134,S134,"M")</f>
        <v>34</v>
      </c>
      <c r="J134" s="7">
        <f>DATEDIF(L134,S134,"D")</f>
        <v>1056</v>
      </c>
      <c r="K134" s="3" t="s">
        <v>51</v>
      </c>
      <c r="L134" s="8">
        <v>43932</v>
      </c>
      <c r="M134" s="3" t="s">
        <v>45</v>
      </c>
      <c r="N134" s="3" t="s">
        <v>73</v>
      </c>
      <c r="O134" s="3" t="s">
        <v>52</v>
      </c>
      <c r="P134" s="3" t="s">
        <v>781</v>
      </c>
      <c r="Q134" s="7">
        <v>0</v>
      </c>
      <c r="R134" s="8">
        <v>44994</v>
      </c>
      <c r="S134" s="8">
        <v>44988</v>
      </c>
      <c r="T134" s="3" t="s">
        <v>54</v>
      </c>
      <c r="U134" s="3" t="s">
        <v>55</v>
      </c>
      <c r="V134" s="9"/>
      <c r="W134" s="10">
        <v>44998</v>
      </c>
      <c r="X134" s="7">
        <v>4</v>
      </c>
      <c r="Y134" s="7">
        <v>6</v>
      </c>
      <c r="Z134" s="7">
        <v>3</v>
      </c>
      <c r="AA134" s="7">
        <f>INT((S134-DATE(YEAR(S134-WEEKDAY(S134-0)+4),1,4)+WEEKDAY(DATE(YEAR(S134-WEEKDAY(S134-0)+4),1,4))+6)/7)</f>
        <v>9</v>
      </c>
      <c r="AB134" s="3" t="s">
        <v>782</v>
      </c>
      <c r="AC134" s="7">
        <v>348</v>
      </c>
      <c r="AD134" s="7">
        <v>0</v>
      </c>
      <c r="AE134" s="7">
        <v>0</v>
      </c>
      <c r="AF134" s="3" t="s">
        <v>48</v>
      </c>
      <c r="AG134" s="7">
        <v>2023</v>
      </c>
      <c r="AH134" s="3" t="s">
        <v>112</v>
      </c>
      <c r="AI134" s="3" t="s">
        <v>113</v>
      </c>
      <c r="AJ134" s="3" t="s">
        <v>48</v>
      </c>
      <c r="AK134" s="3" t="s">
        <v>114</v>
      </c>
      <c r="AL134" s="3" t="s">
        <v>59</v>
      </c>
      <c r="AM134" s="3" t="s">
        <v>115</v>
      </c>
      <c r="AN134" s="3" t="s">
        <v>61</v>
      </c>
      <c r="AO134" s="3" t="s">
        <v>62</v>
      </c>
      <c r="AP134" s="3" t="s">
        <v>69</v>
      </c>
      <c r="AQ134" s="3" t="s">
        <v>61</v>
      </c>
      <c r="AR134" s="3" t="s">
        <v>48</v>
      </c>
    </row>
    <row r="135" spans="1:44" ht="30" customHeight="1">
      <c r="A135" s="3" t="s">
        <v>44</v>
      </c>
      <c r="B135" s="3" t="s">
        <v>45</v>
      </c>
      <c r="C135" s="3" t="s">
        <v>46</v>
      </c>
      <c r="D135" s="3" t="s">
        <v>108</v>
      </c>
      <c r="E135" s="3" t="s">
        <v>48</v>
      </c>
      <c r="F135" s="3" t="s">
        <v>108</v>
      </c>
      <c r="G135" s="3" t="s">
        <v>807</v>
      </c>
      <c r="H135" s="5">
        <f>IF(DATEDIF(L135,S135,"m")&gt;12,DATEDIF(L135,S135,"y"),(DATEDIF(L135,S135,"m")/12))</f>
        <v>0.41666666666666669</v>
      </c>
      <c r="I135" s="7">
        <f>DATEDIF(L135,S135,"M")</f>
        <v>5</v>
      </c>
      <c r="J135" s="7">
        <f>DATEDIF(L135,S135,"D")</f>
        <v>167</v>
      </c>
      <c r="K135" s="3" t="s">
        <v>51</v>
      </c>
      <c r="L135" s="8">
        <v>44824</v>
      </c>
      <c r="M135" s="3" t="s">
        <v>45</v>
      </c>
      <c r="N135" s="3" t="s">
        <v>73</v>
      </c>
      <c r="O135" s="3" t="s">
        <v>52</v>
      </c>
      <c r="P135" s="3" t="s">
        <v>808</v>
      </c>
      <c r="Q135" s="7">
        <v>0</v>
      </c>
      <c r="R135" s="8">
        <v>44995</v>
      </c>
      <c r="S135" s="8">
        <v>44991</v>
      </c>
      <c r="T135" s="3" t="s">
        <v>54</v>
      </c>
      <c r="U135" s="3" t="s">
        <v>55</v>
      </c>
      <c r="V135" s="9"/>
      <c r="W135" s="10">
        <v>44998</v>
      </c>
      <c r="X135" s="7">
        <v>3</v>
      </c>
      <c r="Y135" s="7">
        <v>4</v>
      </c>
      <c r="Z135" s="7">
        <v>3</v>
      </c>
      <c r="AA135" s="7">
        <f>INT((S135-DATE(YEAR(S135-WEEKDAY(S135-0)+4),1,4)+WEEKDAY(DATE(YEAR(S135-WEEKDAY(S135-0)+4),1,4))+6)/7)</f>
        <v>10</v>
      </c>
      <c r="AB135" s="3" t="s">
        <v>809</v>
      </c>
      <c r="AC135" s="7">
        <v>352</v>
      </c>
      <c r="AD135" s="7">
        <v>0</v>
      </c>
      <c r="AE135" s="7">
        <v>0</v>
      </c>
      <c r="AF135" s="3" t="s">
        <v>48</v>
      </c>
      <c r="AG135" s="7">
        <v>2023</v>
      </c>
      <c r="AH135" s="3" t="s">
        <v>112</v>
      </c>
      <c r="AI135" s="3" t="s">
        <v>113</v>
      </c>
      <c r="AJ135" s="3" t="s">
        <v>48</v>
      </c>
      <c r="AK135" s="3" t="s">
        <v>114</v>
      </c>
      <c r="AL135" s="3" t="s">
        <v>59</v>
      </c>
      <c r="AM135" s="3" t="s">
        <v>115</v>
      </c>
      <c r="AN135" s="3" t="s">
        <v>61</v>
      </c>
      <c r="AO135" s="3" t="s">
        <v>62</v>
      </c>
      <c r="AP135" s="3" t="s">
        <v>69</v>
      </c>
      <c r="AQ135" s="3" t="s">
        <v>61</v>
      </c>
      <c r="AR135" s="3" t="s">
        <v>48</v>
      </c>
    </row>
    <row r="136" spans="1:44" ht="30" customHeight="1">
      <c r="A136" s="3" t="s">
        <v>44</v>
      </c>
      <c r="B136" s="3" t="s">
        <v>45</v>
      </c>
      <c r="C136" s="3" t="s">
        <v>46</v>
      </c>
      <c r="D136" s="3" t="s">
        <v>108</v>
      </c>
      <c r="E136" s="3" t="s">
        <v>48</v>
      </c>
      <c r="F136" s="3" t="s">
        <v>108</v>
      </c>
      <c r="G136" s="3" t="s">
        <v>1923</v>
      </c>
      <c r="H136" s="4">
        <f>IF(DATEDIF(L136,S136,"m")&gt;12,DATEDIF(L136,S136,"y"),(DATEDIF(L136,S136,"m")/12))</f>
        <v>6</v>
      </c>
      <c r="I136" s="7">
        <f>DATEDIF(L136,S136,"M")</f>
        <v>77</v>
      </c>
      <c r="J136" s="7">
        <f>DATEDIF(L136,S136,"D")</f>
        <v>2371</v>
      </c>
      <c r="K136" s="3" t="s">
        <v>51</v>
      </c>
      <c r="L136" s="8">
        <v>42618</v>
      </c>
      <c r="M136" s="3" t="s">
        <v>45</v>
      </c>
      <c r="N136" s="3" t="s">
        <v>73</v>
      </c>
      <c r="O136" s="3" t="s">
        <v>52</v>
      </c>
      <c r="P136" s="3" t="s">
        <v>808</v>
      </c>
      <c r="Q136" s="7">
        <v>0</v>
      </c>
      <c r="R136" s="8">
        <v>44991</v>
      </c>
      <c r="S136" s="8">
        <v>44989</v>
      </c>
      <c r="T136" s="3" t="s">
        <v>54</v>
      </c>
      <c r="U136" s="3" t="s">
        <v>55</v>
      </c>
      <c r="V136" s="9"/>
      <c r="W136" s="10">
        <v>44998</v>
      </c>
      <c r="X136" s="7">
        <v>7</v>
      </c>
      <c r="Y136" s="7">
        <v>2</v>
      </c>
      <c r="Z136" s="7">
        <v>3</v>
      </c>
      <c r="AA136" s="7">
        <f>INT((S136-DATE(YEAR(S136-WEEKDAY(S136-0)+4),1,4)+WEEKDAY(DATE(YEAR(S136-WEEKDAY(S136-0)+4),1,4))+6)/7)</f>
        <v>9</v>
      </c>
      <c r="AB136" s="3" t="s">
        <v>1924</v>
      </c>
      <c r="AC136" s="7">
        <v>340</v>
      </c>
      <c r="AD136" s="7">
        <v>0</v>
      </c>
      <c r="AE136" s="7">
        <v>0</v>
      </c>
      <c r="AF136" s="3" t="s">
        <v>48</v>
      </c>
      <c r="AG136" s="7">
        <v>2023</v>
      </c>
      <c r="AH136" s="3" t="s">
        <v>112</v>
      </c>
      <c r="AI136" s="3" t="s">
        <v>113</v>
      </c>
      <c r="AJ136" s="3" t="s">
        <v>48</v>
      </c>
      <c r="AK136" s="26" t="s">
        <v>114</v>
      </c>
      <c r="AL136" s="3" t="s">
        <v>59</v>
      </c>
      <c r="AM136" s="3" t="s">
        <v>115</v>
      </c>
      <c r="AN136" s="3" t="s">
        <v>61</v>
      </c>
      <c r="AO136" s="3" t="s">
        <v>62</v>
      </c>
      <c r="AP136" s="3" t="s">
        <v>69</v>
      </c>
      <c r="AQ136" s="3" t="s">
        <v>61</v>
      </c>
      <c r="AR136" s="3" t="s">
        <v>48</v>
      </c>
    </row>
    <row r="137" spans="1:44" ht="30" customHeight="1">
      <c r="A137" s="3" t="s">
        <v>44</v>
      </c>
      <c r="B137" s="3" t="s">
        <v>45</v>
      </c>
      <c r="C137" s="3" t="s">
        <v>46</v>
      </c>
      <c r="D137" s="3" t="s">
        <v>108</v>
      </c>
      <c r="E137" s="3" t="s">
        <v>48</v>
      </c>
      <c r="F137" s="3" t="s">
        <v>108</v>
      </c>
      <c r="G137" s="3" t="s">
        <v>1706</v>
      </c>
      <c r="H137" s="4">
        <f>IF(DATEDIF(L137,S137,"m")&gt;12,DATEDIF(L137,S137,"y"),(DATEDIF(L137,S137,"m")/12))</f>
        <v>5</v>
      </c>
      <c r="I137" s="7">
        <f>DATEDIF(L137,S137,"M")</f>
        <v>68</v>
      </c>
      <c r="J137" s="7">
        <f>DATEDIF(L137,S137,"D")</f>
        <v>2088</v>
      </c>
      <c r="K137" s="3" t="s">
        <v>64</v>
      </c>
      <c r="L137" s="8">
        <v>42908</v>
      </c>
      <c r="M137" s="3" t="s">
        <v>45</v>
      </c>
      <c r="N137" s="3" t="s">
        <v>73</v>
      </c>
      <c r="O137" s="3" t="s">
        <v>52</v>
      </c>
      <c r="P137" s="3" t="s">
        <v>426</v>
      </c>
      <c r="Q137" s="7">
        <v>0</v>
      </c>
      <c r="R137" s="8">
        <v>44999</v>
      </c>
      <c r="S137" s="8">
        <v>44996</v>
      </c>
      <c r="T137" s="3" t="s">
        <v>54</v>
      </c>
      <c r="U137" s="3" t="s">
        <v>55</v>
      </c>
      <c r="V137" s="9"/>
      <c r="W137" s="10">
        <v>45005</v>
      </c>
      <c r="X137" s="7">
        <v>6</v>
      </c>
      <c r="Y137" s="7">
        <v>3</v>
      </c>
      <c r="Z137" s="7">
        <v>3</v>
      </c>
      <c r="AA137" s="7">
        <f>INT((S137-DATE(YEAR(S137-WEEKDAY(S137-0)+4),1,4)+WEEKDAY(DATE(YEAR(S137-WEEKDAY(S137-0)+4),1,4))+6)/7)</f>
        <v>10</v>
      </c>
      <c r="AB137" s="3" t="s">
        <v>1707</v>
      </c>
      <c r="AC137" s="7">
        <v>369</v>
      </c>
      <c r="AD137" s="7">
        <v>0</v>
      </c>
      <c r="AE137" s="7">
        <v>0</v>
      </c>
      <c r="AF137" s="3" t="s">
        <v>48</v>
      </c>
      <c r="AG137" s="7">
        <v>2023</v>
      </c>
      <c r="AH137" s="3" t="s">
        <v>112</v>
      </c>
      <c r="AI137" s="3" t="s">
        <v>113</v>
      </c>
      <c r="AJ137" s="3" t="s">
        <v>48</v>
      </c>
      <c r="AK137" s="3" t="s">
        <v>114</v>
      </c>
      <c r="AL137" s="3" t="s">
        <v>59</v>
      </c>
      <c r="AM137" s="3" t="s">
        <v>115</v>
      </c>
      <c r="AN137" s="3" t="s">
        <v>61</v>
      </c>
      <c r="AO137" s="3" t="s">
        <v>62</v>
      </c>
      <c r="AP137" s="3" t="s">
        <v>69</v>
      </c>
      <c r="AQ137" s="3" t="s">
        <v>61</v>
      </c>
      <c r="AR137" s="3" t="s">
        <v>48</v>
      </c>
    </row>
    <row r="138" spans="1:44" ht="30" customHeight="1">
      <c r="A138" s="3" t="s">
        <v>44</v>
      </c>
      <c r="B138" s="3" t="s">
        <v>45</v>
      </c>
      <c r="C138" s="3" t="s">
        <v>46</v>
      </c>
      <c r="D138" s="3" t="s">
        <v>108</v>
      </c>
      <c r="E138" s="3" t="s">
        <v>48</v>
      </c>
      <c r="F138" s="3" t="s">
        <v>108</v>
      </c>
      <c r="G138" s="3" t="s">
        <v>2020</v>
      </c>
      <c r="H138" s="5">
        <f>IF(DATEDIF(L138,S138,"m")&gt;12,DATEDIF(L138,S138,"y"),(DATEDIF(L138,S138,"m")/12))</f>
        <v>0.5</v>
      </c>
      <c r="I138" s="7">
        <f>DATEDIF(L138,S138,"M")</f>
        <v>6</v>
      </c>
      <c r="J138" s="7">
        <f>DATEDIF(L138,S138,"D")</f>
        <v>182</v>
      </c>
      <c r="K138" s="3" t="s">
        <v>64</v>
      </c>
      <c r="L138" s="8">
        <v>44823</v>
      </c>
      <c r="M138" s="3" t="s">
        <v>45</v>
      </c>
      <c r="N138" s="3" t="s">
        <v>73</v>
      </c>
      <c r="O138" s="3" t="s">
        <v>52</v>
      </c>
      <c r="P138" s="3" t="s">
        <v>819</v>
      </c>
      <c r="Q138" s="7">
        <v>0</v>
      </c>
      <c r="R138" s="8">
        <v>45008</v>
      </c>
      <c r="S138" s="8">
        <v>45005</v>
      </c>
      <c r="T138" s="3" t="s">
        <v>54</v>
      </c>
      <c r="U138" s="3" t="s">
        <v>55</v>
      </c>
      <c r="V138" s="9"/>
      <c r="W138" s="10">
        <v>45012</v>
      </c>
      <c r="X138" s="7">
        <v>4</v>
      </c>
      <c r="Y138" s="7">
        <v>3</v>
      </c>
      <c r="Z138" s="7">
        <v>3</v>
      </c>
      <c r="AA138" s="7">
        <f>INT((S138-DATE(YEAR(S138-WEEKDAY(S138-0)+4),1,4)+WEEKDAY(DATE(YEAR(S138-WEEKDAY(S138-0)+4),1,4))+6)/7)</f>
        <v>12</v>
      </c>
      <c r="AB138" s="3" t="s">
        <v>2021</v>
      </c>
      <c r="AC138" s="7">
        <v>380</v>
      </c>
      <c r="AD138" s="7">
        <v>0</v>
      </c>
      <c r="AE138" s="7">
        <v>0</v>
      </c>
      <c r="AF138" s="3" t="s">
        <v>48</v>
      </c>
      <c r="AG138" s="7">
        <v>2023</v>
      </c>
      <c r="AH138" s="3" t="s">
        <v>112</v>
      </c>
      <c r="AI138" s="3" t="s">
        <v>113</v>
      </c>
      <c r="AJ138" s="3" t="s">
        <v>48</v>
      </c>
      <c r="AK138" s="3" t="s">
        <v>114</v>
      </c>
      <c r="AL138" s="3" t="s">
        <v>59</v>
      </c>
      <c r="AM138" s="3" t="s">
        <v>115</v>
      </c>
      <c r="AN138" s="3" t="s">
        <v>61</v>
      </c>
      <c r="AO138" s="3" t="s">
        <v>62</v>
      </c>
      <c r="AP138" s="3" t="s">
        <v>69</v>
      </c>
      <c r="AQ138" s="3" t="s">
        <v>61</v>
      </c>
      <c r="AR138" s="3" t="s">
        <v>48</v>
      </c>
    </row>
    <row r="139" spans="1:44" ht="30" customHeight="1">
      <c r="A139" s="3" t="s">
        <v>44</v>
      </c>
      <c r="B139" s="3" t="s">
        <v>45</v>
      </c>
      <c r="C139" s="3" t="s">
        <v>46</v>
      </c>
      <c r="D139" s="3" t="s">
        <v>47</v>
      </c>
      <c r="E139" s="3" t="s">
        <v>48</v>
      </c>
      <c r="F139" s="3" t="s">
        <v>49</v>
      </c>
      <c r="G139" s="3" t="s">
        <v>1527</v>
      </c>
      <c r="H139" s="5">
        <f>IF(DATEDIF(L139,S139,"m")&gt;12,DATEDIF(L139,S139,"y"),(DATEDIF(L139,S139,"m")/12))</f>
        <v>0.91666666666666663</v>
      </c>
      <c r="I139" s="7">
        <f>DATEDIF(L139,S139,"M")</f>
        <v>11</v>
      </c>
      <c r="J139" s="7">
        <f>DATEDIF(L139,S139,"D")</f>
        <v>356</v>
      </c>
      <c r="K139" s="3" t="s">
        <v>51</v>
      </c>
      <c r="L139" s="8">
        <v>44587</v>
      </c>
      <c r="M139" s="3" t="s">
        <v>45</v>
      </c>
      <c r="N139" s="3" t="s">
        <v>49</v>
      </c>
      <c r="O139" s="3" t="s">
        <v>52</v>
      </c>
      <c r="P139" s="3" t="s">
        <v>389</v>
      </c>
      <c r="Q139" s="7">
        <v>1</v>
      </c>
      <c r="R139" s="8">
        <v>44946</v>
      </c>
      <c r="S139" s="8">
        <v>44943</v>
      </c>
      <c r="T139" s="3" t="s">
        <v>54</v>
      </c>
      <c r="U139" s="3" t="s">
        <v>55</v>
      </c>
      <c r="V139" s="9"/>
      <c r="W139" s="10">
        <v>44950</v>
      </c>
      <c r="X139" s="7">
        <v>4</v>
      </c>
      <c r="Y139" s="7">
        <v>3</v>
      </c>
      <c r="Z139" s="7">
        <v>1</v>
      </c>
      <c r="AA139" s="7">
        <f>INT((S139-DATE(YEAR(S139-WEEKDAY(S139-0)+4),1,4)+WEEKDAY(DATE(YEAR(S139-WEEKDAY(S139-0)+4),1,4))+6)/7)</f>
        <v>3</v>
      </c>
      <c r="AB139" s="3" t="s">
        <v>1528</v>
      </c>
      <c r="AC139" s="7">
        <v>72</v>
      </c>
      <c r="AD139" s="7">
        <v>0</v>
      </c>
      <c r="AE139" s="7">
        <v>0</v>
      </c>
      <c r="AF139" s="3" t="s">
        <v>48</v>
      </c>
      <c r="AG139" s="7">
        <v>2023</v>
      </c>
      <c r="AH139" s="3" t="s">
        <v>57</v>
      </c>
      <c r="AI139" s="3" t="s">
        <v>106</v>
      </c>
      <c r="AJ139" s="3" t="s">
        <v>252</v>
      </c>
      <c r="AK139" s="3" t="s">
        <v>58</v>
      </c>
      <c r="AL139" s="3" t="s">
        <v>59</v>
      </c>
      <c r="AM139" s="3" t="s">
        <v>60</v>
      </c>
      <c r="AN139" s="3" t="s">
        <v>61</v>
      </c>
      <c r="AO139" s="3" t="s">
        <v>62</v>
      </c>
      <c r="AP139" s="3" t="s">
        <v>69</v>
      </c>
      <c r="AQ139" s="3" t="s">
        <v>61</v>
      </c>
      <c r="AR139" s="3" t="s">
        <v>48</v>
      </c>
    </row>
    <row r="140" spans="1:44" ht="30" customHeight="1">
      <c r="A140" s="3" t="s">
        <v>44</v>
      </c>
      <c r="B140" s="3" t="s">
        <v>45</v>
      </c>
      <c r="C140" s="3" t="s">
        <v>46</v>
      </c>
      <c r="D140" s="3" t="s">
        <v>47</v>
      </c>
      <c r="E140" s="3" t="s">
        <v>48</v>
      </c>
      <c r="F140" s="3" t="s">
        <v>49</v>
      </c>
      <c r="G140" s="3" t="s">
        <v>1662</v>
      </c>
      <c r="H140" s="4">
        <f>IF(DATEDIF(L140,S140,"m")&gt;12,DATEDIF(L140,S140,"y"),(DATEDIF(L140,S140,"m")/12))</f>
        <v>29</v>
      </c>
      <c r="I140" s="7">
        <f>DATEDIF(L140,S140,"M")</f>
        <v>349</v>
      </c>
      <c r="J140" s="7">
        <f>DATEDIF(L140,S140,"D")</f>
        <v>10624</v>
      </c>
      <c r="K140" s="3" t="s">
        <v>51</v>
      </c>
      <c r="L140" s="8">
        <v>34321</v>
      </c>
      <c r="M140" s="3" t="s">
        <v>45</v>
      </c>
      <c r="N140" s="3" t="s">
        <v>49</v>
      </c>
      <c r="O140" s="3" t="s">
        <v>52</v>
      </c>
      <c r="P140" s="3" t="s">
        <v>1663</v>
      </c>
      <c r="Q140" s="7">
        <v>1</v>
      </c>
      <c r="R140" s="8">
        <v>44947</v>
      </c>
      <c r="S140" s="8">
        <v>44945</v>
      </c>
      <c r="T140" s="3" t="s">
        <v>54</v>
      </c>
      <c r="U140" s="3" t="s">
        <v>55</v>
      </c>
      <c r="V140" s="9"/>
      <c r="W140" s="10">
        <v>44950</v>
      </c>
      <c r="X140" s="7">
        <v>3</v>
      </c>
      <c r="Y140" s="7">
        <v>2</v>
      </c>
      <c r="Z140" s="7">
        <v>1</v>
      </c>
      <c r="AA140" s="7">
        <f>INT((S140-DATE(YEAR(S140-WEEKDAY(S140-0)+4),1,4)+WEEKDAY(DATE(YEAR(S140-WEEKDAY(S140-0)+4),1,4))+6)/7)</f>
        <v>3</v>
      </c>
      <c r="AB140" s="3" t="s">
        <v>1664</v>
      </c>
      <c r="AC140" s="7">
        <v>71</v>
      </c>
      <c r="AD140" s="7">
        <v>0</v>
      </c>
      <c r="AE140" s="7">
        <v>0</v>
      </c>
      <c r="AF140" s="3" t="s">
        <v>48</v>
      </c>
      <c r="AG140" s="7">
        <v>2023</v>
      </c>
      <c r="AH140" s="3" t="s">
        <v>57</v>
      </c>
      <c r="AI140" s="3" t="s">
        <v>106</v>
      </c>
      <c r="AJ140" s="3" t="s">
        <v>252</v>
      </c>
      <c r="AK140" s="3" t="s">
        <v>58</v>
      </c>
      <c r="AL140" s="3" t="s">
        <v>59</v>
      </c>
      <c r="AM140" s="3" t="s">
        <v>60</v>
      </c>
      <c r="AN140" s="3" t="s">
        <v>61</v>
      </c>
      <c r="AO140" s="3" t="s">
        <v>62</v>
      </c>
      <c r="AP140" s="3" t="s">
        <v>69</v>
      </c>
      <c r="AQ140" s="3" t="s">
        <v>61</v>
      </c>
      <c r="AR140" s="3" t="s">
        <v>48</v>
      </c>
    </row>
    <row r="141" spans="1:44" ht="30" customHeight="1">
      <c r="A141" s="3" t="s">
        <v>44</v>
      </c>
      <c r="B141" s="3" t="s">
        <v>45</v>
      </c>
      <c r="C141" s="3" t="s">
        <v>46</v>
      </c>
      <c r="D141" s="3" t="s">
        <v>108</v>
      </c>
      <c r="E141" s="3" t="s">
        <v>48</v>
      </c>
      <c r="F141" s="3" t="s">
        <v>108</v>
      </c>
      <c r="G141" s="3" t="s">
        <v>1096</v>
      </c>
      <c r="H141" s="4">
        <f>IF(DATEDIF(L141,S141,"m")&gt;12,DATEDIF(L141,S141,"y"),(DATEDIF(L141,S141,"m")/12))</f>
        <v>1</v>
      </c>
      <c r="I141" s="7">
        <f>DATEDIF(L141,S141,"M")</f>
        <v>19</v>
      </c>
      <c r="J141" s="7">
        <f>DATEDIF(L141,S141,"D")</f>
        <v>593</v>
      </c>
      <c r="K141" s="3" t="s">
        <v>51</v>
      </c>
      <c r="L141" s="8">
        <v>44422</v>
      </c>
      <c r="M141" s="3" t="s">
        <v>45</v>
      </c>
      <c r="N141" s="3" t="s">
        <v>73</v>
      </c>
      <c r="O141" s="3" t="s">
        <v>52</v>
      </c>
      <c r="P141" s="3" t="s">
        <v>1097</v>
      </c>
      <c r="Q141" s="7">
        <v>0</v>
      </c>
      <c r="R141" s="8">
        <v>45019</v>
      </c>
      <c r="S141" s="8">
        <v>45015</v>
      </c>
      <c r="T141" s="3" t="s">
        <v>54</v>
      </c>
      <c r="U141" s="3" t="s">
        <v>55</v>
      </c>
      <c r="V141" s="9"/>
      <c r="W141" s="10">
        <v>45021</v>
      </c>
      <c r="X141" s="7">
        <v>2</v>
      </c>
      <c r="Y141" s="7">
        <v>4</v>
      </c>
      <c r="Z141" s="7">
        <v>3</v>
      </c>
      <c r="AA141" s="7">
        <f>INT((S141-DATE(YEAR(S141-WEEKDAY(S141-0)+4),1,4)+WEEKDAY(DATE(YEAR(S141-WEEKDAY(S141-0)+4),1,4))+6)/7)</f>
        <v>13</v>
      </c>
      <c r="AB141" s="3" t="s">
        <v>1098</v>
      </c>
      <c r="AC141" s="7">
        <v>432</v>
      </c>
      <c r="AD141" s="7">
        <v>0</v>
      </c>
      <c r="AE141" s="7">
        <v>0</v>
      </c>
      <c r="AF141" s="3" t="s">
        <v>48</v>
      </c>
      <c r="AG141" s="7">
        <v>2023</v>
      </c>
      <c r="AH141" s="3" t="s">
        <v>112</v>
      </c>
      <c r="AI141" s="3" t="s">
        <v>113</v>
      </c>
      <c r="AJ141" s="3" t="s">
        <v>48</v>
      </c>
      <c r="AK141" s="3" t="s">
        <v>114</v>
      </c>
      <c r="AL141" s="3" t="s">
        <v>59</v>
      </c>
      <c r="AM141" s="3" t="s">
        <v>115</v>
      </c>
      <c r="AN141" s="3" t="s">
        <v>61</v>
      </c>
      <c r="AO141" s="3" t="s">
        <v>62</v>
      </c>
      <c r="AP141" s="3" t="s">
        <v>61</v>
      </c>
      <c r="AQ141" s="3" t="s">
        <v>61</v>
      </c>
      <c r="AR141" s="3" t="s">
        <v>48</v>
      </c>
    </row>
    <row r="142" spans="1:44" ht="30" customHeight="1">
      <c r="A142" s="3" t="s">
        <v>44</v>
      </c>
      <c r="B142" s="3" t="s">
        <v>45</v>
      </c>
      <c r="C142" s="3" t="s">
        <v>80</v>
      </c>
      <c r="D142" s="3" t="s">
        <v>93</v>
      </c>
      <c r="E142" s="3" t="s">
        <v>48</v>
      </c>
      <c r="F142" s="3" t="s">
        <v>94</v>
      </c>
      <c r="G142" s="3" t="s">
        <v>95</v>
      </c>
      <c r="H142" s="4">
        <f>IF(DATEDIF(L142,S142,"m")&gt;12,DATEDIF(L142,S142,"y"),(DATEDIF(L142,S142,"m")/12))</f>
        <v>4</v>
      </c>
      <c r="I142" s="7">
        <f>DATEDIF(L142,S142,"M")</f>
        <v>55</v>
      </c>
      <c r="J142" s="7">
        <f>DATEDIF(L142,S142,"D")</f>
        <v>1692</v>
      </c>
      <c r="K142" s="3" t="s">
        <v>64</v>
      </c>
      <c r="L142" s="8">
        <v>43249</v>
      </c>
      <c r="M142" s="3" t="s">
        <v>45</v>
      </c>
      <c r="N142" s="3" t="s">
        <v>83</v>
      </c>
      <c r="O142" s="3" t="s">
        <v>52</v>
      </c>
      <c r="P142" s="3" t="s">
        <v>608</v>
      </c>
      <c r="Q142" s="7">
        <v>0</v>
      </c>
      <c r="R142" s="8">
        <v>44943</v>
      </c>
      <c r="S142" s="8">
        <v>44941</v>
      </c>
      <c r="T142" s="3" t="s">
        <v>54</v>
      </c>
      <c r="U142" s="3" t="s">
        <v>55</v>
      </c>
      <c r="V142" s="9"/>
      <c r="W142" s="10">
        <v>44950</v>
      </c>
      <c r="X142" s="7">
        <v>7</v>
      </c>
      <c r="Y142" s="7">
        <v>2</v>
      </c>
      <c r="Z142" s="7">
        <v>1</v>
      </c>
      <c r="AA142" s="7">
        <f>INT((S142-DATE(YEAR(S142-WEEKDAY(S142-0)+4),1,4)+WEEKDAY(DATE(YEAR(S142-WEEKDAY(S142-0)+4),1,4))+6)/7)</f>
        <v>3</v>
      </c>
      <c r="AB142" s="3" t="s">
        <v>1911</v>
      </c>
      <c r="AC142" s="7">
        <v>524</v>
      </c>
      <c r="AD142" s="7">
        <v>0</v>
      </c>
      <c r="AE142" s="7">
        <v>0</v>
      </c>
      <c r="AF142" s="3" t="s">
        <v>48</v>
      </c>
      <c r="AG142" s="7">
        <v>2023</v>
      </c>
      <c r="AH142" s="3" t="s">
        <v>97</v>
      </c>
      <c r="AI142" s="3" t="s">
        <v>48</v>
      </c>
      <c r="AJ142" s="3" t="s">
        <v>48</v>
      </c>
      <c r="AK142" s="3" t="s">
        <v>216</v>
      </c>
      <c r="AL142" s="3" t="s">
        <v>59</v>
      </c>
      <c r="AM142" s="3" t="s">
        <v>99</v>
      </c>
      <c r="AN142" s="3" t="s">
        <v>61</v>
      </c>
      <c r="AO142" s="3" t="s">
        <v>48</v>
      </c>
      <c r="AP142" s="3" t="s">
        <v>69</v>
      </c>
      <c r="AQ142" s="3" t="s">
        <v>61</v>
      </c>
      <c r="AR142" s="3" t="s">
        <v>48</v>
      </c>
    </row>
    <row r="143" spans="1:44" ht="30" customHeight="1">
      <c r="A143" s="3" t="s">
        <v>44</v>
      </c>
      <c r="B143" s="3" t="s">
        <v>45</v>
      </c>
      <c r="C143" s="3" t="s">
        <v>46</v>
      </c>
      <c r="D143" s="3" t="s">
        <v>108</v>
      </c>
      <c r="E143" s="3" t="s">
        <v>48</v>
      </c>
      <c r="F143" s="3" t="s">
        <v>108</v>
      </c>
      <c r="G143" s="3" t="s">
        <v>1286</v>
      </c>
      <c r="H143" s="5">
        <f>IF(DATEDIF(L143,S143,"m")&gt;12,DATEDIF(L143,S143,"y"),(DATEDIF(L143,S143,"m")/12))</f>
        <v>0.83333333333333337</v>
      </c>
      <c r="I143" s="7">
        <f>DATEDIF(L143,S143,"M")</f>
        <v>10</v>
      </c>
      <c r="J143" s="7">
        <f>DATEDIF(L143,S143,"D")</f>
        <v>307</v>
      </c>
      <c r="K143" s="3" t="s">
        <v>51</v>
      </c>
      <c r="L143" s="8">
        <v>44707</v>
      </c>
      <c r="M143" s="3" t="s">
        <v>45</v>
      </c>
      <c r="N143" s="3" t="s">
        <v>73</v>
      </c>
      <c r="O143" s="3" t="s">
        <v>52</v>
      </c>
      <c r="P143" s="3" t="s">
        <v>819</v>
      </c>
      <c r="Q143" s="7">
        <v>0</v>
      </c>
      <c r="R143" s="8">
        <v>45019</v>
      </c>
      <c r="S143" s="8">
        <v>45014</v>
      </c>
      <c r="T143" s="3" t="s">
        <v>54</v>
      </c>
      <c r="U143" s="3" t="s">
        <v>55</v>
      </c>
      <c r="V143" s="9"/>
      <c r="W143" s="10">
        <v>45021</v>
      </c>
      <c r="X143" s="7">
        <v>2</v>
      </c>
      <c r="Y143" s="7">
        <v>5</v>
      </c>
      <c r="Z143" s="7">
        <v>3</v>
      </c>
      <c r="AA143" s="7">
        <f>INT((S143-DATE(YEAR(S143-WEEKDAY(S143-0)+4),1,4)+WEEKDAY(DATE(YEAR(S143-WEEKDAY(S143-0)+4),1,4))+6)/7)</f>
        <v>13</v>
      </c>
      <c r="AB143" s="3" t="s">
        <v>1287</v>
      </c>
      <c r="AC143" s="7">
        <v>438</v>
      </c>
      <c r="AD143" s="7">
        <v>0</v>
      </c>
      <c r="AE143" s="7">
        <v>0</v>
      </c>
      <c r="AF143" s="3" t="s">
        <v>48</v>
      </c>
      <c r="AG143" s="7">
        <v>2023</v>
      </c>
      <c r="AH143" s="3" t="s">
        <v>112</v>
      </c>
      <c r="AI143" s="3" t="s">
        <v>113</v>
      </c>
      <c r="AJ143" s="3" t="s">
        <v>48</v>
      </c>
      <c r="AK143" s="3" t="s">
        <v>114</v>
      </c>
      <c r="AL143" s="3" t="s">
        <v>59</v>
      </c>
      <c r="AM143" s="3" t="s">
        <v>115</v>
      </c>
      <c r="AN143" s="3" t="s">
        <v>61</v>
      </c>
      <c r="AO143" s="3" t="s">
        <v>62</v>
      </c>
      <c r="AP143" s="3" t="s">
        <v>61</v>
      </c>
      <c r="AQ143" s="3" t="s">
        <v>61</v>
      </c>
      <c r="AR143" s="3" t="s">
        <v>48</v>
      </c>
    </row>
    <row r="144" spans="1:44" ht="30" customHeight="1">
      <c r="A144" s="3" t="s">
        <v>44</v>
      </c>
      <c r="B144" s="3" t="s">
        <v>45</v>
      </c>
      <c r="C144" s="3" t="s">
        <v>46</v>
      </c>
      <c r="D144" s="3" t="s">
        <v>108</v>
      </c>
      <c r="E144" s="3" t="s">
        <v>48</v>
      </c>
      <c r="F144" s="3" t="s">
        <v>108</v>
      </c>
      <c r="G144" s="3" t="s">
        <v>1397</v>
      </c>
      <c r="H144" s="4">
        <f>IF(DATEDIF(L144,S144,"m")&gt;12,DATEDIF(L144,S144,"y"),(DATEDIF(L144,S144,"m")/12))</f>
        <v>6</v>
      </c>
      <c r="I144" s="7">
        <f>DATEDIF(L144,S144,"M")</f>
        <v>74</v>
      </c>
      <c r="J144" s="7">
        <f>DATEDIF(L144,S144,"D")</f>
        <v>2269</v>
      </c>
      <c r="K144" s="3" t="s">
        <v>64</v>
      </c>
      <c r="L144" s="8">
        <v>42749</v>
      </c>
      <c r="M144" s="3" t="s">
        <v>45</v>
      </c>
      <c r="N144" s="3" t="s">
        <v>73</v>
      </c>
      <c r="O144" s="3" t="s">
        <v>52</v>
      </c>
      <c r="P144" s="3" t="s">
        <v>819</v>
      </c>
      <c r="Q144" s="7">
        <v>0</v>
      </c>
      <c r="R144" s="8">
        <v>45021</v>
      </c>
      <c r="S144" s="8">
        <v>45018</v>
      </c>
      <c r="T144" s="3" t="s">
        <v>54</v>
      </c>
      <c r="U144" s="3" t="s">
        <v>55</v>
      </c>
      <c r="V144" s="9"/>
      <c r="W144" s="10">
        <v>45021</v>
      </c>
      <c r="X144" s="7">
        <v>0</v>
      </c>
      <c r="Y144" s="7">
        <v>3</v>
      </c>
      <c r="Z144" s="7">
        <v>4</v>
      </c>
      <c r="AA144" s="7">
        <f>INT((S144-DATE(YEAR(S144-WEEKDAY(S144-0)+4),1,4)+WEEKDAY(DATE(YEAR(S144-WEEKDAY(S144-0)+4),1,4))+6)/7)</f>
        <v>14</v>
      </c>
      <c r="AB144" s="3" t="s">
        <v>1398</v>
      </c>
      <c r="AC144" s="7">
        <v>448</v>
      </c>
      <c r="AD144" s="7">
        <v>0</v>
      </c>
      <c r="AE144" s="7">
        <v>0</v>
      </c>
      <c r="AF144" s="3" t="s">
        <v>48</v>
      </c>
      <c r="AG144" s="7">
        <v>2023</v>
      </c>
      <c r="AH144" s="3" t="s">
        <v>112</v>
      </c>
      <c r="AI144" s="3" t="s">
        <v>113</v>
      </c>
      <c r="AJ144" s="3" t="s">
        <v>48</v>
      </c>
      <c r="AK144" s="3" t="s">
        <v>114</v>
      </c>
      <c r="AL144" s="3" t="s">
        <v>59</v>
      </c>
      <c r="AM144" s="3" t="s">
        <v>115</v>
      </c>
      <c r="AN144" s="3" t="s">
        <v>61</v>
      </c>
      <c r="AO144" s="3" t="s">
        <v>62</v>
      </c>
      <c r="AP144" s="3" t="s">
        <v>61</v>
      </c>
      <c r="AQ144" s="3" t="s">
        <v>61</v>
      </c>
      <c r="AR144" s="3" t="s">
        <v>48</v>
      </c>
    </row>
    <row r="145" spans="1:44" ht="30" customHeight="1">
      <c r="A145" s="3" t="s">
        <v>44</v>
      </c>
      <c r="B145" s="3" t="s">
        <v>45</v>
      </c>
      <c r="C145" s="3" t="s">
        <v>46</v>
      </c>
      <c r="D145" s="3" t="s">
        <v>108</v>
      </c>
      <c r="E145" s="3" t="s">
        <v>48</v>
      </c>
      <c r="F145" s="3" t="s">
        <v>108</v>
      </c>
      <c r="G145" s="3" t="s">
        <v>2266</v>
      </c>
      <c r="H145" s="5">
        <f>IF(DATEDIF(L145,S145,"m")&gt;12,DATEDIF(L145,S145,"y"),(DATEDIF(L145,S145,"m")/12))</f>
        <v>0.25</v>
      </c>
      <c r="I145" s="7">
        <f>DATEDIF(L145,S145,"M")</f>
        <v>3</v>
      </c>
      <c r="J145" s="7">
        <f>DATEDIF(L145,S145,"D")</f>
        <v>111</v>
      </c>
      <c r="K145" s="3" t="s">
        <v>51</v>
      </c>
      <c r="L145" s="8">
        <v>44907</v>
      </c>
      <c r="M145" s="3" t="s">
        <v>45</v>
      </c>
      <c r="N145" s="3" t="s">
        <v>73</v>
      </c>
      <c r="O145" s="3" t="s">
        <v>52</v>
      </c>
      <c r="P145" s="3" t="s">
        <v>1827</v>
      </c>
      <c r="Q145" s="7">
        <v>0</v>
      </c>
      <c r="R145" s="8">
        <v>45020</v>
      </c>
      <c r="S145" s="8">
        <v>45018</v>
      </c>
      <c r="T145" s="3" t="s">
        <v>54</v>
      </c>
      <c r="U145" s="3" t="s">
        <v>55</v>
      </c>
      <c r="V145" s="9"/>
      <c r="W145" s="10">
        <v>45021</v>
      </c>
      <c r="X145" s="7">
        <v>1</v>
      </c>
      <c r="Y145" s="7">
        <v>2</v>
      </c>
      <c r="Z145" s="7">
        <v>4</v>
      </c>
      <c r="AA145" s="7">
        <f>INT((S145-DATE(YEAR(S145-WEEKDAY(S145-0)+4),1,4)+WEEKDAY(DATE(YEAR(S145-WEEKDAY(S145-0)+4),1,4))+6)/7)</f>
        <v>14</v>
      </c>
      <c r="AB145" s="3" t="s">
        <v>2267</v>
      </c>
      <c r="AC145" s="7">
        <v>445</v>
      </c>
      <c r="AD145" s="7">
        <v>0</v>
      </c>
      <c r="AE145" s="7">
        <v>0</v>
      </c>
      <c r="AF145" s="3" t="s">
        <v>48</v>
      </c>
      <c r="AG145" s="7">
        <v>2023</v>
      </c>
      <c r="AH145" s="3" t="s">
        <v>112</v>
      </c>
      <c r="AI145" s="3" t="s">
        <v>113</v>
      </c>
      <c r="AJ145" s="3" t="s">
        <v>48</v>
      </c>
      <c r="AK145" s="3" t="s">
        <v>114</v>
      </c>
      <c r="AL145" s="3" t="s">
        <v>59</v>
      </c>
      <c r="AM145" s="3" t="s">
        <v>115</v>
      </c>
      <c r="AN145" s="3" t="s">
        <v>61</v>
      </c>
      <c r="AO145" s="3" t="s">
        <v>62</v>
      </c>
      <c r="AP145" s="3" t="s">
        <v>61</v>
      </c>
      <c r="AQ145" s="3" t="s">
        <v>61</v>
      </c>
      <c r="AR145" s="3" t="s">
        <v>48</v>
      </c>
    </row>
    <row r="146" spans="1:44" ht="30" customHeight="1">
      <c r="A146" s="3" t="s">
        <v>44</v>
      </c>
      <c r="B146" s="3" t="s">
        <v>45</v>
      </c>
      <c r="C146" s="3" t="s">
        <v>46</v>
      </c>
      <c r="D146" s="3" t="s">
        <v>108</v>
      </c>
      <c r="E146" s="3" t="s">
        <v>48</v>
      </c>
      <c r="F146" s="3" t="s">
        <v>108</v>
      </c>
      <c r="G146" s="3" t="s">
        <v>578</v>
      </c>
      <c r="H146" s="4">
        <f>IF(DATEDIF(L146,S146,"m")&gt;12,DATEDIF(L146,S146,"y"),(DATEDIF(L146,S146,"m")/12))</f>
        <v>64</v>
      </c>
      <c r="I146" s="7">
        <f>DATEDIF(L146,S146,"M")</f>
        <v>769</v>
      </c>
      <c r="J146" s="7">
        <f>DATEDIF(L146,S146,"D")</f>
        <v>23407</v>
      </c>
      <c r="K146" s="3" t="s">
        <v>64</v>
      </c>
      <c r="L146" s="8">
        <v>21622</v>
      </c>
      <c r="M146" s="3" t="s">
        <v>45</v>
      </c>
      <c r="N146" s="3" t="s">
        <v>73</v>
      </c>
      <c r="O146" s="3" t="s">
        <v>52</v>
      </c>
      <c r="P146" s="3" t="s">
        <v>579</v>
      </c>
      <c r="Q146" s="7">
        <v>0</v>
      </c>
      <c r="R146" s="8">
        <v>45033</v>
      </c>
      <c r="S146" s="8">
        <v>45029</v>
      </c>
      <c r="T146" s="3" t="s">
        <v>54</v>
      </c>
      <c r="U146" s="3" t="s">
        <v>55</v>
      </c>
      <c r="V146" s="9"/>
      <c r="W146" s="10">
        <v>45036</v>
      </c>
      <c r="X146" s="7">
        <v>3</v>
      </c>
      <c r="Y146" s="7">
        <v>4</v>
      </c>
      <c r="Z146" s="7">
        <v>4</v>
      </c>
      <c r="AA146" s="7">
        <f>INT((S146-DATE(YEAR(S146-WEEKDAY(S146-0)+4),1,4)+WEEKDAY(DATE(YEAR(S146-WEEKDAY(S146-0)+4),1,4))+6)/7)</f>
        <v>15</v>
      </c>
      <c r="AB146" s="3" t="s">
        <v>580</v>
      </c>
      <c r="AC146" s="7">
        <v>476</v>
      </c>
      <c r="AD146" s="7">
        <v>0</v>
      </c>
      <c r="AE146" s="7">
        <v>0</v>
      </c>
      <c r="AF146" s="3" t="s">
        <v>48</v>
      </c>
      <c r="AG146" s="7">
        <v>2023</v>
      </c>
      <c r="AH146" s="3" t="s">
        <v>112</v>
      </c>
      <c r="AI146" s="3" t="s">
        <v>113</v>
      </c>
      <c r="AJ146" s="3" t="s">
        <v>48</v>
      </c>
      <c r="AK146" s="3" t="s">
        <v>114</v>
      </c>
      <c r="AL146" s="3" t="s">
        <v>59</v>
      </c>
      <c r="AM146" s="3" t="s">
        <v>115</v>
      </c>
      <c r="AN146" s="3" t="s">
        <v>61</v>
      </c>
      <c r="AO146" s="3" t="s">
        <v>62</v>
      </c>
      <c r="AP146" s="3" t="s">
        <v>61</v>
      </c>
      <c r="AQ146" s="3" t="s">
        <v>61</v>
      </c>
      <c r="AR146" s="3" t="s">
        <v>48</v>
      </c>
    </row>
    <row r="147" spans="1:44" ht="30" customHeight="1">
      <c r="A147" s="3" t="s">
        <v>44</v>
      </c>
      <c r="B147" s="3" t="s">
        <v>45</v>
      </c>
      <c r="C147" s="3" t="s">
        <v>46</v>
      </c>
      <c r="D147" s="3" t="s">
        <v>108</v>
      </c>
      <c r="E147" s="3" t="s">
        <v>48</v>
      </c>
      <c r="F147" s="3" t="s">
        <v>108</v>
      </c>
      <c r="G147" s="3" t="s">
        <v>677</v>
      </c>
      <c r="H147" s="4">
        <f>IF(DATEDIF(L147,S147,"m")&gt;12,DATEDIF(L147,S147,"y"),(DATEDIF(L147,S147,"m")/12))</f>
        <v>2</v>
      </c>
      <c r="I147" s="7">
        <f>DATEDIF(L147,S147,"M")</f>
        <v>35</v>
      </c>
      <c r="J147" s="7">
        <f>DATEDIF(L147,S147,"D")</f>
        <v>1080</v>
      </c>
      <c r="K147" s="3" t="s">
        <v>51</v>
      </c>
      <c r="L147" s="8">
        <v>43952</v>
      </c>
      <c r="M147" s="3" t="s">
        <v>45</v>
      </c>
      <c r="N147" s="3" t="s">
        <v>73</v>
      </c>
      <c r="O147" s="3" t="s">
        <v>52</v>
      </c>
      <c r="P147" s="3" t="s">
        <v>579</v>
      </c>
      <c r="Q147" s="7">
        <v>0</v>
      </c>
      <c r="R147" s="8">
        <v>45034</v>
      </c>
      <c r="S147" s="8">
        <v>45032</v>
      </c>
      <c r="T147" s="3" t="s">
        <v>54</v>
      </c>
      <c r="U147" s="3" t="s">
        <v>55</v>
      </c>
      <c r="V147" s="9"/>
      <c r="W147" s="10">
        <v>45036</v>
      </c>
      <c r="X147" s="7">
        <v>2</v>
      </c>
      <c r="Y147" s="7">
        <v>2</v>
      </c>
      <c r="Z147" s="7">
        <v>4</v>
      </c>
      <c r="AA147" s="7">
        <f>INT((S147-DATE(YEAR(S147-WEEKDAY(S147-0)+4),1,4)+WEEKDAY(DATE(YEAR(S147-WEEKDAY(S147-0)+4),1,4))+6)/7)</f>
        <v>16</v>
      </c>
      <c r="AB147" s="3" t="s">
        <v>678</v>
      </c>
      <c r="AC147" s="7">
        <v>485</v>
      </c>
      <c r="AD147" s="7">
        <v>0</v>
      </c>
      <c r="AE147" s="7">
        <v>0</v>
      </c>
      <c r="AF147" s="3" t="s">
        <v>48</v>
      </c>
      <c r="AG147" s="7">
        <v>2023</v>
      </c>
      <c r="AH147" s="3" t="s">
        <v>112</v>
      </c>
      <c r="AI147" s="3" t="s">
        <v>48</v>
      </c>
      <c r="AJ147" s="3" t="s">
        <v>48</v>
      </c>
      <c r="AK147" s="3" t="s">
        <v>114</v>
      </c>
      <c r="AL147" s="3" t="s">
        <v>59</v>
      </c>
      <c r="AM147" s="3" t="s">
        <v>115</v>
      </c>
      <c r="AN147" s="3" t="s">
        <v>61</v>
      </c>
      <c r="AO147" s="3" t="s">
        <v>62</v>
      </c>
      <c r="AP147" s="3" t="s">
        <v>61</v>
      </c>
      <c r="AQ147" s="3" t="s">
        <v>61</v>
      </c>
      <c r="AR147" s="3" t="s">
        <v>48</v>
      </c>
    </row>
    <row r="148" spans="1:44" ht="30" customHeight="1">
      <c r="A148" s="3" t="s">
        <v>44</v>
      </c>
      <c r="B148" s="3" t="s">
        <v>45</v>
      </c>
      <c r="C148" s="3" t="s">
        <v>46</v>
      </c>
      <c r="D148" s="3" t="s">
        <v>108</v>
      </c>
      <c r="E148" s="3" t="s">
        <v>48</v>
      </c>
      <c r="F148" s="3" t="s">
        <v>108</v>
      </c>
      <c r="G148" s="3" t="s">
        <v>1492</v>
      </c>
      <c r="H148" s="4">
        <f>IF(DATEDIF(L148,S148,"m")&gt;12,DATEDIF(L148,S148,"y"),(DATEDIF(L148,S148,"m")/12))</f>
        <v>7</v>
      </c>
      <c r="I148" s="7">
        <f>DATEDIF(L148,S148,"M")</f>
        <v>94</v>
      </c>
      <c r="J148" s="7">
        <f>DATEDIF(L148,S148,"D")</f>
        <v>2883</v>
      </c>
      <c r="K148" s="3" t="s">
        <v>64</v>
      </c>
      <c r="L148" s="8">
        <v>42148</v>
      </c>
      <c r="M148" s="3" t="s">
        <v>45</v>
      </c>
      <c r="N148" s="3" t="s">
        <v>73</v>
      </c>
      <c r="O148" s="3" t="s">
        <v>52</v>
      </c>
      <c r="P148" s="3" t="s">
        <v>1493</v>
      </c>
      <c r="Q148" s="7">
        <v>0</v>
      </c>
      <c r="R148" s="8">
        <v>45034</v>
      </c>
      <c r="S148" s="8">
        <v>45031</v>
      </c>
      <c r="T148" s="3" t="s">
        <v>54</v>
      </c>
      <c r="U148" s="3" t="s">
        <v>55</v>
      </c>
      <c r="V148" s="9"/>
      <c r="W148" s="10">
        <v>45036</v>
      </c>
      <c r="X148" s="7">
        <v>2</v>
      </c>
      <c r="Y148" s="7">
        <v>3</v>
      </c>
      <c r="Z148" s="7">
        <v>4</v>
      </c>
      <c r="AA148" s="7">
        <f>INT((S148-DATE(YEAR(S148-WEEKDAY(S148-0)+4),1,4)+WEEKDAY(DATE(YEAR(S148-WEEKDAY(S148-0)+4),1,4))+6)/7)</f>
        <v>15</v>
      </c>
      <c r="AB148" s="3" t="s">
        <v>1494</v>
      </c>
      <c r="AC148" s="7">
        <v>487</v>
      </c>
      <c r="AD148" s="7">
        <v>0</v>
      </c>
      <c r="AE148" s="7">
        <v>0</v>
      </c>
      <c r="AF148" s="3" t="s">
        <v>48</v>
      </c>
      <c r="AG148" s="7">
        <v>2023</v>
      </c>
      <c r="AH148" s="3" t="s">
        <v>112</v>
      </c>
      <c r="AI148" s="3" t="s">
        <v>48</v>
      </c>
      <c r="AJ148" s="3" t="s">
        <v>48</v>
      </c>
      <c r="AK148" s="3" t="s">
        <v>114</v>
      </c>
      <c r="AL148" s="3" t="s">
        <v>59</v>
      </c>
      <c r="AM148" s="3" t="s">
        <v>115</v>
      </c>
      <c r="AN148" s="3" t="s">
        <v>61</v>
      </c>
      <c r="AO148" s="3" t="s">
        <v>62</v>
      </c>
      <c r="AP148" s="3" t="s">
        <v>61</v>
      </c>
      <c r="AQ148" s="3" t="s">
        <v>61</v>
      </c>
      <c r="AR148" s="3" t="s">
        <v>48</v>
      </c>
    </row>
    <row r="149" spans="1:44" ht="30" customHeight="1">
      <c r="A149" s="3" t="s">
        <v>44</v>
      </c>
      <c r="B149" s="3" t="s">
        <v>45</v>
      </c>
      <c r="C149" s="3" t="s">
        <v>46</v>
      </c>
      <c r="D149" s="3" t="s">
        <v>70</v>
      </c>
      <c r="E149" s="3" t="s">
        <v>48</v>
      </c>
      <c r="F149" s="3" t="s">
        <v>71</v>
      </c>
      <c r="G149" s="3" t="s">
        <v>997</v>
      </c>
      <c r="H149" s="5">
        <f>IF(DATEDIF(L149,S149,"m")&gt;12,DATEDIF(L149,S149,"y"),(DATEDIF(L149,S149,"m")/12))</f>
        <v>0.83333333333333337</v>
      </c>
      <c r="I149" s="7">
        <f>DATEDIF(L149,S149,"M")</f>
        <v>10</v>
      </c>
      <c r="J149" s="7">
        <f>DATEDIF(L149,S149,"D")</f>
        <v>316</v>
      </c>
      <c r="K149" s="3" t="s">
        <v>51</v>
      </c>
      <c r="L149" s="8">
        <v>44631</v>
      </c>
      <c r="M149" s="3" t="s">
        <v>45</v>
      </c>
      <c r="N149" s="3" t="s">
        <v>159</v>
      </c>
      <c r="O149" s="3" t="s">
        <v>52</v>
      </c>
      <c r="P149" s="3" t="s">
        <v>137</v>
      </c>
      <c r="Q149" s="7">
        <v>1</v>
      </c>
      <c r="R149" s="8">
        <v>44948</v>
      </c>
      <c r="S149" s="8">
        <v>44947</v>
      </c>
      <c r="T149" s="3" t="s">
        <v>54</v>
      </c>
      <c r="U149" s="3" t="s">
        <v>55</v>
      </c>
      <c r="V149" s="9"/>
      <c r="W149" s="10">
        <v>44951</v>
      </c>
      <c r="X149" s="7">
        <v>3</v>
      </c>
      <c r="Y149" s="7">
        <v>1</v>
      </c>
      <c r="Z149" s="7">
        <v>1</v>
      </c>
      <c r="AA149" s="7">
        <f>INT((S149-DATE(YEAR(S149-WEEKDAY(S149-0)+4),1,4)+WEEKDAY(DATE(YEAR(S149-WEEKDAY(S149-0)+4),1,4))+6)/7)</f>
        <v>3</v>
      </c>
      <c r="AB149" s="3" t="s">
        <v>998</v>
      </c>
      <c r="AC149" s="7">
        <v>634</v>
      </c>
      <c r="AD149" s="7">
        <v>0</v>
      </c>
      <c r="AE149" s="7">
        <v>1</v>
      </c>
      <c r="AF149" s="3" t="s">
        <v>48</v>
      </c>
      <c r="AG149" s="7">
        <v>2023</v>
      </c>
      <c r="AH149" s="3" t="s">
        <v>76</v>
      </c>
      <c r="AI149" s="3" t="s">
        <v>77</v>
      </c>
      <c r="AJ149" s="3" t="s">
        <v>78</v>
      </c>
      <c r="AK149" s="3" t="s">
        <v>349</v>
      </c>
      <c r="AL149" s="3" t="s">
        <v>59</v>
      </c>
      <c r="AM149" s="3" t="s">
        <v>60</v>
      </c>
      <c r="AN149" s="3" t="s">
        <v>61</v>
      </c>
      <c r="AO149" s="3" t="s">
        <v>62</v>
      </c>
      <c r="AP149" s="3" t="s">
        <v>69</v>
      </c>
      <c r="AQ149" s="3" t="s">
        <v>61</v>
      </c>
      <c r="AR149" s="3" t="s">
        <v>48</v>
      </c>
    </row>
    <row r="150" spans="1:44" ht="30" customHeight="1">
      <c r="A150" s="3" t="s">
        <v>44</v>
      </c>
      <c r="B150" s="3" t="s">
        <v>45</v>
      </c>
      <c r="C150" s="3" t="s">
        <v>46</v>
      </c>
      <c r="D150" s="3" t="s">
        <v>70</v>
      </c>
      <c r="E150" s="3" t="s">
        <v>48</v>
      </c>
      <c r="F150" s="3" t="s">
        <v>71</v>
      </c>
      <c r="G150" s="3" t="s">
        <v>1024</v>
      </c>
      <c r="H150" s="5">
        <f>IF(DATEDIF(L150,S150,"m")&gt;12,DATEDIF(L150,S150,"y"),(DATEDIF(L150,S150,"m")/12))</f>
        <v>0.58333333333333337</v>
      </c>
      <c r="I150" s="7">
        <f>DATEDIF(L150,S150,"M")</f>
        <v>7</v>
      </c>
      <c r="J150" s="7">
        <f>DATEDIF(L150,S150,"D")</f>
        <v>233</v>
      </c>
      <c r="K150" s="3" t="s">
        <v>64</v>
      </c>
      <c r="L150" s="8">
        <v>44715</v>
      </c>
      <c r="M150" s="3" t="s">
        <v>45</v>
      </c>
      <c r="N150" s="3" t="s">
        <v>159</v>
      </c>
      <c r="O150" s="3" t="s">
        <v>52</v>
      </c>
      <c r="P150" s="3" t="s">
        <v>137</v>
      </c>
      <c r="Q150" s="7">
        <v>1</v>
      </c>
      <c r="R150" s="8">
        <v>44949</v>
      </c>
      <c r="S150" s="8">
        <v>44948</v>
      </c>
      <c r="T150" s="3" t="s">
        <v>54</v>
      </c>
      <c r="U150" s="3" t="s">
        <v>55</v>
      </c>
      <c r="V150" s="9"/>
      <c r="W150" s="10">
        <v>44951</v>
      </c>
      <c r="X150" s="7">
        <v>2</v>
      </c>
      <c r="Y150" s="7">
        <v>1</v>
      </c>
      <c r="Z150" s="7">
        <v>1</v>
      </c>
      <c r="AA150" s="7">
        <f>INT((S150-DATE(YEAR(S150-WEEKDAY(S150-0)+4),1,4)+WEEKDAY(DATE(YEAR(S150-WEEKDAY(S150-0)+4),1,4))+6)/7)</f>
        <v>4</v>
      </c>
      <c r="AB150" s="3" t="s">
        <v>1025</v>
      </c>
      <c r="AC150" s="7">
        <v>639</v>
      </c>
      <c r="AD150" s="7">
        <v>0</v>
      </c>
      <c r="AE150" s="7">
        <v>1</v>
      </c>
      <c r="AF150" s="3" t="s">
        <v>48</v>
      </c>
      <c r="AG150" s="7">
        <v>2023</v>
      </c>
      <c r="AH150" s="3" t="s">
        <v>76</v>
      </c>
      <c r="AI150" s="3" t="s">
        <v>77</v>
      </c>
      <c r="AJ150" s="3" t="s">
        <v>78</v>
      </c>
      <c r="AK150" s="3" t="s">
        <v>1026</v>
      </c>
      <c r="AL150" s="3" t="s">
        <v>59</v>
      </c>
      <c r="AM150" s="3" t="s">
        <v>60</v>
      </c>
      <c r="AN150" s="3" t="s">
        <v>61</v>
      </c>
      <c r="AO150" s="3" t="s">
        <v>62</v>
      </c>
      <c r="AP150" s="3" t="s">
        <v>69</v>
      </c>
      <c r="AQ150" s="3" t="s">
        <v>61</v>
      </c>
      <c r="AR150" s="3" t="s">
        <v>48</v>
      </c>
    </row>
    <row r="151" spans="1:44" ht="30" customHeight="1">
      <c r="A151" s="3" t="s">
        <v>44</v>
      </c>
      <c r="B151" s="3" t="s">
        <v>45</v>
      </c>
      <c r="C151" s="3" t="s">
        <v>46</v>
      </c>
      <c r="D151" s="3" t="s">
        <v>70</v>
      </c>
      <c r="E151" s="3" t="s">
        <v>48</v>
      </c>
      <c r="F151" s="3" t="s">
        <v>71</v>
      </c>
      <c r="G151" s="3" t="s">
        <v>1579</v>
      </c>
      <c r="H151" s="4">
        <f>IF(DATEDIF(L151,S151,"m")&gt;12,DATEDIF(L151,S151,"y"),(DATEDIF(L151,S151,"m")/12))</f>
        <v>4</v>
      </c>
      <c r="I151" s="7">
        <f>DATEDIF(L151,S151,"M")</f>
        <v>52</v>
      </c>
      <c r="J151" s="7">
        <f>DATEDIF(L151,S151,"D")</f>
        <v>1604</v>
      </c>
      <c r="K151" s="3" t="s">
        <v>51</v>
      </c>
      <c r="L151" s="8">
        <v>43343</v>
      </c>
      <c r="M151" s="3" t="s">
        <v>45</v>
      </c>
      <c r="N151" s="3" t="s">
        <v>203</v>
      </c>
      <c r="O151" s="3" t="s">
        <v>52</v>
      </c>
      <c r="P151" s="3" t="s">
        <v>137</v>
      </c>
      <c r="Q151" s="7">
        <v>1</v>
      </c>
      <c r="R151" s="8">
        <v>44948</v>
      </c>
      <c r="S151" s="8">
        <v>44947</v>
      </c>
      <c r="T151" s="3" t="s">
        <v>54</v>
      </c>
      <c r="U151" s="3" t="s">
        <v>55</v>
      </c>
      <c r="V151" s="9"/>
      <c r="W151" s="10">
        <v>44951</v>
      </c>
      <c r="X151" s="7">
        <v>3</v>
      </c>
      <c r="Y151" s="7">
        <v>1</v>
      </c>
      <c r="Z151" s="7">
        <v>1</v>
      </c>
      <c r="AA151" s="7">
        <f>INT((S151-DATE(YEAR(S151-WEEKDAY(S151-0)+4),1,4)+WEEKDAY(DATE(YEAR(S151-WEEKDAY(S151-0)+4),1,4))+6)/7)</f>
        <v>3</v>
      </c>
      <c r="AB151" s="3" t="s">
        <v>1580</v>
      </c>
      <c r="AC151" s="7">
        <v>636</v>
      </c>
      <c r="AD151" s="7">
        <v>0</v>
      </c>
      <c r="AE151" s="7">
        <v>1</v>
      </c>
      <c r="AF151" s="3" t="s">
        <v>48</v>
      </c>
      <c r="AG151" s="7">
        <v>2023</v>
      </c>
      <c r="AH151" s="3" t="s">
        <v>76</v>
      </c>
      <c r="AI151" s="3" t="s">
        <v>166</v>
      </c>
      <c r="AJ151" s="3" t="s">
        <v>78</v>
      </c>
      <c r="AK151" s="3" t="s">
        <v>1039</v>
      </c>
      <c r="AL151" s="3" t="s">
        <v>59</v>
      </c>
      <c r="AM151" s="3" t="s">
        <v>60</v>
      </c>
      <c r="AN151" s="3" t="s">
        <v>61</v>
      </c>
      <c r="AO151" s="3" t="s">
        <v>62</v>
      </c>
      <c r="AP151" s="3" t="s">
        <v>69</v>
      </c>
      <c r="AQ151" s="3" t="s">
        <v>61</v>
      </c>
      <c r="AR151" s="3" t="s">
        <v>48</v>
      </c>
    </row>
    <row r="152" spans="1:44" ht="30" customHeight="1">
      <c r="A152" s="3" t="s">
        <v>44</v>
      </c>
      <c r="B152" s="3" t="s">
        <v>45</v>
      </c>
      <c r="C152" s="3" t="s">
        <v>46</v>
      </c>
      <c r="D152" s="3" t="s">
        <v>186</v>
      </c>
      <c r="E152" s="3" t="s">
        <v>48</v>
      </c>
      <c r="F152" s="3" t="s">
        <v>48</v>
      </c>
      <c r="G152" s="3" t="s">
        <v>48</v>
      </c>
      <c r="H152" s="4">
        <f>IF(DATEDIF(L152,S152,"m")&gt;12,DATEDIF(L152,S152,"y"),(DATEDIF(L152,S152,"m")/12))</f>
        <v>45</v>
      </c>
      <c r="I152" s="7">
        <f>DATEDIF(L152,S152,"M")</f>
        <v>546</v>
      </c>
      <c r="J152" s="7">
        <f>DATEDIF(L152,S152,"D")</f>
        <v>16639</v>
      </c>
      <c r="K152" s="3" t="s">
        <v>51</v>
      </c>
      <c r="L152" s="8">
        <v>28288</v>
      </c>
      <c r="M152" s="3" t="s">
        <v>45</v>
      </c>
      <c r="N152" s="3" t="s">
        <v>187</v>
      </c>
      <c r="O152" s="3" t="s">
        <v>52</v>
      </c>
      <c r="P152" s="3" t="s">
        <v>1780</v>
      </c>
      <c r="Q152" s="7">
        <v>0</v>
      </c>
      <c r="R152" s="8">
        <v>44949</v>
      </c>
      <c r="S152" s="8">
        <v>44927</v>
      </c>
      <c r="T152" s="3" t="s">
        <v>54</v>
      </c>
      <c r="U152" s="3" t="s">
        <v>55</v>
      </c>
      <c r="V152" s="9"/>
      <c r="W152" s="10">
        <v>44951</v>
      </c>
      <c r="X152" s="7">
        <v>2</v>
      </c>
      <c r="Y152" s="7">
        <v>22</v>
      </c>
      <c r="Z152" s="7">
        <v>1</v>
      </c>
      <c r="AA152" s="7">
        <f>INT((S152-DATE(YEAR(S152-WEEKDAY(S152-0)+4),1,4)+WEEKDAY(DATE(YEAR(S152-WEEKDAY(S152-0)+4),1,4))+6)/7)</f>
        <v>1</v>
      </c>
      <c r="AB152" s="3" t="s">
        <v>1781</v>
      </c>
      <c r="AC152" s="7">
        <v>71</v>
      </c>
      <c r="AD152" s="7">
        <v>0</v>
      </c>
      <c r="AE152" s="7">
        <v>0</v>
      </c>
      <c r="AF152" s="3" t="s">
        <v>48</v>
      </c>
      <c r="AG152" s="7">
        <v>2023</v>
      </c>
      <c r="AH152" s="3" t="s">
        <v>190</v>
      </c>
      <c r="AI152" s="3" t="s">
        <v>191</v>
      </c>
      <c r="AJ152" s="3" t="s">
        <v>186</v>
      </c>
      <c r="AK152" s="3" t="s">
        <v>192</v>
      </c>
      <c r="AL152" s="3" t="s">
        <v>59</v>
      </c>
      <c r="AM152" s="3" t="s">
        <v>115</v>
      </c>
      <c r="AN152" s="3" t="s">
        <v>61</v>
      </c>
      <c r="AO152" s="3" t="s">
        <v>62</v>
      </c>
      <c r="AP152" s="3" t="s">
        <v>69</v>
      </c>
      <c r="AQ152" s="3" t="s">
        <v>61</v>
      </c>
      <c r="AR152" s="3" t="s">
        <v>48</v>
      </c>
    </row>
    <row r="153" spans="1:44" ht="30" customHeight="1">
      <c r="A153" s="3" t="s">
        <v>44</v>
      </c>
      <c r="B153" s="3" t="s">
        <v>45</v>
      </c>
      <c r="C153" s="3" t="s">
        <v>46</v>
      </c>
      <c r="D153" s="3" t="s">
        <v>70</v>
      </c>
      <c r="E153" s="3" t="s">
        <v>48</v>
      </c>
      <c r="F153" s="3" t="s">
        <v>71</v>
      </c>
      <c r="G153" s="3" t="s">
        <v>2352</v>
      </c>
      <c r="H153" s="4">
        <f>IF(DATEDIF(L153,S153,"m")&gt;12,DATEDIF(L153,S153,"y"),(DATEDIF(L153,S153,"m")/12))</f>
        <v>8</v>
      </c>
      <c r="I153" s="7">
        <f>DATEDIF(L153,S153,"M")</f>
        <v>97</v>
      </c>
      <c r="J153" s="7">
        <f>DATEDIF(L153,S153,"D")</f>
        <v>2978</v>
      </c>
      <c r="K153" s="3" t="s">
        <v>51</v>
      </c>
      <c r="L153" s="8">
        <v>41970</v>
      </c>
      <c r="M153" s="3" t="s">
        <v>45</v>
      </c>
      <c r="N153" s="3" t="s">
        <v>164</v>
      </c>
      <c r="O153" s="3" t="s">
        <v>52</v>
      </c>
      <c r="P153" s="3" t="s">
        <v>169</v>
      </c>
      <c r="Q153" s="7">
        <v>1</v>
      </c>
      <c r="R153" s="8">
        <v>44949</v>
      </c>
      <c r="S153" s="8">
        <v>44948</v>
      </c>
      <c r="T153" s="3" t="s">
        <v>54</v>
      </c>
      <c r="U153" s="3" t="s">
        <v>55</v>
      </c>
      <c r="V153" s="9"/>
      <c r="W153" s="10">
        <v>44951</v>
      </c>
      <c r="X153" s="7">
        <v>2</v>
      </c>
      <c r="Y153" s="7">
        <v>1</v>
      </c>
      <c r="Z153" s="7">
        <v>1</v>
      </c>
      <c r="AA153" s="7">
        <f>INT((S153-DATE(YEAR(S153-WEEKDAY(S153-0)+4),1,4)+WEEKDAY(DATE(YEAR(S153-WEEKDAY(S153-0)+4),1,4))+6)/7)</f>
        <v>4</v>
      </c>
      <c r="AB153" s="3" t="s">
        <v>2353</v>
      </c>
      <c r="AC153" s="7">
        <v>640</v>
      </c>
      <c r="AD153" s="7">
        <v>0</v>
      </c>
      <c r="AE153" s="7">
        <v>1</v>
      </c>
      <c r="AF153" s="3" t="s">
        <v>48</v>
      </c>
      <c r="AG153" s="7">
        <v>2023</v>
      </c>
      <c r="AH153" s="3" t="s">
        <v>76</v>
      </c>
      <c r="AI153" s="3" t="s">
        <v>166</v>
      </c>
      <c r="AJ153" s="3" t="s">
        <v>78</v>
      </c>
      <c r="AK153" s="3" t="s">
        <v>870</v>
      </c>
      <c r="AL153" s="3" t="s">
        <v>59</v>
      </c>
      <c r="AM153" s="3" t="s">
        <v>60</v>
      </c>
      <c r="AN153" s="3" t="s">
        <v>61</v>
      </c>
      <c r="AO153" s="3" t="s">
        <v>62</v>
      </c>
      <c r="AP153" s="3" t="s">
        <v>69</v>
      </c>
      <c r="AQ153" s="3" t="s">
        <v>61</v>
      </c>
      <c r="AR153" s="3" t="s">
        <v>48</v>
      </c>
    </row>
    <row r="154" spans="1:44" ht="30" customHeight="1">
      <c r="A154" s="3" t="s">
        <v>44</v>
      </c>
      <c r="B154" s="3" t="s">
        <v>45</v>
      </c>
      <c r="C154" s="3" t="s">
        <v>46</v>
      </c>
      <c r="D154" s="3" t="s">
        <v>70</v>
      </c>
      <c r="E154" s="3" t="s">
        <v>48</v>
      </c>
      <c r="F154" s="3" t="s">
        <v>71</v>
      </c>
      <c r="G154" s="3" t="s">
        <v>2397</v>
      </c>
      <c r="H154" s="4">
        <f>IF(DATEDIF(L154,S154,"m")&gt;12,DATEDIF(L154,S154,"y"),(DATEDIF(L154,S154,"m")/12))</f>
        <v>48</v>
      </c>
      <c r="I154" s="7">
        <f>DATEDIF(L154,S154,"M")</f>
        <v>578</v>
      </c>
      <c r="J154" s="7">
        <f>DATEDIF(L154,S154,"D")</f>
        <v>17600</v>
      </c>
      <c r="K154" s="3" t="s">
        <v>64</v>
      </c>
      <c r="L154" s="8">
        <v>27347</v>
      </c>
      <c r="M154" s="3" t="s">
        <v>45</v>
      </c>
      <c r="N154" s="3" t="s">
        <v>329</v>
      </c>
      <c r="O154" s="3" t="s">
        <v>52</v>
      </c>
      <c r="P154" s="3" t="s">
        <v>2398</v>
      </c>
      <c r="Q154" s="7">
        <v>1</v>
      </c>
      <c r="R154" s="8">
        <v>44948</v>
      </c>
      <c r="S154" s="8">
        <v>44947</v>
      </c>
      <c r="T154" s="3" t="s">
        <v>54</v>
      </c>
      <c r="U154" s="3" t="s">
        <v>55</v>
      </c>
      <c r="V154" s="9"/>
      <c r="W154" s="10">
        <v>44951</v>
      </c>
      <c r="X154" s="7">
        <v>3</v>
      </c>
      <c r="Y154" s="7">
        <v>1</v>
      </c>
      <c r="Z154" s="7">
        <v>1</v>
      </c>
      <c r="AA154" s="7">
        <f>INT((S154-DATE(YEAR(S154-WEEKDAY(S154-0)+4),1,4)+WEEKDAY(DATE(YEAR(S154-WEEKDAY(S154-0)+4),1,4))+6)/7)</f>
        <v>3</v>
      </c>
      <c r="AB154" s="3" t="s">
        <v>2399</v>
      </c>
      <c r="AC154" s="7">
        <v>638</v>
      </c>
      <c r="AD154" s="7">
        <v>0</v>
      </c>
      <c r="AE154" s="7">
        <v>1</v>
      </c>
      <c r="AF154" s="3" t="s">
        <v>48</v>
      </c>
      <c r="AG154" s="7">
        <v>2023</v>
      </c>
      <c r="AH154" s="3" t="s">
        <v>76</v>
      </c>
      <c r="AI154" s="3" t="s">
        <v>166</v>
      </c>
      <c r="AJ154" s="3" t="s">
        <v>78</v>
      </c>
      <c r="AK154" s="3" t="s">
        <v>162</v>
      </c>
      <c r="AL154" s="3" t="s">
        <v>59</v>
      </c>
      <c r="AM154" s="3" t="s">
        <v>60</v>
      </c>
      <c r="AN154" s="3" t="s">
        <v>61</v>
      </c>
      <c r="AO154" s="3" t="s">
        <v>62</v>
      </c>
      <c r="AP154" s="3" t="s">
        <v>69</v>
      </c>
      <c r="AQ154" s="3" t="s">
        <v>61</v>
      </c>
      <c r="AR154" s="3" t="s">
        <v>48</v>
      </c>
    </row>
    <row r="155" spans="1:44" ht="30" customHeight="1">
      <c r="A155" s="3" t="s">
        <v>44</v>
      </c>
      <c r="B155" s="3" t="s">
        <v>45</v>
      </c>
      <c r="C155" s="3" t="s">
        <v>46</v>
      </c>
      <c r="D155" s="3" t="s">
        <v>130</v>
      </c>
      <c r="E155" s="3" t="s">
        <v>48</v>
      </c>
      <c r="F155" s="3" t="s">
        <v>135</v>
      </c>
      <c r="G155" s="3" t="s">
        <v>228</v>
      </c>
      <c r="H155" s="4">
        <f>IF(DATEDIF(L155,S155,"m")&gt;12,DATEDIF(L155,S155,"y"),(DATEDIF(L155,S155,"m")/12))</f>
        <v>2</v>
      </c>
      <c r="I155" s="7">
        <f>DATEDIF(L155,S155,"M")</f>
        <v>28</v>
      </c>
      <c r="J155" s="7">
        <f>DATEDIF(L155,S155,"D")</f>
        <v>881</v>
      </c>
      <c r="K155" s="3" t="s">
        <v>51</v>
      </c>
      <c r="L155" s="8">
        <v>44069</v>
      </c>
      <c r="M155" s="3" t="s">
        <v>45</v>
      </c>
      <c r="N155" s="3" t="s">
        <v>83</v>
      </c>
      <c r="O155" s="3" t="s">
        <v>52</v>
      </c>
      <c r="P155" s="3" t="s">
        <v>169</v>
      </c>
      <c r="Q155" s="7">
        <v>0</v>
      </c>
      <c r="R155" s="8">
        <v>44952</v>
      </c>
      <c r="S155" s="8">
        <v>44950</v>
      </c>
      <c r="T155" s="3" t="s">
        <v>54</v>
      </c>
      <c r="U155" s="3" t="s">
        <v>55</v>
      </c>
      <c r="V155" s="9"/>
      <c r="W155" s="10">
        <v>44952</v>
      </c>
      <c r="X155" s="7">
        <v>0</v>
      </c>
      <c r="Y155" s="7">
        <v>2</v>
      </c>
      <c r="Z155" s="7">
        <v>1</v>
      </c>
      <c r="AA155" s="7">
        <f>INT((S155-DATE(YEAR(S155-WEEKDAY(S155-0)+4),1,4)+WEEKDAY(DATE(YEAR(S155-WEEKDAY(S155-0)+4),1,4))+6)/7)</f>
        <v>4</v>
      </c>
      <c r="AB155" s="3" t="s">
        <v>229</v>
      </c>
      <c r="AC155" s="7">
        <v>86</v>
      </c>
      <c r="AD155" s="7">
        <v>0</v>
      </c>
      <c r="AE155" s="7">
        <v>0</v>
      </c>
      <c r="AF155" s="3" t="s">
        <v>48</v>
      </c>
      <c r="AG155" s="7">
        <v>2023</v>
      </c>
      <c r="AH155" s="3" t="s">
        <v>139</v>
      </c>
      <c r="AI155" s="3" t="s">
        <v>113</v>
      </c>
      <c r="AJ155" s="3" t="s">
        <v>48</v>
      </c>
      <c r="AK155" s="3" t="s">
        <v>87</v>
      </c>
      <c r="AL155" s="3" t="s">
        <v>59</v>
      </c>
      <c r="AM155" s="3" t="s">
        <v>60</v>
      </c>
      <c r="AN155" s="3" t="s">
        <v>61</v>
      </c>
      <c r="AO155" s="3" t="s">
        <v>62</v>
      </c>
      <c r="AP155" s="3" t="s">
        <v>69</v>
      </c>
      <c r="AQ155" s="3" t="s">
        <v>69</v>
      </c>
      <c r="AR155" s="3" t="s">
        <v>48</v>
      </c>
    </row>
    <row r="156" spans="1:44" ht="30" customHeight="1">
      <c r="A156" s="3" t="s">
        <v>44</v>
      </c>
      <c r="B156" s="3" t="s">
        <v>45</v>
      </c>
      <c r="C156" s="3" t="s">
        <v>46</v>
      </c>
      <c r="D156" s="3" t="s">
        <v>130</v>
      </c>
      <c r="E156" s="3" t="s">
        <v>48</v>
      </c>
      <c r="F156" s="3" t="s">
        <v>131</v>
      </c>
      <c r="G156" s="3" t="s">
        <v>48</v>
      </c>
      <c r="H156" s="4">
        <f>IF(DATEDIF(L156,S156,"m")&gt;12,DATEDIF(L156,S156,"y"),(DATEDIF(L156,S156,"m")/12))</f>
        <v>30</v>
      </c>
      <c r="I156" s="7">
        <f>DATEDIF(L156,S156,"M")</f>
        <v>369</v>
      </c>
      <c r="J156" s="7">
        <f>DATEDIF(L156,S156,"D")</f>
        <v>11239</v>
      </c>
      <c r="K156" s="3" t="s">
        <v>64</v>
      </c>
      <c r="L156" s="8">
        <v>33707</v>
      </c>
      <c r="M156" s="3" t="s">
        <v>45</v>
      </c>
      <c r="N156" s="3" t="s">
        <v>83</v>
      </c>
      <c r="O156" s="3" t="s">
        <v>52</v>
      </c>
      <c r="P156" s="3" t="s">
        <v>84</v>
      </c>
      <c r="Q156" s="7">
        <v>0</v>
      </c>
      <c r="R156" s="8">
        <v>44949</v>
      </c>
      <c r="S156" s="8">
        <v>44946</v>
      </c>
      <c r="T156" s="3" t="s">
        <v>54</v>
      </c>
      <c r="U156" s="3" t="s">
        <v>55</v>
      </c>
      <c r="V156" s="9"/>
      <c r="W156" s="10">
        <v>44953</v>
      </c>
      <c r="X156" s="7">
        <v>4</v>
      </c>
      <c r="Y156" s="7">
        <v>3</v>
      </c>
      <c r="Z156" s="7">
        <v>1</v>
      </c>
      <c r="AA156" s="7">
        <f>INT((S156-DATE(YEAR(S156-WEEKDAY(S156-0)+4),1,4)+WEEKDAY(DATE(YEAR(S156-WEEKDAY(S156-0)+4),1,4))+6)/7)</f>
        <v>3</v>
      </c>
      <c r="AB156" s="3" t="s">
        <v>400</v>
      </c>
      <c r="AC156" s="7">
        <v>87</v>
      </c>
      <c r="AD156" s="7">
        <v>0</v>
      </c>
      <c r="AE156" s="7">
        <v>0</v>
      </c>
      <c r="AF156" s="3" t="s">
        <v>48</v>
      </c>
      <c r="AG156" s="7">
        <v>2023</v>
      </c>
      <c r="AH156" s="3" t="s">
        <v>133</v>
      </c>
      <c r="AI156" s="3" t="s">
        <v>106</v>
      </c>
      <c r="AJ156" s="3" t="s">
        <v>48</v>
      </c>
      <c r="AK156" s="3" t="s">
        <v>401</v>
      </c>
      <c r="AL156" s="3" t="s">
        <v>59</v>
      </c>
      <c r="AM156" s="3" t="s">
        <v>115</v>
      </c>
      <c r="AN156" s="3" t="s">
        <v>61</v>
      </c>
      <c r="AO156" s="3" t="s">
        <v>62</v>
      </c>
      <c r="AP156" s="3" t="s">
        <v>69</v>
      </c>
      <c r="AQ156" s="3" t="s">
        <v>61</v>
      </c>
      <c r="AR156" s="3" t="s">
        <v>48</v>
      </c>
    </row>
    <row r="157" spans="1:44" ht="30" customHeight="1">
      <c r="A157" s="3" t="s">
        <v>44</v>
      </c>
      <c r="B157" s="3" t="s">
        <v>45</v>
      </c>
      <c r="C157" s="3" t="s">
        <v>46</v>
      </c>
      <c r="D157" s="3" t="s">
        <v>130</v>
      </c>
      <c r="E157" s="3" t="s">
        <v>48</v>
      </c>
      <c r="F157" s="3" t="s">
        <v>131</v>
      </c>
      <c r="G157" s="3" t="s">
        <v>48</v>
      </c>
      <c r="H157" s="4">
        <f>IF(DATEDIF(L157,S157,"m")&gt;12,DATEDIF(L157,S157,"y"),(DATEDIF(L157,S157,"m")/12))</f>
        <v>4</v>
      </c>
      <c r="I157" s="7">
        <f>DATEDIF(L157,S157,"M")</f>
        <v>57</v>
      </c>
      <c r="J157" s="7">
        <f>DATEDIF(L157,S157,"D")</f>
        <v>1765</v>
      </c>
      <c r="K157" s="3" t="s">
        <v>64</v>
      </c>
      <c r="L157" s="8">
        <v>43183</v>
      </c>
      <c r="M157" s="3" t="s">
        <v>45</v>
      </c>
      <c r="N157" s="3" t="s">
        <v>83</v>
      </c>
      <c r="O157" s="3" t="s">
        <v>52</v>
      </c>
      <c r="P157" s="3" t="s">
        <v>298</v>
      </c>
      <c r="Q157" s="7">
        <v>0</v>
      </c>
      <c r="R157" s="8">
        <v>44951</v>
      </c>
      <c r="S157" s="8">
        <v>44948</v>
      </c>
      <c r="T157" s="3" t="s">
        <v>54</v>
      </c>
      <c r="U157" s="3" t="s">
        <v>55</v>
      </c>
      <c r="V157" s="9"/>
      <c r="W157" s="10">
        <v>44953</v>
      </c>
      <c r="X157" s="7">
        <v>2</v>
      </c>
      <c r="Y157" s="7">
        <v>3</v>
      </c>
      <c r="Z157" s="7">
        <v>1</v>
      </c>
      <c r="AA157" s="7">
        <f>INT((S157-DATE(YEAR(S157-WEEKDAY(S157-0)+4),1,4)+WEEKDAY(DATE(YEAR(S157-WEEKDAY(S157-0)+4),1,4))+6)/7)</f>
        <v>4</v>
      </c>
      <c r="AB157" s="3" t="s">
        <v>408</v>
      </c>
      <c r="AC157" s="7">
        <v>98</v>
      </c>
      <c r="AD157" s="7">
        <v>0</v>
      </c>
      <c r="AE157" s="7">
        <v>0</v>
      </c>
      <c r="AF157" s="3" t="s">
        <v>48</v>
      </c>
      <c r="AG157" s="7">
        <v>2023</v>
      </c>
      <c r="AH157" s="3" t="s">
        <v>133</v>
      </c>
      <c r="AI157" s="3" t="s">
        <v>106</v>
      </c>
      <c r="AJ157" s="3" t="s">
        <v>48</v>
      </c>
      <c r="AK157" s="3" t="s">
        <v>409</v>
      </c>
      <c r="AL157" s="3" t="s">
        <v>59</v>
      </c>
      <c r="AM157" s="3" t="s">
        <v>48</v>
      </c>
      <c r="AN157" s="3" t="s">
        <v>61</v>
      </c>
      <c r="AO157" s="3" t="s">
        <v>62</v>
      </c>
      <c r="AP157" s="3" t="s">
        <v>69</v>
      </c>
      <c r="AQ157" s="3" t="s">
        <v>61</v>
      </c>
      <c r="AR157" s="3" t="s">
        <v>48</v>
      </c>
    </row>
    <row r="158" spans="1:44" ht="30" customHeight="1">
      <c r="A158" s="3" t="s">
        <v>44</v>
      </c>
      <c r="B158" s="3" t="s">
        <v>45</v>
      </c>
      <c r="C158" s="3" t="s">
        <v>46</v>
      </c>
      <c r="D158" s="3" t="s">
        <v>130</v>
      </c>
      <c r="E158" s="3" t="s">
        <v>48</v>
      </c>
      <c r="F158" s="3" t="s">
        <v>131</v>
      </c>
      <c r="G158" s="3" t="s">
        <v>48</v>
      </c>
      <c r="H158" s="4">
        <f>IF(DATEDIF(L158,S158,"m")&gt;12,DATEDIF(L158,S158,"y"),(DATEDIF(L158,S158,"m")/12))</f>
        <v>7</v>
      </c>
      <c r="I158" s="7">
        <f>DATEDIF(L158,S158,"M")</f>
        <v>92</v>
      </c>
      <c r="J158" s="7">
        <f>DATEDIF(L158,S158,"D")</f>
        <v>2802</v>
      </c>
      <c r="K158" s="3" t="s">
        <v>51</v>
      </c>
      <c r="L158" s="8">
        <v>42147</v>
      </c>
      <c r="M158" s="3" t="s">
        <v>45</v>
      </c>
      <c r="N158" s="3" t="s">
        <v>83</v>
      </c>
      <c r="O158" s="3" t="s">
        <v>52</v>
      </c>
      <c r="P158" s="3" t="s">
        <v>298</v>
      </c>
      <c r="Q158" s="7">
        <v>0</v>
      </c>
      <c r="R158" s="8">
        <v>44951</v>
      </c>
      <c r="S158" s="8">
        <v>44949</v>
      </c>
      <c r="T158" s="3" t="s">
        <v>54</v>
      </c>
      <c r="U158" s="3" t="s">
        <v>55</v>
      </c>
      <c r="V158" s="9"/>
      <c r="W158" s="10">
        <v>44953</v>
      </c>
      <c r="X158" s="7">
        <v>2</v>
      </c>
      <c r="Y158" s="7">
        <v>2</v>
      </c>
      <c r="Z158" s="7">
        <v>1</v>
      </c>
      <c r="AA158" s="7">
        <f>INT((S158-DATE(YEAR(S158-WEEKDAY(S158-0)+4),1,4)+WEEKDAY(DATE(YEAR(S158-WEEKDAY(S158-0)+4),1,4))+6)/7)</f>
        <v>4</v>
      </c>
      <c r="AB158" s="3" t="s">
        <v>410</v>
      </c>
      <c r="AC158" s="7">
        <v>99</v>
      </c>
      <c r="AD158" s="7">
        <v>0</v>
      </c>
      <c r="AE158" s="7">
        <v>0</v>
      </c>
      <c r="AF158" s="3" t="s">
        <v>48</v>
      </c>
      <c r="AG158" s="7">
        <v>2023</v>
      </c>
      <c r="AH158" s="3" t="s">
        <v>133</v>
      </c>
      <c r="AI158" s="3" t="s">
        <v>106</v>
      </c>
      <c r="AJ158" s="3" t="s">
        <v>48</v>
      </c>
      <c r="AK158" s="3" t="s">
        <v>409</v>
      </c>
      <c r="AL158" s="3" t="s">
        <v>59</v>
      </c>
      <c r="AM158" s="3" t="s">
        <v>48</v>
      </c>
      <c r="AN158" s="3" t="s">
        <v>61</v>
      </c>
      <c r="AO158" s="3" t="s">
        <v>62</v>
      </c>
      <c r="AP158" s="3" t="s">
        <v>69</v>
      </c>
      <c r="AQ158" s="3" t="s">
        <v>61</v>
      </c>
      <c r="AR158" s="3" t="s">
        <v>48</v>
      </c>
    </row>
    <row r="159" spans="1:44" ht="30" customHeight="1">
      <c r="A159" s="3" t="s">
        <v>44</v>
      </c>
      <c r="B159" s="3" t="s">
        <v>45</v>
      </c>
      <c r="C159" s="3" t="s">
        <v>46</v>
      </c>
      <c r="D159" s="3" t="s">
        <v>130</v>
      </c>
      <c r="E159" s="3" t="s">
        <v>48</v>
      </c>
      <c r="F159" s="3" t="s">
        <v>131</v>
      </c>
      <c r="G159" s="3" t="s">
        <v>48</v>
      </c>
      <c r="H159" s="4">
        <f>IF(DATEDIF(L159,S159,"m")&gt;12,DATEDIF(L159,S159,"y"),(DATEDIF(L159,S159,"m")/12))</f>
        <v>32</v>
      </c>
      <c r="I159" s="7">
        <f>DATEDIF(L159,S159,"M")</f>
        <v>385</v>
      </c>
      <c r="J159" s="7">
        <f>DATEDIF(L159,S159,"D")</f>
        <v>11739</v>
      </c>
      <c r="K159" s="3" t="s">
        <v>64</v>
      </c>
      <c r="L159" s="8">
        <v>33211</v>
      </c>
      <c r="M159" s="3" t="s">
        <v>45</v>
      </c>
      <c r="N159" s="3" t="s">
        <v>83</v>
      </c>
      <c r="O159" s="3" t="s">
        <v>52</v>
      </c>
      <c r="P159" s="3" t="s">
        <v>298</v>
      </c>
      <c r="Q159" s="7">
        <v>0</v>
      </c>
      <c r="R159" s="8">
        <v>44951</v>
      </c>
      <c r="S159" s="8">
        <v>44950</v>
      </c>
      <c r="T159" s="3" t="s">
        <v>54</v>
      </c>
      <c r="U159" s="3" t="s">
        <v>55</v>
      </c>
      <c r="V159" s="9"/>
      <c r="W159" s="10">
        <v>44953</v>
      </c>
      <c r="X159" s="7">
        <v>2</v>
      </c>
      <c r="Y159" s="7">
        <v>1</v>
      </c>
      <c r="Z159" s="7">
        <v>1</v>
      </c>
      <c r="AA159" s="7">
        <f>INT((S159-DATE(YEAR(S159-WEEKDAY(S159-0)+4),1,4)+WEEKDAY(DATE(YEAR(S159-WEEKDAY(S159-0)+4),1,4))+6)/7)</f>
        <v>4</v>
      </c>
      <c r="AB159" s="3" t="s">
        <v>411</v>
      </c>
      <c r="AC159" s="7">
        <v>97</v>
      </c>
      <c r="AD159" s="7">
        <v>0</v>
      </c>
      <c r="AE159" s="7">
        <v>0</v>
      </c>
      <c r="AF159" s="3" t="s">
        <v>48</v>
      </c>
      <c r="AG159" s="7">
        <v>2023</v>
      </c>
      <c r="AH159" s="3" t="s">
        <v>133</v>
      </c>
      <c r="AI159" s="3" t="s">
        <v>106</v>
      </c>
      <c r="AJ159" s="3" t="s">
        <v>48</v>
      </c>
      <c r="AK159" s="3" t="s">
        <v>409</v>
      </c>
      <c r="AL159" s="3" t="s">
        <v>59</v>
      </c>
      <c r="AM159" s="3" t="s">
        <v>48</v>
      </c>
      <c r="AN159" s="3" t="s">
        <v>61</v>
      </c>
      <c r="AO159" s="3" t="s">
        <v>62</v>
      </c>
      <c r="AP159" s="3" t="s">
        <v>69</v>
      </c>
      <c r="AQ159" s="3" t="s">
        <v>61</v>
      </c>
      <c r="AR159" s="3" t="s">
        <v>48</v>
      </c>
    </row>
    <row r="160" spans="1:44" ht="30" customHeight="1">
      <c r="A160" s="3" t="s">
        <v>44</v>
      </c>
      <c r="B160" s="3" t="s">
        <v>45</v>
      </c>
      <c r="C160" s="3" t="s">
        <v>46</v>
      </c>
      <c r="D160" s="3" t="s">
        <v>130</v>
      </c>
      <c r="E160" s="3" t="s">
        <v>48</v>
      </c>
      <c r="F160" s="3" t="s">
        <v>131</v>
      </c>
      <c r="G160" s="3" t="s">
        <v>48</v>
      </c>
      <c r="H160" s="4">
        <f>IF(DATEDIF(L160,S160,"m")&gt;12,DATEDIF(L160,S160,"y"),(DATEDIF(L160,S160,"m")/12))</f>
        <v>56</v>
      </c>
      <c r="I160" s="7">
        <f>DATEDIF(L160,S160,"M")</f>
        <v>683</v>
      </c>
      <c r="J160" s="7">
        <f>DATEDIF(L160,S160,"D")</f>
        <v>20813</v>
      </c>
      <c r="K160" s="3" t="s">
        <v>64</v>
      </c>
      <c r="L160" s="8">
        <v>24133</v>
      </c>
      <c r="M160" s="3" t="s">
        <v>45</v>
      </c>
      <c r="N160" s="3" t="s">
        <v>83</v>
      </c>
      <c r="O160" s="3" t="s">
        <v>52</v>
      </c>
      <c r="P160" s="3" t="s">
        <v>398</v>
      </c>
      <c r="Q160" s="7">
        <v>0</v>
      </c>
      <c r="R160" s="8">
        <v>44949</v>
      </c>
      <c r="S160" s="8">
        <v>44946</v>
      </c>
      <c r="T160" s="3" t="s">
        <v>54</v>
      </c>
      <c r="U160" s="3" t="s">
        <v>55</v>
      </c>
      <c r="V160" s="9"/>
      <c r="W160" s="10">
        <v>44953</v>
      </c>
      <c r="X160" s="7">
        <v>4</v>
      </c>
      <c r="Y160" s="7">
        <v>3</v>
      </c>
      <c r="Z160" s="7">
        <v>1</v>
      </c>
      <c r="AA160" s="7">
        <f>INT((S160-DATE(YEAR(S160-WEEKDAY(S160-0)+4),1,4)+WEEKDAY(DATE(YEAR(S160-WEEKDAY(S160-0)+4),1,4))+6)/7)</f>
        <v>3</v>
      </c>
      <c r="AB160" s="3" t="s">
        <v>487</v>
      </c>
      <c r="AC160" s="7">
        <v>84</v>
      </c>
      <c r="AD160" s="7">
        <v>0</v>
      </c>
      <c r="AE160" s="7">
        <v>0</v>
      </c>
      <c r="AF160" s="3" t="s">
        <v>48</v>
      </c>
      <c r="AG160" s="7">
        <v>2023</v>
      </c>
      <c r="AH160" s="3" t="s">
        <v>133</v>
      </c>
      <c r="AI160" s="3" t="s">
        <v>106</v>
      </c>
      <c r="AJ160" s="3" t="s">
        <v>48</v>
      </c>
      <c r="AK160" s="18" t="s">
        <v>488</v>
      </c>
      <c r="AL160" s="3" t="s">
        <v>59</v>
      </c>
      <c r="AM160" s="3" t="s">
        <v>115</v>
      </c>
      <c r="AN160" s="3" t="s">
        <v>61</v>
      </c>
      <c r="AO160" s="3" t="s">
        <v>62</v>
      </c>
      <c r="AP160" s="3" t="s">
        <v>69</v>
      </c>
      <c r="AQ160" s="3" t="s">
        <v>61</v>
      </c>
      <c r="AR160" s="3" t="s">
        <v>48</v>
      </c>
    </row>
    <row r="161" spans="1:44" ht="30" customHeight="1">
      <c r="A161" s="3" t="s">
        <v>44</v>
      </c>
      <c r="B161" s="3" t="s">
        <v>45</v>
      </c>
      <c r="C161" s="3" t="s">
        <v>46</v>
      </c>
      <c r="D161" s="3" t="s">
        <v>70</v>
      </c>
      <c r="E161" s="3" t="s">
        <v>48</v>
      </c>
      <c r="F161" s="3" t="s">
        <v>71</v>
      </c>
      <c r="G161" s="3" t="s">
        <v>785</v>
      </c>
      <c r="H161" s="4">
        <f>IF(DATEDIF(L161,S161,"m")&gt;12,DATEDIF(L161,S161,"y"),(DATEDIF(L161,S161,"m")/12))</f>
        <v>1</v>
      </c>
      <c r="I161" s="7">
        <f>DATEDIF(L161,S161,"M")</f>
        <v>16</v>
      </c>
      <c r="J161" s="7">
        <f>DATEDIF(L161,S161,"D")</f>
        <v>500</v>
      </c>
      <c r="K161" s="3" t="s">
        <v>51</v>
      </c>
      <c r="L161" s="8">
        <v>44448</v>
      </c>
      <c r="M161" s="3" t="s">
        <v>45</v>
      </c>
      <c r="N161" s="3" t="s">
        <v>329</v>
      </c>
      <c r="O161" s="3" t="s">
        <v>52</v>
      </c>
      <c r="P161" s="3" t="s">
        <v>786</v>
      </c>
      <c r="Q161" s="7">
        <v>1</v>
      </c>
      <c r="R161" s="8">
        <v>44949</v>
      </c>
      <c r="S161" s="8">
        <v>44948</v>
      </c>
      <c r="T161" s="3" t="s">
        <v>54</v>
      </c>
      <c r="U161" s="3" t="s">
        <v>55</v>
      </c>
      <c r="V161" s="9"/>
      <c r="W161" s="10">
        <v>44953</v>
      </c>
      <c r="X161" s="7">
        <v>4</v>
      </c>
      <c r="Y161" s="7">
        <v>1</v>
      </c>
      <c r="Z161" s="7">
        <v>1</v>
      </c>
      <c r="AA161" s="7">
        <f>INT((S161-DATE(YEAR(S161-WEEKDAY(S161-0)+4),1,4)+WEEKDAY(DATE(YEAR(S161-WEEKDAY(S161-0)+4),1,4))+6)/7)</f>
        <v>4</v>
      </c>
      <c r="AB161" s="3" t="s">
        <v>787</v>
      </c>
      <c r="AC161" s="7">
        <v>642</v>
      </c>
      <c r="AD161" s="7">
        <v>0</v>
      </c>
      <c r="AE161" s="7">
        <v>1</v>
      </c>
      <c r="AF161" s="3" t="s">
        <v>48</v>
      </c>
      <c r="AG161" s="7">
        <v>2023</v>
      </c>
      <c r="AH161" s="3" t="s">
        <v>76</v>
      </c>
      <c r="AI161" s="3" t="s">
        <v>166</v>
      </c>
      <c r="AJ161" s="3" t="s">
        <v>788</v>
      </c>
      <c r="AK161" s="18" t="s">
        <v>735</v>
      </c>
      <c r="AL161" s="3" t="s">
        <v>59</v>
      </c>
      <c r="AM161" s="3" t="s">
        <v>60</v>
      </c>
      <c r="AN161" s="3" t="s">
        <v>61</v>
      </c>
      <c r="AO161" s="3" t="s">
        <v>62</v>
      </c>
      <c r="AP161" s="3" t="s">
        <v>69</v>
      </c>
      <c r="AQ161" s="3" t="s">
        <v>61</v>
      </c>
      <c r="AR161" s="3" t="s">
        <v>48</v>
      </c>
    </row>
    <row r="162" spans="1:44" ht="30" customHeight="1">
      <c r="A162" s="3" t="s">
        <v>44</v>
      </c>
      <c r="B162" s="3" t="s">
        <v>45</v>
      </c>
      <c r="C162" s="3" t="s">
        <v>46</v>
      </c>
      <c r="D162" s="3" t="s">
        <v>130</v>
      </c>
      <c r="E162" s="3" t="s">
        <v>48</v>
      </c>
      <c r="F162" s="3" t="s">
        <v>131</v>
      </c>
      <c r="G162" s="3" t="s">
        <v>48</v>
      </c>
      <c r="H162" s="5">
        <f>IF(DATEDIF(L162,S162,"m")&gt;12,DATEDIF(L162,S162,"y"),(DATEDIF(L162,S162,"m")/12))</f>
        <v>0.66666666666666663</v>
      </c>
      <c r="I162" s="7">
        <f>DATEDIF(L162,S162,"M")</f>
        <v>8</v>
      </c>
      <c r="J162" s="7">
        <f>DATEDIF(L162,S162,"D")</f>
        <v>256</v>
      </c>
      <c r="K162" s="3" t="s">
        <v>64</v>
      </c>
      <c r="L162" s="8">
        <v>44693</v>
      </c>
      <c r="M162" s="3" t="s">
        <v>45</v>
      </c>
      <c r="N162" s="3" t="s">
        <v>83</v>
      </c>
      <c r="O162" s="3" t="s">
        <v>52</v>
      </c>
      <c r="P162" s="3" t="s">
        <v>796</v>
      </c>
      <c r="Q162" s="7">
        <v>0</v>
      </c>
      <c r="R162" s="8">
        <v>44950</v>
      </c>
      <c r="S162" s="8">
        <v>44949</v>
      </c>
      <c r="T162" s="3" t="s">
        <v>54</v>
      </c>
      <c r="U162" s="3" t="s">
        <v>55</v>
      </c>
      <c r="V162" s="9"/>
      <c r="W162" s="10">
        <v>44953</v>
      </c>
      <c r="X162" s="7">
        <v>3</v>
      </c>
      <c r="Y162" s="7">
        <v>1</v>
      </c>
      <c r="Z162" s="7">
        <v>1</v>
      </c>
      <c r="AA162" s="7">
        <f>INT((S162-DATE(YEAR(S162-WEEKDAY(S162-0)+4),1,4)+WEEKDAY(DATE(YEAR(S162-WEEKDAY(S162-0)+4),1,4))+6)/7)</f>
        <v>4</v>
      </c>
      <c r="AB162" s="3" t="s">
        <v>797</v>
      </c>
      <c r="AC162" s="7">
        <v>94</v>
      </c>
      <c r="AD162" s="7">
        <v>0</v>
      </c>
      <c r="AE162" s="7">
        <v>0</v>
      </c>
      <c r="AF162" s="3" t="s">
        <v>48</v>
      </c>
      <c r="AG162" s="7">
        <v>2023</v>
      </c>
      <c r="AH162" s="3" t="s">
        <v>133</v>
      </c>
      <c r="AI162" s="3" t="s">
        <v>106</v>
      </c>
      <c r="AJ162" s="3" t="s">
        <v>48</v>
      </c>
      <c r="AK162" s="12" t="s">
        <v>140</v>
      </c>
      <c r="AL162" s="3" t="s">
        <v>59</v>
      </c>
      <c r="AM162" s="3" t="s">
        <v>115</v>
      </c>
      <c r="AN162" s="3" t="s">
        <v>61</v>
      </c>
      <c r="AO162" s="3" t="s">
        <v>62</v>
      </c>
      <c r="AP162" s="3" t="s">
        <v>69</v>
      </c>
      <c r="AQ162" s="3" t="s">
        <v>61</v>
      </c>
      <c r="AR162" s="3" t="s">
        <v>48</v>
      </c>
    </row>
    <row r="163" spans="1:44" ht="30" customHeight="1">
      <c r="A163" s="3" t="s">
        <v>44</v>
      </c>
      <c r="B163" s="3" t="s">
        <v>45</v>
      </c>
      <c r="C163" s="3" t="s">
        <v>46</v>
      </c>
      <c r="D163" s="3" t="s">
        <v>130</v>
      </c>
      <c r="E163" s="3" t="s">
        <v>48</v>
      </c>
      <c r="F163" s="3" t="s">
        <v>131</v>
      </c>
      <c r="G163" s="3" t="s">
        <v>48</v>
      </c>
      <c r="H163" s="4">
        <f>IF(DATEDIF(L163,S163,"m")&gt;12,DATEDIF(L163,S163,"y"),(DATEDIF(L163,S163,"m")/12))</f>
        <v>2</v>
      </c>
      <c r="I163" s="7">
        <f>DATEDIF(L163,S163,"M")</f>
        <v>25</v>
      </c>
      <c r="J163" s="7">
        <f>DATEDIF(L163,S163,"D")</f>
        <v>769</v>
      </c>
      <c r="K163" s="3" t="s">
        <v>51</v>
      </c>
      <c r="L163" s="8">
        <v>44179</v>
      </c>
      <c r="M163" s="3" t="s">
        <v>45</v>
      </c>
      <c r="N163" s="3" t="s">
        <v>83</v>
      </c>
      <c r="O163" s="3" t="s">
        <v>52</v>
      </c>
      <c r="P163" s="3" t="s">
        <v>137</v>
      </c>
      <c r="Q163" s="7">
        <v>0</v>
      </c>
      <c r="R163" s="8">
        <v>44951</v>
      </c>
      <c r="S163" s="8">
        <v>44948</v>
      </c>
      <c r="T163" s="3" t="s">
        <v>54</v>
      </c>
      <c r="U163" s="3" t="s">
        <v>55</v>
      </c>
      <c r="V163" s="9"/>
      <c r="W163" s="10">
        <v>44953</v>
      </c>
      <c r="X163" s="7">
        <v>2</v>
      </c>
      <c r="Y163" s="7">
        <v>3</v>
      </c>
      <c r="Z163" s="7">
        <v>1</v>
      </c>
      <c r="AA163" s="7">
        <f>INT((S163-DATE(YEAR(S163-WEEKDAY(S163-0)+4),1,4)+WEEKDAY(DATE(YEAR(S163-WEEKDAY(S163-0)+4),1,4))+6)/7)</f>
        <v>4</v>
      </c>
      <c r="AB163" s="3" t="s">
        <v>925</v>
      </c>
      <c r="AC163" s="7">
        <v>101</v>
      </c>
      <c r="AD163" s="7">
        <v>0</v>
      </c>
      <c r="AE163" s="7">
        <v>0</v>
      </c>
      <c r="AF163" s="3" t="s">
        <v>48</v>
      </c>
      <c r="AG163" s="7">
        <v>2023</v>
      </c>
      <c r="AH163" s="3" t="s">
        <v>133</v>
      </c>
      <c r="AI163" s="3" t="s">
        <v>106</v>
      </c>
      <c r="AJ163" s="3" t="s">
        <v>48</v>
      </c>
      <c r="AK163" s="3" t="s">
        <v>409</v>
      </c>
      <c r="AL163" s="3" t="s">
        <v>59</v>
      </c>
      <c r="AM163" s="3" t="s">
        <v>48</v>
      </c>
      <c r="AN163" s="3" t="s">
        <v>61</v>
      </c>
      <c r="AO163" s="3" t="s">
        <v>62</v>
      </c>
      <c r="AP163" s="3" t="s">
        <v>69</v>
      </c>
      <c r="AQ163" s="3" t="s">
        <v>61</v>
      </c>
      <c r="AR163" s="3" t="s">
        <v>48</v>
      </c>
    </row>
    <row r="164" spans="1:44" ht="30" customHeight="1">
      <c r="A164" s="3" t="s">
        <v>44</v>
      </c>
      <c r="B164" s="3" t="s">
        <v>45</v>
      </c>
      <c r="C164" s="3" t="s">
        <v>46</v>
      </c>
      <c r="D164" s="3" t="s">
        <v>130</v>
      </c>
      <c r="E164" s="3" t="s">
        <v>48</v>
      </c>
      <c r="F164" s="3" t="s">
        <v>131</v>
      </c>
      <c r="G164" s="3" t="s">
        <v>48</v>
      </c>
      <c r="H164" s="4">
        <f>IF(DATEDIF(L164,S164,"m")&gt;12,DATEDIF(L164,S164,"y"),(DATEDIF(L164,S164,"m")/12))</f>
        <v>41</v>
      </c>
      <c r="I164" s="7">
        <f>DATEDIF(L164,S164,"M")</f>
        <v>493</v>
      </c>
      <c r="J164" s="7">
        <f>DATEDIF(L164,S164,"D")</f>
        <v>15022</v>
      </c>
      <c r="K164" s="3" t="s">
        <v>64</v>
      </c>
      <c r="L164" s="8">
        <v>29924</v>
      </c>
      <c r="M164" s="3" t="s">
        <v>45</v>
      </c>
      <c r="N164" s="3" t="s">
        <v>83</v>
      </c>
      <c r="O164" s="3" t="s">
        <v>52</v>
      </c>
      <c r="P164" s="3" t="s">
        <v>796</v>
      </c>
      <c r="Q164" s="7">
        <v>0</v>
      </c>
      <c r="R164" s="8">
        <v>44950</v>
      </c>
      <c r="S164" s="8">
        <v>44946</v>
      </c>
      <c r="T164" s="3" t="s">
        <v>54</v>
      </c>
      <c r="U164" s="3" t="s">
        <v>55</v>
      </c>
      <c r="V164" s="9"/>
      <c r="W164" s="10">
        <v>44953</v>
      </c>
      <c r="X164" s="7">
        <v>3</v>
      </c>
      <c r="Y164" s="7">
        <v>4</v>
      </c>
      <c r="Z164" s="7">
        <v>1</v>
      </c>
      <c r="AA164" s="7">
        <f>INT((S164-DATE(YEAR(S164-WEEKDAY(S164-0)+4),1,4)+WEEKDAY(DATE(YEAR(S164-WEEKDAY(S164-0)+4),1,4))+6)/7)</f>
        <v>3</v>
      </c>
      <c r="AB164" s="3" t="s">
        <v>1007</v>
      </c>
      <c r="AC164" s="7">
        <v>93</v>
      </c>
      <c r="AD164" s="7">
        <v>0</v>
      </c>
      <c r="AE164" s="7">
        <v>0</v>
      </c>
      <c r="AF164" s="3" t="s">
        <v>48</v>
      </c>
      <c r="AG164" s="7">
        <v>2023</v>
      </c>
      <c r="AH164" s="3" t="s">
        <v>133</v>
      </c>
      <c r="AI164" s="3" t="s">
        <v>106</v>
      </c>
      <c r="AJ164" s="3" t="s">
        <v>48</v>
      </c>
      <c r="AK164" s="12" t="s">
        <v>140</v>
      </c>
      <c r="AL164" s="3" t="s">
        <v>59</v>
      </c>
      <c r="AM164" s="3" t="s">
        <v>115</v>
      </c>
      <c r="AN164" s="3" t="s">
        <v>61</v>
      </c>
      <c r="AO164" s="3" t="s">
        <v>62</v>
      </c>
      <c r="AP164" s="3" t="s">
        <v>69</v>
      </c>
      <c r="AQ164" s="3" t="s">
        <v>61</v>
      </c>
      <c r="AR164" s="3" t="s">
        <v>48</v>
      </c>
    </row>
    <row r="165" spans="1:44" ht="30" customHeight="1">
      <c r="A165" s="3" t="s">
        <v>44</v>
      </c>
      <c r="B165" s="3" t="s">
        <v>45</v>
      </c>
      <c r="C165" s="3" t="s">
        <v>46</v>
      </c>
      <c r="D165" s="3" t="s">
        <v>130</v>
      </c>
      <c r="E165" s="3" t="s">
        <v>48</v>
      </c>
      <c r="F165" s="3" t="s">
        <v>131</v>
      </c>
      <c r="G165" s="3" t="s">
        <v>48</v>
      </c>
      <c r="H165" s="4">
        <f>IF(DATEDIF(L165,S165,"m")&gt;12,DATEDIF(L165,S165,"y"),(DATEDIF(L165,S165,"m")/12))</f>
        <v>16</v>
      </c>
      <c r="I165" s="7">
        <f>DATEDIF(L165,S165,"M")</f>
        <v>192</v>
      </c>
      <c r="J165" s="7">
        <f>DATEDIF(L165,S165,"D")</f>
        <v>5860</v>
      </c>
      <c r="K165" s="3" t="s">
        <v>51</v>
      </c>
      <c r="L165" s="8">
        <v>39087</v>
      </c>
      <c r="M165" s="3" t="s">
        <v>45</v>
      </c>
      <c r="N165" s="3" t="s">
        <v>83</v>
      </c>
      <c r="O165" s="3" t="s">
        <v>52</v>
      </c>
      <c r="P165" s="3" t="s">
        <v>255</v>
      </c>
      <c r="Q165" s="7">
        <v>0</v>
      </c>
      <c r="R165" s="8">
        <v>44949</v>
      </c>
      <c r="S165" s="8">
        <v>44947</v>
      </c>
      <c r="T165" s="3" t="s">
        <v>54</v>
      </c>
      <c r="U165" s="3" t="s">
        <v>55</v>
      </c>
      <c r="V165" s="9"/>
      <c r="W165" s="10">
        <v>44953</v>
      </c>
      <c r="X165" s="7">
        <v>4</v>
      </c>
      <c r="Y165" s="7">
        <v>2</v>
      </c>
      <c r="Z165" s="7">
        <v>1</v>
      </c>
      <c r="AA165" s="7">
        <f>INT((S165-DATE(YEAR(S165-WEEKDAY(S165-0)+4),1,4)+WEEKDAY(DATE(YEAR(S165-WEEKDAY(S165-0)+4),1,4))+6)/7)</f>
        <v>3</v>
      </c>
      <c r="AB165" s="3" t="s">
        <v>1052</v>
      </c>
      <c r="AC165" s="7">
        <v>92</v>
      </c>
      <c r="AD165" s="7">
        <v>0</v>
      </c>
      <c r="AE165" s="7">
        <v>0</v>
      </c>
      <c r="AF165" s="3" t="s">
        <v>48</v>
      </c>
      <c r="AG165" s="7">
        <v>2023</v>
      </c>
      <c r="AH165" s="3" t="s">
        <v>133</v>
      </c>
      <c r="AI165" s="3" t="s">
        <v>106</v>
      </c>
      <c r="AJ165" s="3" t="s">
        <v>48</v>
      </c>
      <c r="AK165" s="3" t="s">
        <v>1021</v>
      </c>
      <c r="AL165" s="3" t="s">
        <v>59</v>
      </c>
      <c r="AM165" s="3" t="s">
        <v>115</v>
      </c>
      <c r="AN165" s="3" t="s">
        <v>61</v>
      </c>
      <c r="AO165" s="3" t="s">
        <v>62</v>
      </c>
      <c r="AP165" s="3" t="s">
        <v>69</v>
      </c>
      <c r="AQ165" s="3" t="s">
        <v>61</v>
      </c>
      <c r="AR165" s="3" t="s">
        <v>48</v>
      </c>
    </row>
    <row r="166" spans="1:44" ht="30" customHeight="1">
      <c r="A166" s="3" t="s">
        <v>44</v>
      </c>
      <c r="B166" s="3" t="s">
        <v>45</v>
      </c>
      <c r="C166" s="3" t="s">
        <v>46</v>
      </c>
      <c r="D166" s="3" t="s">
        <v>130</v>
      </c>
      <c r="E166" s="3" t="s">
        <v>48</v>
      </c>
      <c r="F166" s="3" t="s">
        <v>131</v>
      </c>
      <c r="G166" s="3" t="s">
        <v>48</v>
      </c>
      <c r="H166" s="4">
        <f>IF(DATEDIF(L166,S166,"m")&gt;12,DATEDIF(L166,S166,"y"),(DATEDIF(L166,S166,"m")/12))</f>
        <v>4</v>
      </c>
      <c r="I166" s="7">
        <f>DATEDIF(L166,S166,"M")</f>
        <v>55</v>
      </c>
      <c r="J166" s="7">
        <f>DATEDIF(L166,S166,"D")</f>
        <v>1694</v>
      </c>
      <c r="K166" s="3" t="s">
        <v>51</v>
      </c>
      <c r="L166" s="8">
        <v>43253</v>
      </c>
      <c r="M166" s="3" t="s">
        <v>45</v>
      </c>
      <c r="N166" s="3" t="s">
        <v>83</v>
      </c>
      <c r="O166" s="3" t="s">
        <v>52</v>
      </c>
      <c r="P166" s="3" t="s">
        <v>463</v>
      </c>
      <c r="Q166" s="7">
        <v>0</v>
      </c>
      <c r="R166" s="8">
        <v>44949</v>
      </c>
      <c r="S166" s="8">
        <v>44947</v>
      </c>
      <c r="T166" s="3" t="s">
        <v>54</v>
      </c>
      <c r="U166" s="3" t="s">
        <v>55</v>
      </c>
      <c r="V166" s="9"/>
      <c r="W166" s="10">
        <v>44953</v>
      </c>
      <c r="X166" s="7">
        <v>4</v>
      </c>
      <c r="Y166" s="7">
        <v>2</v>
      </c>
      <c r="Z166" s="7">
        <v>1</v>
      </c>
      <c r="AA166" s="7">
        <f>INT((S166-DATE(YEAR(S166-WEEKDAY(S166-0)+4),1,4)+WEEKDAY(DATE(YEAR(S166-WEEKDAY(S166-0)+4),1,4))+6)/7)</f>
        <v>3</v>
      </c>
      <c r="AB166" s="3" t="s">
        <v>1293</v>
      </c>
      <c r="AC166" s="7">
        <v>90</v>
      </c>
      <c r="AD166" s="7">
        <v>0</v>
      </c>
      <c r="AE166" s="7">
        <v>0</v>
      </c>
      <c r="AF166" s="3" t="s">
        <v>48</v>
      </c>
      <c r="AG166" s="7">
        <v>2023</v>
      </c>
      <c r="AH166" s="3" t="s">
        <v>133</v>
      </c>
      <c r="AI166" s="3" t="s">
        <v>106</v>
      </c>
      <c r="AJ166" s="3" t="s">
        <v>48</v>
      </c>
      <c r="AK166" s="3" t="s">
        <v>1225</v>
      </c>
      <c r="AL166" s="3" t="s">
        <v>59</v>
      </c>
      <c r="AM166" s="3" t="s">
        <v>115</v>
      </c>
      <c r="AN166" s="3" t="s">
        <v>61</v>
      </c>
      <c r="AO166" s="3" t="s">
        <v>62</v>
      </c>
      <c r="AP166" s="3" t="s">
        <v>69</v>
      </c>
      <c r="AQ166" s="3" t="s">
        <v>61</v>
      </c>
      <c r="AR166" s="3" t="s">
        <v>61</v>
      </c>
    </row>
    <row r="167" spans="1:44" ht="30" customHeight="1">
      <c r="A167" s="3" t="s">
        <v>44</v>
      </c>
      <c r="B167" s="3" t="s">
        <v>45</v>
      </c>
      <c r="C167" s="3" t="s">
        <v>46</v>
      </c>
      <c r="D167" s="3" t="s">
        <v>130</v>
      </c>
      <c r="E167" s="3" t="s">
        <v>48</v>
      </c>
      <c r="F167" s="3" t="s">
        <v>131</v>
      </c>
      <c r="G167" s="3" t="s">
        <v>48</v>
      </c>
      <c r="H167" s="4">
        <f>IF(DATEDIF(L167,S167,"m")&gt;12,DATEDIF(L167,S167,"y"),(DATEDIF(L167,S167,"m")/12))</f>
        <v>7</v>
      </c>
      <c r="I167" s="7">
        <f>DATEDIF(L167,S167,"M")</f>
        <v>87</v>
      </c>
      <c r="J167" s="7">
        <f>DATEDIF(L167,S167,"D")</f>
        <v>2655</v>
      </c>
      <c r="K167" s="3" t="s">
        <v>64</v>
      </c>
      <c r="L167" s="8">
        <v>42293</v>
      </c>
      <c r="M167" s="3" t="s">
        <v>45</v>
      </c>
      <c r="N167" s="3" t="s">
        <v>83</v>
      </c>
      <c r="O167" s="3" t="s">
        <v>52</v>
      </c>
      <c r="P167" s="3" t="s">
        <v>103</v>
      </c>
      <c r="Q167" s="7">
        <v>0</v>
      </c>
      <c r="R167" s="8">
        <v>44949</v>
      </c>
      <c r="S167" s="8">
        <v>44948</v>
      </c>
      <c r="T167" s="3" t="s">
        <v>54</v>
      </c>
      <c r="U167" s="3" t="s">
        <v>55</v>
      </c>
      <c r="V167" s="9"/>
      <c r="W167" s="10">
        <v>44953</v>
      </c>
      <c r="X167" s="7">
        <v>4</v>
      </c>
      <c r="Y167" s="7">
        <v>1</v>
      </c>
      <c r="Z167" s="7">
        <v>1</v>
      </c>
      <c r="AA167" s="7">
        <f>INT((S167-DATE(YEAR(S167-WEEKDAY(S167-0)+4),1,4)+WEEKDAY(DATE(YEAR(S167-WEEKDAY(S167-0)+4),1,4))+6)/7)</f>
        <v>4</v>
      </c>
      <c r="AB167" s="3" t="s">
        <v>1409</v>
      </c>
      <c r="AC167" s="7">
        <v>89</v>
      </c>
      <c r="AD167" s="7">
        <v>0</v>
      </c>
      <c r="AE167" s="7">
        <v>0</v>
      </c>
      <c r="AF167" s="3" t="s">
        <v>48</v>
      </c>
      <c r="AG167" s="7">
        <v>2023</v>
      </c>
      <c r="AH167" s="3" t="s">
        <v>133</v>
      </c>
      <c r="AI167" s="3" t="s">
        <v>106</v>
      </c>
      <c r="AJ167" s="3" t="s">
        <v>48</v>
      </c>
      <c r="AK167" s="18" t="s">
        <v>178</v>
      </c>
      <c r="AL167" s="3" t="s">
        <v>59</v>
      </c>
      <c r="AM167" s="3" t="s">
        <v>115</v>
      </c>
      <c r="AN167" s="3" t="s">
        <v>61</v>
      </c>
      <c r="AO167" s="3" t="s">
        <v>62</v>
      </c>
      <c r="AP167" s="3" t="s">
        <v>69</v>
      </c>
      <c r="AQ167" s="3" t="s">
        <v>61</v>
      </c>
      <c r="AR167" s="3" t="s">
        <v>48</v>
      </c>
    </row>
    <row r="168" spans="1:44" ht="30" customHeight="1">
      <c r="A168" s="3" t="s">
        <v>44</v>
      </c>
      <c r="B168" s="3" t="s">
        <v>45</v>
      </c>
      <c r="C168" s="3" t="s">
        <v>46</v>
      </c>
      <c r="D168" s="3" t="s">
        <v>130</v>
      </c>
      <c r="E168" s="3" t="s">
        <v>48</v>
      </c>
      <c r="F168" s="3" t="s">
        <v>131</v>
      </c>
      <c r="G168" s="3" t="s">
        <v>48</v>
      </c>
      <c r="H168" s="4">
        <f>IF(DATEDIF(L168,S168,"m")&gt;12,DATEDIF(L168,S168,"y"),(DATEDIF(L168,S168,"m")/12))</f>
        <v>3</v>
      </c>
      <c r="I168" s="7">
        <f>DATEDIF(L168,S168,"M")</f>
        <v>45</v>
      </c>
      <c r="J168" s="7">
        <f>DATEDIF(L168,S168,"D")</f>
        <v>1375</v>
      </c>
      <c r="K168" s="3" t="s">
        <v>64</v>
      </c>
      <c r="L168" s="8">
        <v>43572</v>
      </c>
      <c r="M168" s="3" t="s">
        <v>45</v>
      </c>
      <c r="N168" s="3" t="s">
        <v>83</v>
      </c>
      <c r="O168" s="3" t="s">
        <v>52</v>
      </c>
      <c r="P168" s="3" t="s">
        <v>298</v>
      </c>
      <c r="Q168" s="7">
        <v>0</v>
      </c>
      <c r="R168" s="8">
        <v>44950</v>
      </c>
      <c r="S168" s="8">
        <v>44947</v>
      </c>
      <c r="T168" s="3" t="s">
        <v>54</v>
      </c>
      <c r="U168" s="3" t="s">
        <v>55</v>
      </c>
      <c r="V168" s="9"/>
      <c r="W168" s="10">
        <v>44953</v>
      </c>
      <c r="X168" s="7">
        <v>3</v>
      </c>
      <c r="Y168" s="7">
        <v>3</v>
      </c>
      <c r="Z168" s="7">
        <v>1</v>
      </c>
      <c r="AA168" s="7">
        <f>INT((S168-DATE(YEAR(S168-WEEKDAY(S168-0)+4),1,4)+WEEKDAY(DATE(YEAR(S168-WEEKDAY(S168-0)+4),1,4))+6)/7)</f>
        <v>3</v>
      </c>
      <c r="AB168" s="3" t="s">
        <v>1578</v>
      </c>
      <c r="AC168" s="7">
        <v>95</v>
      </c>
      <c r="AD168" s="7">
        <v>0</v>
      </c>
      <c r="AE168" s="7">
        <v>0</v>
      </c>
      <c r="AF168" s="3" t="s">
        <v>48</v>
      </c>
      <c r="AG168" s="7">
        <v>2023</v>
      </c>
      <c r="AH168" s="3" t="s">
        <v>133</v>
      </c>
      <c r="AI168" s="3" t="s">
        <v>106</v>
      </c>
      <c r="AJ168" s="3" t="s">
        <v>48</v>
      </c>
      <c r="AK168" s="12" t="s">
        <v>140</v>
      </c>
      <c r="AL168" s="3" t="s">
        <v>59</v>
      </c>
      <c r="AM168" s="3" t="s">
        <v>115</v>
      </c>
      <c r="AN168" s="3" t="s">
        <v>61</v>
      </c>
      <c r="AO168" s="3" t="s">
        <v>62</v>
      </c>
      <c r="AP168" s="3" t="s">
        <v>69</v>
      </c>
      <c r="AQ168" s="3" t="s">
        <v>61</v>
      </c>
      <c r="AR168" s="3" t="s">
        <v>48</v>
      </c>
    </row>
    <row r="169" spans="1:44" ht="30" customHeight="1">
      <c r="A169" s="3" t="s">
        <v>44</v>
      </c>
      <c r="B169" s="3" t="s">
        <v>45</v>
      </c>
      <c r="C169" s="3" t="s">
        <v>46</v>
      </c>
      <c r="D169" s="3" t="s">
        <v>130</v>
      </c>
      <c r="E169" s="3" t="s">
        <v>48</v>
      </c>
      <c r="F169" s="3" t="s">
        <v>131</v>
      </c>
      <c r="G169" s="3" t="s">
        <v>48</v>
      </c>
      <c r="H169" s="4">
        <f>IF(DATEDIF(L169,S169,"m")&gt;12,DATEDIF(L169,S169,"y"),(DATEDIF(L169,S169,"m")/12))</f>
        <v>5</v>
      </c>
      <c r="I169" s="7">
        <f>DATEDIF(L169,S169,"M")</f>
        <v>60</v>
      </c>
      <c r="J169" s="7">
        <f>DATEDIF(L169,S169,"D")</f>
        <v>1853</v>
      </c>
      <c r="K169" s="3" t="s">
        <v>64</v>
      </c>
      <c r="L169" s="8">
        <v>43088</v>
      </c>
      <c r="M169" s="3" t="s">
        <v>45</v>
      </c>
      <c r="N169" s="3" t="s">
        <v>83</v>
      </c>
      <c r="O169" s="3" t="s">
        <v>52</v>
      </c>
      <c r="P169" s="3" t="s">
        <v>176</v>
      </c>
      <c r="Q169" s="7">
        <v>0</v>
      </c>
      <c r="R169" s="8">
        <v>44951</v>
      </c>
      <c r="S169" s="8">
        <v>44941</v>
      </c>
      <c r="T169" s="3" t="s">
        <v>54</v>
      </c>
      <c r="U169" s="3" t="s">
        <v>55</v>
      </c>
      <c r="V169" s="9"/>
      <c r="W169" s="10">
        <v>44953</v>
      </c>
      <c r="X169" s="7">
        <v>2</v>
      </c>
      <c r="Y169" s="7">
        <v>10</v>
      </c>
      <c r="Z169" s="7">
        <v>1</v>
      </c>
      <c r="AA169" s="7">
        <f>INT((S169-DATE(YEAR(S169-WEEKDAY(S169-0)+4),1,4)+WEEKDAY(DATE(YEAR(S169-WEEKDAY(S169-0)+4),1,4))+6)/7)</f>
        <v>3</v>
      </c>
      <c r="AB169" s="3" t="s">
        <v>1790</v>
      </c>
      <c r="AC169" s="7">
        <v>103</v>
      </c>
      <c r="AD169" s="7">
        <v>0</v>
      </c>
      <c r="AE169" s="7">
        <v>0</v>
      </c>
      <c r="AF169" s="3" t="s">
        <v>48</v>
      </c>
      <c r="AG169" s="7">
        <v>2023</v>
      </c>
      <c r="AH169" s="3" t="s">
        <v>133</v>
      </c>
      <c r="AI169" s="3" t="s">
        <v>106</v>
      </c>
      <c r="AJ169" s="3" t="s">
        <v>48</v>
      </c>
      <c r="AK169" s="3" t="s">
        <v>154</v>
      </c>
      <c r="AL169" s="3" t="s">
        <v>59</v>
      </c>
      <c r="AM169" s="3" t="s">
        <v>115</v>
      </c>
      <c r="AN169" s="3" t="s">
        <v>61</v>
      </c>
      <c r="AO169" s="3" t="s">
        <v>62</v>
      </c>
      <c r="AP169" s="3" t="s">
        <v>69</v>
      </c>
      <c r="AQ169" s="3" t="s">
        <v>61</v>
      </c>
      <c r="AR169" s="3" t="s">
        <v>61</v>
      </c>
    </row>
    <row r="170" spans="1:44" ht="30" customHeight="1">
      <c r="A170" s="3" t="s">
        <v>44</v>
      </c>
      <c r="B170" s="3" t="s">
        <v>45</v>
      </c>
      <c r="C170" s="3" t="s">
        <v>46</v>
      </c>
      <c r="D170" s="3" t="s">
        <v>130</v>
      </c>
      <c r="E170" s="3" t="s">
        <v>48</v>
      </c>
      <c r="F170" s="3" t="s">
        <v>131</v>
      </c>
      <c r="G170" s="3" t="s">
        <v>48</v>
      </c>
      <c r="H170" s="4">
        <f>IF(DATEDIF(L170,S170,"m")&gt;12,DATEDIF(L170,S170,"y"),(DATEDIF(L170,S170,"m")/12))</f>
        <v>1</v>
      </c>
      <c r="I170" s="7">
        <f>DATEDIF(L170,S170,"M")</f>
        <v>16</v>
      </c>
      <c r="J170" s="7">
        <f>DATEDIF(L170,S170,"D")</f>
        <v>493</v>
      </c>
      <c r="K170" s="3" t="s">
        <v>51</v>
      </c>
      <c r="L170" s="8">
        <v>44448</v>
      </c>
      <c r="M170" s="3" t="s">
        <v>45</v>
      </c>
      <c r="N170" s="3" t="s">
        <v>83</v>
      </c>
      <c r="O170" s="3" t="s">
        <v>52</v>
      </c>
      <c r="P170" s="3" t="s">
        <v>176</v>
      </c>
      <c r="Q170" s="7">
        <v>0</v>
      </c>
      <c r="R170" s="8">
        <v>44951</v>
      </c>
      <c r="S170" s="8">
        <v>44941</v>
      </c>
      <c r="T170" s="3" t="s">
        <v>54</v>
      </c>
      <c r="U170" s="3" t="s">
        <v>55</v>
      </c>
      <c r="V170" s="9"/>
      <c r="W170" s="10">
        <v>44953</v>
      </c>
      <c r="X170" s="7">
        <v>2</v>
      </c>
      <c r="Y170" s="7">
        <v>10</v>
      </c>
      <c r="Z170" s="7">
        <v>1</v>
      </c>
      <c r="AA170" s="7">
        <f>INT((S170-DATE(YEAR(S170-WEEKDAY(S170-0)+4),1,4)+WEEKDAY(DATE(YEAR(S170-WEEKDAY(S170-0)+4),1,4))+6)/7)</f>
        <v>3</v>
      </c>
      <c r="AB170" s="3" t="s">
        <v>1791</v>
      </c>
      <c r="AC170" s="7">
        <v>102</v>
      </c>
      <c r="AD170" s="7">
        <v>0</v>
      </c>
      <c r="AE170" s="7">
        <v>0</v>
      </c>
      <c r="AF170" s="3" t="s">
        <v>48</v>
      </c>
      <c r="AG170" s="7">
        <v>2023</v>
      </c>
      <c r="AH170" s="3" t="s">
        <v>133</v>
      </c>
      <c r="AI170" s="3" t="s">
        <v>106</v>
      </c>
      <c r="AJ170" s="3" t="s">
        <v>48</v>
      </c>
      <c r="AK170" s="3" t="s">
        <v>154</v>
      </c>
      <c r="AL170" s="3" t="s">
        <v>59</v>
      </c>
      <c r="AM170" s="3" t="s">
        <v>115</v>
      </c>
      <c r="AN170" s="3" t="s">
        <v>61</v>
      </c>
      <c r="AO170" s="3" t="s">
        <v>62</v>
      </c>
      <c r="AP170" s="3" t="s">
        <v>69</v>
      </c>
      <c r="AQ170" s="3" t="s">
        <v>61</v>
      </c>
      <c r="AR170" s="3" t="s">
        <v>48</v>
      </c>
    </row>
    <row r="171" spans="1:44" ht="30" customHeight="1">
      <c r="A171" s="3" t="s">
        <v>44</v>
      </c>
      <c r="B171" s="3" t="s">
        <v>45</v>
      </c>
      <c r="C171" s="3" t="s">
        <v>46</v>
      </c>
      <c r="D171" s="3" t="s">
        <v>130</v>
      </c>
      <c r="E171" s="3" t="s">
        <v>48</v>
      </c>
      <c r="F171" s="3" t="s">
        <v>131</v>
      </c>
      <c r="G171" s="3" t="s">
        <v>48</v>
      </c>
      <c r="H171" s="5">
        <f>IF(DATEDIF(L171,S171,"m")&gt;12,DATEDIF(L171,S171,"y"),(DATEDIF(L171,S171,"m")/12))</f>
        <v>0.33333333333333331</v>
      </c>
      <c r="I171" s="7">
        <f>DATEDIF(L171,S171,"M")</f>
        <v>4</v>
      </c>
      <c r="J171" s="7">
        <f>DATEDIF(L171,S171,"D")</f>
        <v>140</v>
      </c>
      <c r="K171" s="3" t="s">
        <v>64</v>
      </c>
      <c r="L171" s="8">
        <v>44805</v>
      </c>
      <c r="M171" s="3" t="s">
        <v>45</v>
      </c>
      <c r="N171" s="3" t="s">
        <v>83</v>
      </c>
      <c r="O171" s="3" t="s">
        <v>52</v>
      </c>
      <c r="P171" s="3" t="s">
        <v>156</v>
      </c>
      <c r="Q171" s="7">
        <v>0</v>
      </c>
      <c r="R171" s="8">
        <v>44949</v>
      </c>
      <c r="S171" s="8">
        <v>44945</v>
      </c>
      <c r="T171" s="3" t="s">
        <v>54</v>
      </c>
      <c r="U171" s="3" t="s">
        <v>55</v>
      </c>
      <c r="V171" s="9"/>
      <c r="W171" s="10">
        <v>44953</v>
      </c>
      <c r="X171" s="7">
        <v>4</v>
      </c>
      <c r="Y171" s="7">
        <v>4</v>
      </c>
      <c r="Z171" s="7">
        <v>1</v>
      </c>
      <c r="AA171" s="7">
        <f>INT((S171-DATE(YEAR(S171-WEEKDAY(S171-0)+4),1,4)+WEEKDAY(DATE(YEAR(S171-WEEKDAY(S171-0)+4),1,4))+6)/7)</f>
        <v>3</v>
      </c>
      <c r="AB171" s="3" t="s">
        <v>1798</v>
      </c>
      <c r="AC171" s="7">
        <v>88</v>
      </c>
      <c r="AD171" s="7">
        <v>0</v>
      </c>
      <c r="AE171" s="7">
        <v>0</v>
      </c>
      <c r="AF171" s="3" t="s">
        <v>48</v>
      </c>
      <c r="AG171" s="7">
        <v>2023</v>
      </c>
      <c r="AH171" s="3" t="s">
        <v>133</v>
      </c>
      <c r="AI171" s="3" t="s">
        <v>106</v>
      </c>
      <c r="AJ171" s="3" t="s">
        <v>48</v>
      </c>
      <c r="AK171" s="3" t="s">
        <v>1055</v>
      </c>
      <c r="AL171" s="3" t="s">
        <v>59</v>
      </c>
      <c r="AM171" s="3" t="s">
        <v>115</v>
      </c>
      <c r="AN171" s="3" t="s">
        <v>61</v>
      </c>
      <c r="AO171" s="3" t="s">
        <v>62</v>
      </c>
      <c r="AP171" s="3" t="s">
        <v>69</v>
      </c>
      <c r="AQ171" s="3" t="s">
        <v>61</v>
      </c>
      <c r="AR171" s="3" t="s">
        <v>48</v>
      </c>
    </row>
    <row r="172" spans="1:44" ht="30" customHeight="1">
      <c r="A172" s="3" t="s">
        <v>44</v>
      </c>
      <c r="B172" s="3" t="s">
        <v>45</v>
      </c>
      <c r="C172" s="3" t="s">
        <v>46</v>
      </c>
      <c r="D172" s="3" t="s">
        <v>130</v>
      </c>
      <c r="E172" s="3" t="s">
        <v>48</v>
      </c>
      <c r="F172" s="3" t="s">
        <v>131</v>
      </c>
      <c r="G172" s="3" t="s">
        <v>48</v>
      </c>
      <c r="H172" s="4">
        <f>IF(DATEDIF(L172,S172,"m")&gt;12,DATEDIF(L172,S172,"y"),(DATEDIF(L172,S172,"m")/12))</f>
        <v>6</v>
      </c>
      <c r="I172" s="7">
        <f>DATEDIF(L172,S172,"M")</f>
        <v>83</v>
      </c>
      <c r="J172" s="7">
        <f>DATEDIF(L172,S172,"D")</f>
        <v>2546</v>
      </c>
      <c r="K172" s="3" t="s">
        <v>51</v>
      </c>
      <c r="L172" s="8">
        <v>42401</v>
      </c>
      <c r="M172" s="3" t="s">
        <v>45</v>
      </c>
      <c r="N172" s="3" t="s">
        <v>83</v>
      </c>
      <c r="O172" s="3" t="s">
        <v>52</v>
      </c>
      <c r="P172" s="3" t="s">
        <v>169</v>
      </c>
      <c r="Q172" s="7">
        <v>0</v>
      </c>
      <c r="R172" s="8">
        <v>44949</v>
      </c>
      <c r="S172" s="8">
        <v>44947</v>
      </c>
      <c r="T172" s="3" t="s">
        <v>54</v>
      </c>
      <c r="U172" s="3" t="s">
        <v>55</v>
      </c>
      <c r="V172" s="9"/>
      <c r="W172" s="10">
        <v>44953</v>
      </c>
      <c r="X172" s="7">
        <v>4</v>
      </c>
      <c r="Y172" s="7">
        <v>2</v>
      </c>
      <c r="Z172" s="7">
        <v>1</v>
      </c>
      <c r="AA172" s="7">
        <f>INT((S172-DATE(YEAR(S172-WEEKDAY(S172-0)+4),1,4)+WEEKDAY(DATE(YEAR(S172-WEEKDAY(S172-0)+4),1,4))+6)/7)</f>
        <v>3</v>
      </c>
      <c r="AB172" s="3" t="s">
        <v>1865</v>
      </c>
      <c r="AC172" s="7">
        <v>86</v>
      </c>
      <c r="AD172" s="7">
        <v>0</v>
      </c>
      <c r="AE172" s="7">
        <v>0</v>
      </c>
      <c r="AF172" s="3" t="s">
        <v>48</v>
      </c>
      <c r="AG172" s="7">
        <v>2023</v>
      </c>
      <c r="AH172" s="3" t="s">
        <v>133</v>
      </c>
      <c r="AI172" s="3" t="s">
        <v>106</v>
      </c>
      <c r="AJ172" s="3" t="s">
        <v>48</v>
      </c>
      <c r="AK172" s="12" t="s">
        <v>140</v>
      </c>
      <c r="AL172" s="3" t="s">
        <v>59</v>
      </c>
      <c r="AM172" s="3" t="s">
        <v>115</v>
      </c>
      <c r="AN172" s="3" t="s">
        <v>61</v>
      </c>
      <c r="AO172" s="3" t="s">
        <v>62</v>
      </c>
      <c r="AP172" s="3" t="s">
        <v>69</v>
      </c>
      <c r="AQ172" s="3" t="s">
        <v>61</v>
      </c>
      <c r="AR172" s="3" t="s">
        <v>48</v>
      </c>
    </row>
    <row r="173" spans="1:44" ht="30" customHeight="1">
      <c r="A173" s="3" t="s">
        <v>44</v>
      </c>
      <c r="B173" s="3" t="s">
        <v>45</v>
      </c>
      <c r="C173" s="3" t="s">
        <v>46</v>
      </c>
      <c r="D173" s="3" t="s">
        <v>130</v>
      </c>
      <c r="E173" s="3" t="s">
        <v>48</v>
      </c>
      <c r="F173" s="3" t="s">
        <v>131</v>
      </c>
      <c r="G173" s="3" t="s">
        <v>48</v>
      </c>
      <c r="H173" s="4">
        <f>IF(DATEDIF(L173,S173,"m")&gt;12,DATEDIF(L173,S173,"y"),(DATEDIF(L173,S173,"m")/12))</f>
        <v>89</v>
      </c>
      <c r="I173" s="7">
        <f>DATEDIF(L173,S173,"M")</f>
        <v>1069</v>
      </c>
      <c r="J173" s="7">
        <f>DATEDIF(L173,S173,"D")</f>
        <v>32561</v>
      </c>
      <c r="K173" s="3" t="s">
        <v>51</v>
      </c>
      <c r="L173" s="8">
        <v>12379</v>
      </c>
      <c r="M173" s="3" t="s">
        <v>45</v>
      </c>
      <c r="N173" s="3" t="s">
        <v>83</v>
      </c>
      <c r="O173" s="3" t="s">
        <v>52</v>
      </c>
      <c r="P173" s="3" t="s">
        <v>103</v>
      </c>
      <c r="Q173" s="7">
        <v>0</v>
      </c>
      <c r="R173" s="8">
        <v>44950</v>
      </c>
      <c r="S173" s="8">
        <v>44940</v>
      </c>
      <c r="T173" s="3" t="s">
        <v>54</v>
      </c>
      <c r="U173" s="3" t="s">
        <v>55</v>
      </c>
      <c r="V173" s="9"/>
      <c r="W173" s="10">
        <v>44953</v>
      </c>
      <c r="X173" s="7">
        <v>3</v>
      </c>
      <c r="Y173" s="7">
        <v>10</v>
      </c>
      <c r="Z173" s="7">
        <v>1</v>
      </c>
      <c r="AA173" s="7">
        <f>INT((S173-DATE(YEAR(S173-WEEKDAY(S173-0)+4),1,4)+WEEKDAY(DATE(YEAR(S173-WEEKDAY(S173-0)+4),1,4))+6)/7)</f>
        <v>2</v>
      </c>
      <c r="AB173" s="3" t="s">
        <v>2019</v>
      </c>
      <c r="AC173" s="7">
        <v>96</v>
      </c>
      <c r="AD173" s="7">
        <v>0</v>
      </c>
      <c r="AE173" s="7">
        <v>0</v>
      </c>
      <c r="AF173" s="3" t="s">
        <v>48</v>
      </c>
      <c r="AG173" s="7">
        <v>2023</v>
      </c>
      <c r="AH173" s="3" t="s">
        <v>133</v>
      </c>
      <c r="AI173" s="3" t="s">
        <v>106</v>
      </c>
      <c r="AJ173" s="3" t="s">
        <v>48</v>
      </c>
      <c r="AK173" s="3" t="s">
        <v>1021</v>
      </c>
      <c r="AL173" s="3" t="s">
        <v>59</v>
      </c>
      <c r="AM173" s="3" t="s">
        <v>115</v>
      </c>
      <c r="AN173" s="3" t="s">
        <v>61</v>
      </c>
      <c r="AO173" s="3" t="s">
        <v>62</v>
      </c>
      <c r="AP173" s="3" t="s">
        <v>69</v>
      </c>
      <c r="AQ173" s="3" t="s">
        <v>61</v>
      </c>
      <c r="AR173" s="3" t="s">
        <v>48</v>
      </c>
    </row>
    <row r="174" spans="1:44" ht="30" customHeight="1">
      <c r="A174" s="3" t="s">
        <v>44</v>
      </c>
      <c r="B174" s="3" t="s">
        <v>45</v>
      </c>
      <c r="C174" s="3" t="s">
        <v>46</v>
      </c>
      <c r="D174" s="3" t="s">
        <v>130</v>
      </c>
      <c r="E174" s="3" t="s">
        <v>48</v>
      </c>
      <c r="F174" s="3" t="s">
        <v>131</v>
      </c>
      <c r="G174" s="3" t="s">
        <v>48</v>
      </c>
      <c r="H174" s="4">
        <f>IF(DATEDIF(L174,S174,"m")&gt;12,DATEDIF(L174,S174,"y"),(DATEDIF(L174,S174,"m")/12))</f>
        <v>1</v>
      </c>
      <c r="I174" s="7">
        <f>DATEDIF(L174,S174,"M")</f>
        <v>12</v>
      </c>
      <c r="J174" s="7">
        <f>DATEDIF(L174,S174,"D")</f>
        <v>377</v>
      </c>
      <c r="K174" s="3" t="s">
        <v>51</v>
      </c>
      <c r="L174" s="8">
        <v>44558</v>
      </c>
      <c r="M174" s="3" t="s">
        <v>45</v>
      </c>
      <c r="N174" s="3" t="s">
        <v>83</v>
      </c>
      <c r="O174" s="3" t="s">
        <v>52</v>
      </c>
      <c r="P174" s="3" t="s">
        <v>103</v>
      </c>
      <c r="Q174" s="7">
        <v>0</v>
      </c>
      <c r="R174" s="8">
        <v>44949</v>
      </c>
      <c r="S174" s="8">
        <v>44935</v>
      </c>
      <c r="T174" s="3" t="s">
        <v>54</v>
      </c>
      <c r="U174" s="3" t="s">
        <v>55</v>
      </c>
      <c r="V174" s="9"/>
      <c r="W174" s="10">
        <v>44953</v>
      </c>
      <c r="X174" s="7">
        <v>4</v>
      </c>
      <c r="Y174" s="7">
        <v>14</v>
      </c>
      <c r="Z174" s="7">
        <v>1</v>
      </c>
      <c r="AA174" s="7">
        <f>INT((S174-DATE(YEAR(S174-WEEKDAY(S174-0)+4),1,4)+WEEKDAY(DATE(YEAR(S174-WEEKDAY(S174-0)+4),1,4))+6)/7)</f>
        <v>2</v>
      </c>
      <c r="AB174" s="3" t="s">
        <v>2112</v>
      </c>
      <c r="AC174" s="7">
        <v>91</v>
      </c>
      <c r="AD174" s="7">
        <v>0</v>
      </c>
      <c r="AE174" s="7">
        <v>0</v>
      </c>
      <c r="AF174" s="3" t="s">
        <v>48</v>
      </c>
      <c r="AG174" s="7">
        <v>2023</v>
      </c>
      <c r="AH174" s="3" t="s">
        <v>133</v>
      </c>
      <c r="AI174" s="3" t="s">
        <v>106</v>
      </c>
      <c r="AJ174" s="3" t="s">
        <v>48</v>
      </c>
      <c r="AK174" s="3" t="s">
        <v>144</v>
      </c>
      <c r="AL174" s="3" t="s">
        <v>59</v>
      </c>
      <c r="AM174" s="3" t="s">
        <v>115</v>
      </c>
      <c r="AN174" s="3" t="s">
        <v>61</v>
      </c>
      <c r="AO174" s="3" t="s">
        <v>62</v>
      </c>
      <c r="AP174" s="3" t="s">
        <v>69</v>
      </c>
      <c r="AQ174" s="3" t="s">
        <v>61</v>
      </c>
      <c r="AR174" s="3" t="s">
        <v>48</v>
      </c>
    </row>
    <row r="175" spans="1:44" ht="30" customHeight="1">
      <c r="A175" s="3" t="s">
        <v>44</v>
      </c>
      <c r="B175" s="3" t="s">
        <v>45</v>
      </c>
      <c r="C175" s="3" t="s">
        <v>46</v>
      </c>
      <c r="D175" s="3" t="s">
        <v>70</v>
      </c>
      <c r="E175" s="3" t="s">
        <v>48</v>
      </c>
      <c r="F175" s="3" t="s">
        <v>71</v>
      </c>
      <c r="G175" s="3" t="s">
        <v>2194</v>
      </c>
      <c r="H175" s="4">
        <f>IF(DATEDIF(L175,S175,"m")&gt;12,DATEDIF(L175,S175,"y"),(DATEDIF(L175,S175,"m")/12))</f>
        <v>5</v>
      </c>
      <c r="I175" s="7">
        <f>DATEDIF(L175,S175,"M")</f>
        <v>65</v>
      </c>
      <c r="J175" s="7">
        <f>DATEDIF(L175,S175,"D")</f>
        <v>1994</v>
      </c>
      <c r="K175" s="3" t="s">
        <v>51</v>
      </c>
      <c r="L175" s="8">
        <v>42954</v>
      </c>
      <c r="M175" s="3" t="s">
        <v>45</v>
      </c>
      <c r="N175" s="3" t="s">
        <v>159</v>
      </c>
      <c r="O175" s="3" t="s">
        <v>52</v>
      </c>
      <c r="P175" s="3" t="s">
        <v>84</v>
      </c>
      <c r="Q175" s="7">
        <v>1</v>
      </c>
      <c r="R175" s="8">
        <v>44949</v>
      </c>
      <c r="S175" s="8">
        <v>44948</v>
      </c>
      <c r="T175" s="3" t="s">
        <v>54</v>
      </c>
      <c r="U175" s="3" t="s">
        <v>55</v>
      </c>
      <c r="V175" s="9"/>
      <c r="W175" s="10">
        <v>44953</v>
      </c>
      <c r="X175" s="7">
        <v>4</v>
      </c>
      <c r="Y175" s="7">
        <v>1</v>
      </c>
      <c r="Z175" s="7">
        <v>1</v>
      </c>
      <c r="AA175" s="7">
        <f>INT((S175-DATE(YEAR(S175-WEEKDAY(S175-0)+4),1,4)+WEEKDAY(DATE(YEAR(S175-WEEKDAY(S175-0)+4),1,4))+6)/7)</f>
        <v>4</v>
      </c>
      <c r="AB175" s="3" t="s">
        <v>2195</v>
      </c>
      <c r="AC175" s="7">
        <v>641</v>
      </c>
      <c r="AD175" s="7">
        <v>0</v>
      </c>
      <c r="AE175" s="7">
        <v>1</v>
      </c>
      <c r="AF175" s="3" t="s">
        <v>48</v>
      </c>
      <c r="AG175" s="7">
        <v>2023</v>
      </c>
      <c r="AH175" s="3" t="s">
        <v>76</v>
      </c>
      <c r="AI175" s="3" t="s">
        <v>77</v>
      </c>
      <c r="AJ175" s="3" t="s">
        <v>78</v>
      </c>
      <c r="AK175" s="3" t="s">
        <v>2196</v>
      </c>
      <c r="AL175" s="3" t="s">
        <v>59</v>
      </c>
      <c r="AM175" s="3" t="s">
        <v>60</v>
      </c>
      <c r="AN175" s="3" t="s">
        <v>61</v>
      </c>
      <c r="AO175" s="3" t="s">
        <v>62</v>
      </c>
      <c r="AP175" s="3" t="s">
        <v>69</v>
      </c>
      <c r="AQ175" s="3" t="s">
        <v>61</v>
      </c>
      <c r="AR175" s="3" t="s">
        <v>48</v>
      </c>
    </row>
    <row r="176" spans="1:44" ht="30" customHeight="1">
      <c r="A176" s="3" t="s">
        <v>44</v>
      </c>
      <c r="B176" s="3" t="s">
        <v>45</v>
      </c>
      <c r="C176" s="3" t="s">
        <v>46</v>
      </c>
      <c r="D176" s="3" t="s">
        <v>130</v>
      </c>
      <c r="E176" s="3" t="s">
        <v>48</v>
      </c>
      <c r="F176" s="3" t="s">
        <v>131</v>
      </c>
      <c r="G176" s="3" t="s">
        <v>48</v>
      </c>
      <c r="H176" s="4">
        <f>IF(DATEDIF(L176,S176,"m")&gt;12,DATEDIF(L176,S176,"y"),(DATEDIF(L176,S176,"m")/12))</f>
        <v>33</v>
      </c>
      <c r="I176" s="7">
        <f>DATEDIF(L176,S176,"M")</f>
        <v>396</v>
      </c>
      <c r="J176" s="7">
        <f>DATEDIF(L176,S176,"D")</f>
        <v>12078</v>
      </c>
      <c r="K176" s="3" t="s">
        <v>64</v>
      </c>
      <c r="L176" s="8">
        <v>32869</v>
      </c>
      <c r="M176" s="3" t="s">
        <v>45</v>
      </c>
      <c r="N176" s="3" t="s">
        <v>83</v>
      </c>
      <c r="O176" s="3" t="s">
        <v>52</v>
      </c>
      <c r="P176" s="3" t="s">
        <v>796</v>
      </c>
      <c r="Q176" s="7">
        <v>0</v>
      </c>
      <c r="R176" s="8">
        <v>44949</v>
      </c>
      <c r="S176" s="8">
        <v>44947</v>
      </c>
      <c r="T176" s="3" t="s">
        <v>54</v>
      </c>
      <c r="U176" s="3" t="s">
        <v>55</v>
      </c>
      <c r="V176" s="9"/>
      <c r="W176" s="10">
        <v>44953</v>
      </c>
      <c r="X176" s="7">
        <v>4</v>
      </c>
      <c r="Y176" s="7">
        <v>2</v>
      </c>
      <c r="Z176" s="7">
        <v>1</v>
      </c>
      <c r="AA176" s="7">
        <f>INT((S176-DATE(YEAR(S176-WEEKDAY(S176-0)+4),1,4)+WEEKDAY(DATE(YEAR(S176-WEEKDAY(S176-0)+4),1,4))+6)/7)</f>
        <v>3</v>
      </c>
      <c r="AB176" s="3" t="s">
        <v>2202</v>
      </c>
      <c r="AC176" s="7">
        <v>85</v>
      </c>
      <c r="AD176" s="7">
        <v>0</v>
      </c>
      <c r="AE176" s="7">
        <v>0</v>
      </c>
      <c r="AF176" s="3" t="s">
        <v>48</v>
      </c>
      <c r="AG176" s="7">
        <v>2023</v>
      </c>
      <c r="AH176" s="3" t="s">
        <v>133</v>
      </c>
      <c r="AI176" s="3" t="s">
        <v>106</v>
      </c>
      <c r="AJ176" s="3" t="s">
        <v>48</v>
      </c>
      <c r="AK176" s="12" t="s">
        <v>140</v>
      </c>
      <c r="AL176" s="3" t="s">
        <v>59</v>
      </c>
      <c r="AM176" s="3" t="s">
        <v>115</v>
      </c>
      <c r="AN176" s="3" t="s">
        <v>61</v>
      </c>
      <c r="AO176" s="3" t="s">
        <v>62</v>
      </c>
      <c r="AP176" s="3" t="s">
        <v>69</v>
      </c>
      <c r="AQ176" s="3" t="s">
        <v>61</v>
      </c>
      <c r="AR176" s="3" t="s">
        <v>48</v>
      </c>
    </row>
    <row r="177" spans="1:44" ht="30" customHeight="1">
      <c r="A177" s="3" t="s">
        <v>44</v>
      </c>
      <c r="B177" s="3" t="s">
        <v>45</v>
      </c>
      <c r="C177" s="3" t="s">
        <v>80</v>
      </c>
      <c r="D177" s="3" t="s">
        <v>93</v>
      </c>
      <c r="E177" s="3" t="s">
        <v>48</v>
      </c>
      <c r="F177" s="3" t="s">
        <v>94</v>
      </c>
      <c r="G177" s="3" t="s">
        <v>95</v>
      </c>
      <c r="H177" s="4">
        <f>IF(DATEDIF(L177,S177,"m")&gt;12,DATEDIF(L177,S177,"y"),(DATEDIF(L177,S177,"m")/12))</f>
        <v>10</v>
      </c>
      <c r="I177" s="7">
        <f>DATEDIF(L177,S177,"M")</f>
        <v>126</v>
      </c>
      <c r="J177" s="7">
        <f>DATEDIF(L177,S177,"D")</f>
        <v>3852</v>
      </c>
      <c r="K177" s="3" t="s">
        <v>64</v>
      </c>
      <c r="L177" s="8">
        <v>41092</v>
      </c>
      <c r="M177" s="3" t="s">
        <v>45</v>
      </c>
      <c r="N177" s="3" t="s">
        <v>83</v>
      </c>
      <c r="O177" s="3" t="s">
        <v>52</v>
      </c>
      <c r="P177" s="3" t="s">
        <v>91</v>
      </c>
      <c r="Q177" s="7">
        <v>0</v>
      </c>
      <c r="R177" s="8">
        <v>44951</v>
      </c>
      <c r="S177" s="8">
        <v>44944</v>
      </c>
      <c r="T177" s="3" t="s">
        <v>54</v>
      </c>
      <c r="U177" s="3" t="s">
        <v>55</v>
      </c>
      <c r="V177" s="9"/>
      <c r="W177" s="10">
        <v>44956</v>
      </c>
      <c r="X177" s="7">
        <v>5</v>
      </c>
      <c r="Y177" s="7">
        <v>7</v>
      </c>
      <c r="Z177" s="7">
        <v>1</v>
      </c>
      <c r="AA177" s="7">
        <f>INT((S177-DATE(YEAR(S177-WEEKDAY(S177-0)+4),1,4)+WEEKDAY(DATE(YEAR(S177-WEEKDAY(S177-0)+4),1,4))+6)/7)</f>
        <v>3</v>
      </c>
      <c r="AB177" s="3" t="s">
        <v>96</v>
      </c>
      <c r="AC177" s="7">
        <v>557</v>
      </c>
      <c r="AD177" s="7">
        <v>0</v>
      </c>
      <c r="AE177" s="7">
        <v>0</v>
      </c>
      <c r="AF177" s="3" t="s">
        <v>48</v>
      </c>
      <c r="AG177" s="7">
        <v>2023</v>
      </c>
      <c r="AH177" s="3" t="s">
        <v>97</v>
      </c>
      <c r="AI177" s="3" t="s">
        <v>48</v>
      </c>
      <c r="AJ177" s="3" t="s">
        <v>48</v>
      </c>
      <c r="AK177" s="3" t="s">
        <v>98</v>
      </c>
      <c r="AL177" s="3" t="s">
        <v>59</v>
      </c>
      <c r="AM177" s="3" t="s">
        <v>99</v>
      </c>
      <c r="AN177" s="3" t="s">
        <v>61</v>
      </c>
      <c r="AO177" s="3" t="s">
        <v>48</v>
      </c>
      <c r="AP177" s="3" t="s">
        <v>69</v>
      </c>
      <c r="AQ177" s="3" t="s">
        <v>61</v>
      </c>
      <c r="AR177" s="3" t="s">
        <v>48</v>
      </c>
    </row>
    <row r="178" spans="1:44" ht="30" customHeight="1">
      <c r="A178" s="3" t="s">
        <v>44</v>
      </c>
      <c r="B178" s="3" t="s">
        <v>45</v>
      </c>
      <c r="C178" s="3" t="s">
        <v>46</v>
      </c>
      <c r="D178" s="3" t="s">
        <v>70</v>
      </c>
      <c r="E178" s="3" t="s">
        <v>48</v>
      </c>
      <c r="F178" s="3" t="s">
        <v>71</v>
      </c>
      <c r="G178" s="3" t="s">
        <v>163</v>
      </c>
      <c r="H178" s="4">
        <f>IF(DATEDIF(L178,S178,"m")&gt;12,DATEDIF(L178,S178,"y"),(DATEDIF(L178,S178,"m")/12))</f>
        <v>1</v>
      </c>
      <c r="I178" s="7">
        <f>DATEDIF(L178,S178,"M")</f>
        <v>13</v>
      </c>
      <c r="J178" s="7">
        <f>DATEDIF(L178,S178,"D")</f>
        <v>420</v>
      </c>
      <c r="K178" s="3" t="s">
        <v>51</v>
      </c>
      <c r="L178" s="8">
        <v>44533</v>
      </c>
      <c r="M178" s="3" t="s">
        <v>45</v>
      </c>
      <c r="N178" s="3" t="s">
        <v>164</v>
      </c>
      <c r="O178" s="3" t="s">
        <v>52</v>
      </c>
      <c r="P178" s="3" t="s">
        <v>74</v>
      </c>
      <c r="Q178" s="7">
        <v>1</v>
      </c>
      <c r="R178" s="8">
        <v>44954</v>
      </c>
      <c r="S178" s="8">
        <v>44953</v>
      </c>
      <c r="T178" s="3" t="s">
        <v>54</v>
      </c>
      <c r="U178" s="3" t="s">
        <v>55</v>
      </c>
      <c r="V178" s="9"/>
      <c r="W178" s="10">
        <v>44956</v>
      </c>
      <c r="X178" s="7">
        <v>2</v>
      </c>
      <c r="Y178" s="7">
        <v>1</v>
      </c>
      <c r="Z178" s="7">
        <v>1</v>
      </c>
      <c r="AA178" s="7">
        <f>INT((S178-DATE(YEAR(S178-WEEKDAY(S178-0)+4),1,4)+WEEKDAY(DATE(YEAR(S178-WEEKDAY(S178-0)+4),1,4))+6)/7)</f>
        <v>4</v>
      </c>
      <c r="AB178" s="3" t="s">
        <v>165</v>
      </c>
      <c r="AC178" s="7">
        <v>646</v>
      </c>
      <c r="AD178" s="7">
        <v>0</v>
      </c>
      <c r="AE178" s="7">
        <v>1</v>
      </c>
      <c r="AF178" s="3" t="s">
        <v>48</v>
      </c>
      <c r="AG178" s="7">
        <v>2023</v>
      </c>
      <c r="AH178" s="3" t="s">
        <v>76</v>
      </c>
      <c r="AI178" s="3" t="s">
        <v>166</v>
      </c>
      <c r="AJ178" s="3" t="s">
        <v>78</v>
      </c>
      <c r="AK178" s="3" t="s">
        <v>167</v>
      </c>
      <c r="AL178" s="3" t="s">
        <v>59</v>
      </c>
      <c r="AM178" s="3" t="s">
        <v>60</v>
      </c>
      <c r="AN178" s="3" t="s">
        <v>69</v>
      </c>
      <c r="AO178" s="3" t="s">
        <v>62</v>
      </c>
      <c r="AP178" s="3" t="s">
        <v>69</v>
      </c>
      <c r="AQ178" s="3" t="s">
        <v>69</v>
      </c>
      <c r="AR178" s="3" t="s">
        <v>48</v>
      </c>
    </row>
    <row r="179" spans="1:44" ht="30" customHeight="1">
      <c r="A179" s="3" t="s">
        <v>44</v>
      </c>
      <c r="B179" s="3" t="s">
        <v>45</v>
      </c>
      <c r="C179" s="3" t="s">
        <v>46</v>
      </c>
      <c r="D179" s="3" t="s">
        <v>108</v>
      </c>
      <c r="E179" s="3" t="s">
        <v>48</v>
      </c>
      <c r="F179" s="3" t="s">
        <v>108</v>
      </c>
      <c r="G179" s="3" t="s">
        <v>1244</v>
      </c>
      <c r="H179" s="4">
        <f>IF(DATEDIF(L179,S179,"m")&gt;12,DATEDIF(L179,S179,"y"),(DATEDIF(L179,S179,"m")/12))</f>
        <v>1</v>
      </c>
      <c r="I179" s="7">
        <f>DATEDIF(L179,S179,"M")</f>
        <v>12</v>
      </c>
      <c r="J179" s="7">
        <f>DATEDIF(L179,S179,"D")</f>
        <v>391</v>
      </c>
      <c r="K179" s="3" t="s">
        <v>64</v>
      </c>
      <c r="L179" s="8">
        <v>44585</v>
      </c>
      <c r="M179" s="3" t="s">
        <v>45</v>
      </c>
      <c r="N179" s="3" t="s">
        <v>73</v>
      </c>
      <c r="O179" s="3" t="s">
        <v>52</v>
      </c>
      <c r="P179" s="3" t="s">
        <v>1245</v>
      </c>
      <c r="Q179" s="7">
        <v>0</v>
      </c>
      <c r="R179" s="8">
        <v>44980</v>
      </c>
      <c r="S179" s="8">
        <v>44976</v>
      </c>
      <c r="T179" s="3" t="s">
        <v>54</v>
      </c>
      <c r="U179" s="3" t="s">
        <v>55</v>
      </c>
      <c r="V179" s="9"/>
      <c r="W179" s="13">
        <v>45113</v>
      </c>
      <c r="X179" s="7">
        <v>4</v>
      </c>
      <c r="Y179" s="7">
        <v>4</v>
      </c>
      <c r="Z179" s="7">
        <v>2</v>
      </c>
      <c r="AA179" s="7">
        <f>INT((S179-DATE(YEAR(S179-WEEKDAY(S179-0)+4),1,4)+WEEKDAY(DATE(YEAR(S179-WEEKDAY(S179-0)+4),1,4))+6)/7)</f>
        <v>8</v>
      </c>
      <c r="AB179" s="3" t="s">
        <v>1246</v>
      </c>
      <c r="AC179" s="7">
        <v>298</v>
      </c>
      <c r="AD179" s="7">
        <v>0</v>
      </c>
      <c r="AE179" s="7">
        <v>0</v>
      </c>
      <c r="AF179" s="3" t="s">
        <v>48</v>
      </c>
      <c r="AG179" s="7">
        <v>2023</v>
      </c>
      <c r="AH179" s="3" t="s">
        <v>112</v>
      </c>
      <c r="AI179" s="3" t="s">
        <v>113</v>
      </c>
      <c r="AJ179" s="3" t="s">
        <v>48</v>
      </c>
      <c r="AK179" s="3" t="s">
        <v>114</v>
      </c>
      <c r="AL179" s="3" t="s">
        <v>59</v>
      </c>
      <c r="AM179" s="3" t="s">
        <v>115</v>
      </c>
      <c r="AN179" s="3" t="s">
        <v>61</v>
      </c>
      <c r="AO179" s="3" t="s">
        <v>62</v>
      </c>
      <c r="AP179" s="3" t="s">
        <v>69</v>
      </c>
      <c r="AQ179" s="3" t="s">
        <v>61</v>
      </c>
      <c r="AR179" s="3" t="s">
        <v>48</v>
      </c>
    </row>
    <row r="180" spans="1:44" ht="30" customHeight="1">
      <c r="A180" s="3" t="s">
        <v>44</v>
      </c>
      <c r="B180" s="3" t="s">
        <v>45</v>
      </c>
      <c r="C180" s="3" t="s">
        <v>46</v>
      </c>
      <c r="D180" s="3" t="s">
        <v>70</v>
      </c>
      <c r="E180" s="3" t="s">
        <v>48</v>
      </c>
      <c r="F180" s="3" t="s">
        <v>71</v>
      </c>
      <c r="G180" s="3" t="s">
        <v>328</v>
      </c>
      <c r="H180" s="4">
        <f>IF(DATEDIF(L180,S180,"m")&gt;12,DATEDIF(L180,S180,"y"),(DATEDIF(L180,S180,"m")/12))</f>
        <v>45</v>
      </c>
      <c r="I180" s="7">
        <f>DATEDIF(L180,S180,"M")</f>
        <v>550</v>
      </c>
      <c r="J180" s="7">
        <f>DATEDIF(L180,S180,"D")</f>
        <v>16756</v>
      </c>
      <c r="K180" s="3" t="s">
        <v>51</v>
      </c>
      <c r="L180" s="8">
        <v>28194</v>
      </c>
      <c r="M180" s="3" t="s">
        <v>45</v>
      </c>
      <c r="N180" s="3" t="s">
        <v>329</v>
      </c>
      <c r="O180" s="3" t="s">
        <v>52</v>
      </c>
      <c r="P180" s="3" t="s">
        <v>84</v>
      </c>
      <c r="Q180" s="7">
        <v>1</v>
      </c>
      <c r="R180" s="8">
        <v>44951</v>
      </c>
      <c r="S180" s="8">
        <v>44950</v>
      </c>
      <c r="T180" s="3" t="s">
        <v>54</v>
      </c>
      <c r="U180" s="3" t="s">
        <v>55</v>
      </c>
      <c r="V180" s="9"/>
      <c r="W180" s="10">
        <v>44956</v>
      </c>
      <c r="X180" s="7">
        <v>5</v>
      </c>
      <c r="Y180" s="7">
        <v>1</v>
      </c>
      <c r="Z180" s="7">
        <v>1</v>
      </c>
      <c r="AA180" s="7">
        <f>INT((S180-DATE(YEAR(S180-WEEKDAY(S180-0)+4),1,4)+WEEKDAY(DATE(YEAR(S180-WEEKDAY(S180-0)+4),1,4))+6)/7)</f>
        <v>4</v>
      </c>
      <c r="AB180" s="3" t="s">
        <v>330</v>
      </c>
      <c r="AC180" s="7">
        <v>647</v>
      </c>
      <c r="AD180" s="7">
        <v>0</v>
      </c>
      <c r="AE180" s="7">
        <v>1</v>
      </c>
      <c r="AF180" s="3" t="s">
        <v>48</v>
      </c>
      <c r="AG180" s="7">
        <v>2023</v>
      </c>
      <c r="AH180" s="3" t="s">
        <v>76</v>
      </c>
      <c r="AI180" s="3" t="s">
        <v>166</v>
      </c>
      <c r="AJ180" s="3" t="s">
        <v>78</v>
      </c>
      <c r="AK180" s="3" t="s">
        <v>331</v>
      </c>
      <c r="AL180" s="3" t="s">
        <v>59</v>
      </c>
      <c r="AM180" s="3" t="s">
        <v>60</v>
      </c>
      <c r="AN180" s="3" t="s">
        <v>61</v>
      </c>
      <c r="AO180" s="3" t="s">
        <v>62</v>
      </c>
      <c r="AP180" s="3" t="s">
        <v>69</v>
      </c>
      <c r="AQ180" s="3" t="s">
        <v>61</v>
      </c>
      <c r="AR180" s="3" t="s">
        <v>48</v>
      </c>
    </row>
    <row r="181" spans="1:44" ht="30" customHeight="1">
      <c r="A181" s="3" t="s">
        <v>44</v>
      </c>
      <c r="B181" s="3" t="s">
        <v>45</v>
      </c>
      <c r="C181" s="3" t="s">
        <v>80</v>
      </c>
      <c r="D181" s="3" t="s">
        <v>416</v>
      </c>
      <c r="E181" s="3" t="s">
        <v>48</v>
      </c>
      <c r="F181" s="3" t="s">
        <v>416</v>
      </c>
      <c r="G181" s="3" t="s">
        <v>417</v>
      </c>
      <c r="H181" s="4">
        <f>IF(DATEDIF(L181,S181,"m")&gt;12,DATEDIF(L181,S181,"y"),(DATEDIF(L181,S181,"m")/12))</f>
        <v>36</v>
      </c>
      <c r="I181" s="7">
        <f>DATEDIF(L181,S181,"M")</f>
        <v>432</v>
      </c>
      <c r="J181" s="7">
        <f>DATEDIF(L181,S181,"D")</f>
        <v>13171</v>
      </c>
      <c r="K181" s="3" t="s">
        <v>51</v>
      </c>
      <c r="L181" s="8">
        <v>31774</v>
      </c>
      <c r="M181" s="3" t="s">
        <v>45</v>
      </c>
      <c r="N181" s="3" t="s">
        <v>101</v>
      </c>
      <c r="O181" s="3" t="s">
        <v>52</v>
      </c>
      <c r="P181" s="3" t="s">
        <v>255</v>
      </c>
      <c r="Q181" s="7">
        <v>0</v>
      </c>
      <c r="R181" s="8">
        <v>44949</v>
      </c>
      <c r="S181" s="8">
        <v>44945</v>
      </c>
      <c r="T181" s="3" t="s">
        <v>54</v>
      </c>
      <c r="U181" s="3" t="s">
        <v>55</v>
      </c>
      <c r="V181" s="9"/>
      <c r="W181" s="10">
        <v>44956</v>
      </c>
      <c r="X181" s="7">
        <v>7</v>
      </c>
      <c r="Y181" s="7">
        <v>4</v>
      </c>
      <c r="Z181" s="7">
        <v>1</v>
      </c>
      <c r="AA181" s="7">
        <f>INT((S181-DATE(YEAR(S181-WEEKDAY(S181-0)+4),1,4)+WEEKDAY(DATE(YEAR(S181-WEEKDAY(S181-0)+4),1,4))+6)/7)</f>
        <v>3</v>
      </c>
      <c r="AB181" s="3" t="s">
        <v>418</v>
      </c>
      <c r="AC181" s="7">
        <v>1580</v>
      </c>
      <c r="AD181" s="7">
        <v>0</v>
      </c>
      <c r="AE181" s="7">
        <v>0</v>
      </c>
      <c r="AF181" s="3" t="s">
        <v>48</v>
      </c>
      <c r="AG181" s="7">
        <v>2023</v>
      </c>
      <c r="AH181" s="3" t="s">
        <v>419</v>
      </c>
      <c r="AI181" s="3" t="s">
        <v>48</v>
      </c>
      <c r="AJ181" s="3" t="s">
        <v>48</v>
      </c>
      <c r="AK181" s="3" t="s">
        <v>420</v>
      </c>
      <c r="AL181" s="3" t="s">
        <v>59</v>
      </c>
      <c r="AM181" s="3" t="s">
        <v>99</v>
      </c>
      <c r="AN181" s="3" t="s">
        <v>61</v>
      </c>
      <c r="AO181" s="3" t="s">
        <v>62</v>
      </c>
      <c r="AP181" s="3" t="s">
        <v>69</v>
      </c>
      <c r="AQ181" s="3" t="s">
        <v>61</v>
      </c>
      <c r="AR181" s="3" t="s">
        <v>61</v>
      </c>
    </row>
    <row r="182" spans="1:44" ht="30" customHeight="1">
      <c r="A182" s="3" t="s">
        <v>44</v>
      </c>
      <c r="B182" s="3" t="s">
        <v>45</v>
      </c>
      <c r="C182" s="3" t="s">
        <v>46</v>
      </c>
      <c r="D182" s="3" t="s">
        <v>47</v>
      </c>
      <c r="E182" s="3" t="s">
        <v>48</v>
      </c>
      <c r="F182" s="3" t="s">
        <v>49</v>
      </c>
      <c r="G182" s="3" t="s">
        <v>562</v>
      </c>
      <c r="H182" s="5">
        <f>IF(DATEDIF(L182,S182,"m")&gt;12,DATEDIF(L182,S182,"y"),(DATEDIF(L182,S182,"m")/12))</f>
        <v>0.41666666666666669</v>
      </c>
      <c r="I182" s="7">
        <f>DATEDIF(L182,S182,"M")</f>
        <v>5</v>
      </c>
      <c r="J182" s="7">
        <f>DATEDIF(L182,S182,"D")</f>
        <v>182</v>
      </c>
      <c r="K182" s="3" t="s">
        <v>51</v>
      </c>
      <c r="L182" s="8">
        <v>44764</v>
      </c>
      <c r="M182" s="3" t="s">
        <v>45</v>
      </c>
      <c r="N182" s="3" t="s">
        <v>49</v>
      </c>
      <c r="O182" s="3" t="s">
        <v>52</v>
      </c>
      <c r="P182" s="3" t="s">
        <v>563</v>
      </c>
      <c r="Q182" s="7">
        <v>0</v>
      </c>
      <c r="R182" s="8">
        <v>44950</v>
      </c>
      <c r="S182" s="8">
        <v>44946</v>
      </c>
      <c r="T182" s="3" t="s">
        <v>54</v>
      </c>
      <c r="U182" s="3" t="s">
        <v>55</v>
      </c>
      <c r="V182" s="9"/>
      <c r="W182" s="10">
        <v>44956</v>
      </c>
      <c r="X182" s="7">
        <v>6</v>
      </c>
      <c r="Y182" s="7">
        <v>4</v>
      </c>
      <c r="Z182" s="7">
        <v>1</v>
      </c>
      <c r="AA182" s="7">
        <f>INT((S182-DATE(YEAR(S182-WEEKDAY(S182-0)+4),1,4)+WEEKDAY(DATE(YEAR(S182-WEEKDAY(S182-0)+4),1,4))+6)/7)</f>
        <v>3</v>
      </c>
      <c r="AB182" s="3" t="s">
        <v>564</v>
      </c>
      <c r="AC182" s="7">
        <v>10</v>
      </c>
      <c r="AD182" s="7">
        <v>0</v>
      </c>
      <c r="AE182" s="7">
        <v>0</v>
      </c>
      <c r="AF182" s="3" t="s">
        <v>48</v>
      </c>
      <c r="AG182" s="7">
        <v>2023</v>
      </c>
      <c r="AH182" s="3" t="s">
        <v>57</v>
      </c>
      <c r="AI182" s="3" t="s">
        <v>48</v>
      </c>
      <c r="AJ182" s="3" t="s">
        <v>48</v>
      </c>
      <c r="AK182" s="3" t="s">
        <v>58</v>
      </c>
      <c r="AL182" s="3" t="s">
        <v>59</v>
      </c>
      <c r="AM182" s="3" t="s">
        <v>60</v>
      </c>
      <c r="AN182" s="3" t="s">
        <v>61</v>
      </c>
      <c r="AO182" s="3" t="s">
        <v>62</v>
      </c>
      <c r="AP182" s="3" t="s">
        <v>69</v>
      </c>
      <c r="AQ182" s="3" t="s">
        <v>61</v>
      </c>
      <c r="AR182" s="3" t="s">
        <v>48</v>
      </c>
    </row>
    <row r="183" spans="1:44" ht="30" customHeight="1">
      <c r="A183" s="3" t="s">
        <v>44</v>
      </c>
      <c r="B183" s="3" t="s">
        <v>45</v>
      </c>
      <c r="C183" s="3" t="s">
        <v>80</v>
      </c>
      <c r="D183" s="3" t="s">
        <v>416</v>
      </c>
      <c r="E183" s="3" t="s">
        <v>48</v>
      </c>
      <c r="F183" s="3" t="s">
        <v>48</v>
      </c>
      <c r="G183" s="3" t="s">
        <v>620</v>
      </c>
      <c r="H183" s="4">
        <f>IF(DATEDIF(L183,S183,"m")&gt;12,DATEDIF(L183,S183,"y"),(DATEDIF(L183,S183,"m")/12))</f>
        <v>2</v>
      </c>
      <c r="I183" s="7">
        <f>DATEDIF(L183,S183,"M")</f>
        <v>30</v>
      </c>
      <c r="J183" s="7">
        <f>DATEDIF(L183,S183,"D")</f>
        <v>920</v>
      </c>
      <c r="K183" s="3" t="s">
        <v>64</v>
      </c>
      <c r="L183" s="8">
        <v>44020</v>
      </c>
      <c r="M183" s="3" t="s">
        <v>45</v>
      </c>
      <c r="N183" s="3" t="s">
        <v>164</v>
      </c>
      <c r="O183" s="3" t="s">
        <v>52</v>
      </c>
      <c r="P183" s="3" t="s">
        <v>137</v>
      </c>
      <c r="Q183" s="7">
        <v>1</v>
      </c>
      <c r="R183" s="8">
        <v>44954</v>
      </c>
      <c r="S183" s="8">
        <v>44940</v>
      </c>
      <c r="T183" s="3" t="s">
        <v>54</v>
      </c>
      <c r="U183" s="3" t="s">
        <v>55</v>
      </c>
      <c r="V183" s="9"/>
      <c r="W183" s="10">
        <v>44956</v>
      </c>
      <c r="X183" s="7">
        <v>2</v>
      </c>
      <c r="Y183" s="7">
        <v>14</v>
      </c>
      <c r="Z183" s="7">
        <v>1</v>
      </c>
      <c r="AA183" s="7">
        <f>INT((S183-DATE(YEAR(S183-WEEKDAY(S183-0)+4),1,4)+WEEKDAY(DATE(YEAR(S183-WEEKDAY(S183-0)+4),1,4))+6)/7)</f>
        <v>2</v>
      </c>
      <c r="AB183" s="3" t="s">
        <v>621</v>
      </c>
      <c r="AC183" s="7">
        <v>638</v>
      </c>
      <c r="AD183" s="7">
        <v>0</v>
      </c>
      <c r="AE183" s="7">
        <v>0</v>
      </c>
      <c r="AF183" s="3" t="s">
        <v>48</v>
      </c>
      <c r="AG183" s="7">
        <v>2023</v>
      </c>
      <c r="AH183" s="3" t="s">
        <v>622</v>
      </c>
      <c r="AI183" s="3" t="s">
        <v>48</v>
      </c>
      <c r="AJ183" s="3" t="s">
        <v>48</v>
      </c>
      <c r="AK183" s="3" t="s">
        <v>623</v>
      </c>
      <c r="AL183" s="3" t="s">
        <v>59</v>
      </c>
      <c r="AM183" s="3" t="s">
        <v>99</v>
      </c>
      <c r="AN183" s="3" t="s">
        <v>61</v>
      </c>
      <c r="AO183" s="3" t="s">
        <v>62</v>
      </c>
      <c r="AP183" s="3" t="s">
        <v>69</v>
      </c>
      <c r="AQ183" s="3" t="s">
        <v>61</v>
      </c>
      <c r="AR183" s="3" t="s">
        <v>48</v>
      </c>
    </row>
    <row r="184" spans="1:44" ht="30" customHeight="1">
      <c r="A184" s="3" t="s">
        <v>44</v>
      </c>
      <c r="B184" s="3" t="s">
        <v>45</v>
      </c>
      <c r="C184" s="3" t="s">
        <v>46</v>
      </c>
      <c r="D184" s="3" t="s">
        <v>47</v>
      </c>
      <c r="E184" s="3" t="s">
        <v>48</v>
      </c>
      <c r="F184" s="3" t="s">
        <v>49</v>
      </c>
      <c r="G184" s="3" t="s">
        <v>810</v>
      </c>
      <c r="H184" s="5">
        <f>IF(DATEDIF(L184,S184,"m")&gt;12,DATEDIF(L184,S184,"y"),(DATEDIF(L184,S184,"m")/12))</f>
        <v>0.5</v>
      </c>
      <c r="I184" s="7">
        <f>DATEDIF(L184,S184,"M")</f>
        <v>6</v>
      </c>
      <c r="J184" s="7">
        <f>DATEDIF(L184,S184,"D")</f>
        <v>190</v>
      </c>
      <c r="K184" s="3" t="s">
        <v>51</v>
      </c>
      <c r="L184" s="8">
        <v>44759</v>
      </c>
      <c r="M184" s="3" t="s">
        <v>45</v>
      </c>
      <c r="N184" s="3" t="s">
        <v>49</v>
      </c>
      <c r="O184" s="3" t="s">
        <v>52</v>
      </c>
      <c r="P184" s="3" t="s">
        <v>811</v>
      </c>
      <c r="Q184" s="7">
        <v>0</v>
      </c>
      <c r="R184" s="8">
        <v>44950</v>
      </c>
      <c r="S184" s="8">
        <v>44949</v>
      </c>
      <c r="T184" s="3" t="s">
        <v>54</v>
      </c>
      <c r="U184" s="3" t="s">
        <v>55</v>
      </c>
      <c r="V184" s="9"/>
      <c r="W184" s="10">
        <v>44956</v>
      </c>
      <c r="X184" s="7">
        <v>6</v>
      </c>
      <c r="Y184" s="7">
        <v>1</v>
      </c>
      <c r="Z184" s="7">
        <v>1</v>
      </c>
      <c r="AA184" s="7">
        <f>INT((S184-DATE(YEAR(S184-WEEKDAY(S184-0)+4),1,4)+WEEKDAY(DATE(YEAR(S184-WEEKDAY(S184-0)+4),1,4))+6)/7)</f>
        <v>4</v>
      </c>
      <c r="AB184" s="3" t="s">
        <v>812</v>
      </c>
      <c r="AC184" s="7">
        <v>12</v>
      </c>
      <c r="AD184" s="7">
        <v>0</v>
      </c>
      <c r="AE184" s="7">
        <v>0</v>
      </c>
      <c r="AF184" s="3" t="s">
        <v>48</v>
      </c>
      <c r="AG184" s="7">
        <v>2023</v>
      </c>
      <c r="AH184" s="3" t="s">
        <v>57</v>
      </c>
      <c r="AI184" s="3" t="s">
        <v>48</v>
      </c>
      <c r="AJ184" s="3" t="s">
        <v>48</v>
      </c>
      <c r="AK184" s="3" t="s">
        <v>813</v>
      </c>
      <c r="AL184" s="3" t="s">
        <v>59</v>
      </c>
      <c r="AM184" s="3" t="s">
        <v>60</v>
      </c>
      <c r="AN184" s="3" t="s">
        <v>61</v>
      </c>
      <c r="AO184" s="3" t="s">
        <v>62</v>
      </c>
      <c r="AP184" s="3" t="s">
        <v>69</v>
      </c>
      <c r="AQ184" s="3" t="s">
        <v>61</v>
      </c>
      <c r="AR184" s="3" t="s">
        <v>48</v>
      </c>
    </row>
    <row r="185" spans="1:44" ht="30" customHeight="1">
      <c r="A185" s="3" t="s">
        <v>44</v>
      </c>
      <c r="B185" s="3" t="s">
        <v>45</v>
      </c>
      <c r="C185" s="3" t="s">
        <v>46</v>
      </c>
      <c r="D185" s="3" t="s">
        <v>186</v>
      </c>
      <c r="E185" s="3" t="s">
        <v>48</v>
      </c>
      <c r="F185" s="3" t="s">
        <v>271</v>
      </c>
      <c r="G185" s="3" t="s">
        <v>836</v>
      </c>
      <c r="H185" s="4">
        <f>IF(DATEDIF(L185,S185,"m")&gt;12,DATEDIF(L185,S185,"y"),(DATEDIF(L185,S185,"m")/12))</f>
        <v>8</v>
      </c>
      <c r="I185" s="7">
        <f>DATEDIF(L185,S185,"M")</f>
        <v>104</v>
      </c>
      <c r="J185" s="7">
        <f>DATEDIF(L185,S185,"D")</f>
        <v>3191</v>
      </c>
      <c r="K185" s="3" t="s">
        <v>51</v>
      </c>
      <c r="L185" s="8">
        <v>41756</v>
      </c>
      <c r="M185" s="3" t="s">
        <v>45</v>
      </c>
      <c r="N185" s="3" t="s">
        <v>187</v>
      </c>
      <c r="O185" s="3" t="s">
        <v>52</v>
      </c>
      <c r="P185" s="3" t="s">
        <v>837</v>
      </c>
      <c r="Q185" s="7">
        <v>0</v>
      </c>
      <c r="R185" s="8">
        <v>44950</v>
      </c>
      <c r="S185" s="8">
        <v>44947</v>
      </c>
      <c r="T185" s="3" t="s">
        <v>54</v>
      </c>
      <c r="U185" s="3" t="s">
        <v>55</v>
      </c>
      <c r="V185" s="9"/>
      <c r="W185" s="10">
        <v>44956</v>
      </c>
      <c r="X185" s="7">
        <v>6</v>
      </c>
      <c r="Y185" s="7">
        <v>3</v>
      </c>
      <c r="Z185" s="7">
        <v>1</v>
      </c>
      <c r="AA185" s="7">
        <f>INT((S185-DATE(YEAR(S185-WEEKDAY(S185-0)+4),1,4)+WEEKDAY(DATE(YEAR(S185-WEEKDAY(S185-0)+4),1,4))+6)/7)</f>
        <v>3</v>
      </c>
      <c r="AB185" s="3" t="s">
        <v>838</v>
      </c>
      <c r="AC185" s="7">
        <v>96</v>
      </c>
      <c r="AD185" s="7">
        <v>0</v>
      </c>
      <c r="AE185" s="7">
        <v>0</v>
      </c>
      <c r="AF185" s="3" t="s">
        <v>48</v>
      </c>
      <c r="AG185" s="7">
        <v>2023</v>
      </c>
      <c r="AH185" s="3" t="s">
        <v>276</v>
      </c>
      <c r="AI185" s="3" t="s">
        <v>191</v>
      </c>
      <c r="AJ185" s="3" t="s">
        <v>186</v>
      </c>
      <c r="AK185" s="3" t="s">
        <v>192</v>
      </c>
      <c r="AL185" s="3" t="s">
        <v>59</v>
      </c>
      <c r="AM185" s="3" t="s">
        <v>60</v>
      </c>
      <c r="AN185" s="3" t="s">
        <v>61</v>
      </c>
      <c r="AO185" s="3" t="s">
        <v>62</v>
      </c>
      <c r="AP185" s="3" t="s">
        <v>69</v>
      </c>
      <c r="AQ185" s="3" t="s">
        <v>61</v>
      </c>
      <c r="AR185" s="3" t="s">
        <v>48</v>
      </c>
    </row>
    <row r="186" spans="1:44" ht="30" customHeight="1">
      <c r="A186" s="3" t="s">
        <v>44</v>
      </c>
      <c r="B186" s="3" t="s">
        <v>45</v>
      </c>
      <c r="C186" s="3" t="s">
        <v>46</v>
      </c>
      <c r="D186" s="3" t="s">
        <v>186</v>
      </c>
      <c r="E186" s="3" t="s">
        <v>48</v>
      </c>
      <c r="F186" s="3" t="s">
        <v>271</v>
      </c>
      <c r="G186" s="3" t="s">
        <v>932</v>
      </c>
      <c r="H186" s="4">
        <f>IF(DATEDIF(L186,S186,"m")&gt;12,DATEDIF(L186,S186,"y"),(DATEDIF(L186,S186,"m")/12))</f>
        <v>2</v>
      </c>
      <c r="I186" s="7">
        <f>DATEDIF(L186,S186,"M")</f>
        <v>27</v>
      </c>
      <c r="J186" s="7">
        <f>DATEDIF(L186,S186,"D")</f>
        <v>843</v>
      </c>
      <c r="K186" s="3" t="s">
        <v>64</v>
      </c>
      <c r="L186" s="8">
        <v>44104</v>
      </c>
      <c r="M186" s="3" t="s">
        <v>45</v>
      </c>
      <c r="N186" s="3" t="s">
        <v>187</v>
      </c>
      <c r="O186" s="3" t="s">
        <v>52</v>
      </c>
      <c r="P186" s="3" t="s">
        <v>933</v>
      </c>
      <c r="Q186" s="7">
        <v>0</v>
      </c>
      <c r="R186" s="8">
        <v>44950</v>
      </c>
      <c r="S186" s="8">
        <v>44947</v>
      </c>
      <c r="T186" s="3" t="s">
        <v>54</v>
      </c>
      <c r="U186" s="3" t="s">
        <v>55</v>
      </c>
      <c r="V186" s="9"/>
      <c r="W186" s="10">
        <v>44956</v>
      </c>
      <c r="X186" s="7">
        <v>6</v>
      </c>
      <c r="Y186" s="7">
        <v>3</v>
      </c>
      <c r="Z186" s="7">
        <v>1</v>
      </c>
      <c r="AA186" s="7">
        <f>INT((S186-DATE(YEAR(S186-WEEKDAY(S186-0)+4),1,4)+WEEKDAY(DATE(YEAR(S186-WEEKDAY(S186-0)+4),1,4))+6)/7)</f>
        <v>3</v>
      </c>
      <c r="AB186" s="3" t="s">
        <v>934</v>
      </c>
      <c r="AC186" s="7">
        <v>97</v>
      </c>
      <c r="AD186" s="7">
        <v>0</v>
      </c>
      <c r="AE186" s="7">
        <v>0</v>
      </c>
      <c r="AF186" s="3" t="s">
        <v>48</v>
      </c>
      <c r="AG186" s="7">
        <v>2023</v>
      </c>
      <c r="AH186" s="3" t="s">
        <v>276</v>
      </c>
      <c r="AI186" s="3" t="s">
        <v>191</v>
      </c>
      <c r="AJ186" s="3" t="s">
        <v>186</v>
      </c>
      <c r="AK186" s="3" t="s">
        <v>192</v>
      </c>
      <c r="AL186" s="3" t="s">
        <v>59</v>
      </c>
      <c r="AM186" s="3" t="s">
        <v>60</v>
      </c>
      <c r="AN186" s="3" t="s">
        <v>61</v>
      </c>
      <c r="AO186" s="3" t="s">
        <v>62</v>
      </c>
      <c r="AP186" s="3" t="s">
        <v>69</v>
      </c>
      <c r="AQ186" s="3" t="s">
        <v>61</v>
      </c>
      <c r="AR186" s="3" t="s">
        <v>48</v>
      </c>
    </row>
    <row r="187" spans="1:44" ht="30" customHeight="1">
      <c r="A187" s="3" t="s">
        <v>44</v>
      </c>
      <c r="B187" s="3" t="s">
        <v>45</v>
      </c>
      <c r="C187" s="3" t="s">
        <v>46</v>
      </c>
      <c r="D187" s="3" t="s">
        <v>70</v>
      </c>
      <c r="E187" s="3" t="s">
        <v>48</v>
      </c>
      <c r="F187" s="3" t="s">
        <v>71</v>
      </c>
      <c r="G187" s="3" t="s">
        <v>1008</v>
      </c>
      <c r="H187" s="4">
        <f>IF(DATEDIF(L187,S187,"m")&gt;12,DATEDIF(L187,S187,"y"),(DATEDIF(L187,S187,"m")/12))</f>
        <v>3</v>
      </c>
      <c r="I187" s="7">
        <f>DATEDIF(L187,S187,"M")</f>
        <v>38</v>
      </c>
      <c r="J187" s="7">
        <f>DATEDIF(L187,S187,"D")</f>
        <v>1186</v>
      </c>
      <c r="K187" s="3" t="s">
        <v>64</v>
      </c>
      <c r="L187" s="8">
        <v>43762</v>
      </c>
      <c r="M187" s="3" t="s">
        <v>45</v>
      </c>
      <c r="N187" s="3" t="s">
        <v>329</v>
      </c>
      <c r="O187" s="3" t="s">
        <v>52</v>
      </c>
      <c r="P187" s="3" t="s">
        <v>1009</v>
      </c>
      <c r="Q187" s="7">
        <v>1</v>
      </c>
      <c r="R187" s="8">
        <v>44949</v>
      </c>
      <c r="S187" s="8">
        <v>44948</v>
      </c>
      <c r="T187" s="3" t="s">
        <v>54</v>
      </c>
      <c r="U187" s="3" t="s">
        <v>55</v>
      </c>
      <c r="V187" s="9"/>
      <c r="W187" s="10">
        <v>44956</v>
      </c>
      <c r="X187" s="7">
        <v>7</v>
      </c>
      <c r="Y187" s="7">
        <v>1</v>
      </c>
      <c r="Z187" s="7">
        <v>1</v>
      </c>
      <c r="AA187" s="7">
        <f>INT((S187-DATE(YEAR(S187-WEEKDAY(S187-0)+4),1,4)+WEEKDAY(DATE(YEAR(S187-WEEKDAY(S187-0)+4),1,4))+6)/7)</f>
        <v>4</v>
      </c>
      <c r="AB187" s="3" t="s">
        <v>1010</v>
      </c>
      <c r="AC187" s="7">
        <v>644</v>
      </c>
      <c r="AD187" s="7">
        <v>0</v>
      </c>
      <c r="AE187" s="7">
        <v>1</v>
      </c>
      <c r="AF187" s="3" t="s">
        <v>48</v>
      </c>
      <c r="AG187" s="7">
        <v>2023</v>
      </c>
      <c r="AH187" s="3" t="s">
        <v>76</v>
      </c>
      <c r="AI187" s="3" t="s">
        <v>166</v>
      </c>
      <c r="AJ187" s="3" t="s">
        <v>78</v>
      </c>
      <c r="AK187" s="3" t="s">
        <v>547</v>
      </c>
      <c r="AL187" s="3" t="s">
        <v>59</v>
      </c>
      <c r="AM187" s="3" t="s">
        <v>60</v>
      </c>
      <c r="AN187" s="3" t="s">
        <v>61</v>
      </c>
      <c r="AO187" s="3" t="s">
        <v>62</v>
      </c>
      <c r="AP187" s="3" t="s">
        <v>69</v>
      </c>
      <c r="AQ187" s="3" t="s">
        <v>61</v>
      </c>
      <c r="AR187" s="3" t="s">
        <v>48</v>
      </c>
    </row>
    <row r="188" spans="1:44" ht="30" customHeight="1">
      <c r="A188" s="3" t="s">
        <v>44</v>
      </c>
      <c r="B188" s="3" t="s">
        <v>45</v>
      </c>
      <c r="C188" s="3" t="s">
        <v>46</v>
      </c>
      <c r="D188" s="3" t="s">
        <v>108</v>
      </c>
      <c r="E188" s="3" t="s">
        <v>48</v>
      </c>
      <c r="F188" s="3" t="s">
        <v>108</v>
      </c>
      <c r="G188" s="3" t="s">
        <v>1251</v>
      </c>
      <c r="H188" s="4">
        <f>IF(DATEDIF(L188,S188,"m")&gt;12,DATEDIF(L188,S188,"y"),(DATEDIF(L188,S188,"m")/12))</f>
        <v>3</v>
      </c>
      <c r="I188" s="7">
        <f>DATEDIF(L188,S188,"M")</f>
        <v>39</v>
      </c>
      <c r="J188" s="7">
        <f>DATEDIF(L188,S188,"D")</f>
        <v>1201</v>
      </c>
      <c r="K188" s="3" t="s">
        <v>51</v>
      </c>
      <c r="L188" s="8">
        <v>43760</v>
      </c>
      <c r="M188" s="3" t="s">
        <v>45</v>
      </c>
      <c r="N188" s="3" t="s">
        <v>73</v>
      </c>
      <c r="O188" s="3" t="s">
        <v>52</v>
      </c>
      <c r="P188" s="3" t="s">
        <v>169</v>
      </c>
      <c r="Q188" s="7">
        <v>0</v>
      </c>
      <c r="R188" s="8">
        <v>44964</v>
      </c>
      <c r="S188" s="8">
        <v>44961</v>
      </c>
      <c r="T188" s="3" t="s">
        <v>54</v>
      </c>
      <c r="U188" s="3" t="s">
        <v>55</v>
      </c>
      <c r="V188" s="9"/>
      <c r="W188" s="13">
        <v>45117</v>
      </c>
      <c r="X188" s="7">
        <v>7</v>
      </c>
      <c r="Y188" s="7">
        <v>3</v>
      </c>
      <c r="Z188" s="7">
        <v>2</v>
      </c>
      <c r="AA188" s="7">
        <f>INT((S188-DATE(YEAR(S188-WEEKDAY(S188-0)+4),1,4)+WEEKDAY(DATE(YEAR(S188-WEEKDAY(S188-0)+4),1,4))+6)/7)</f>
        <v>5</v>
      </c>
      <c r="AB188" s="3" t="s">
        <v>1252</v>
      </c>
      <c r="AC188" s="7">
        <v>227</v>
      </c>
      <c r="AD188" s="7">
        <v>0</v>
      </c>
      <c r="AE188" s="7">
        <v>0</v>
      </c>
      <c r="AF188" s="3" t="s">
        <v>48</v>
      </c>
      <c r="AG188" s="7">
        <v>2023</v>
      </c>
      <c r="AH188" s="3" t="s">
        <v>112</v>
      </c>
      <c r="AI188" s="3" t="s">
        <v>113</v>
      </c>
      <c r="AJ188" s="3" t="s">
        <v>48</v>
      </c>
      <c r="AK188" s="3" t="s">
        <v>114</v>
      </c>
      <c r="AL188" s="3" t="s">
        <v>59</v>
      </c>
      <c r="AM188" s="3" t="s">
        <v>115</v>
      </c>
      <c r="AN188" s="3" t="s">
        <v>61</v>
      </c>
      <c r="AO188" s="3" t="s">
        <v>62</v>
      </c>
      <c r="AP188" s="3" t="s">
        <v>69</v>
      </c>
      <c r="AQ188" s="3" t="s">
        <v>61</v>
      </c>
      <c r="AR188" s="3" t="s">
        <v>48</v>
      </c>
    </row>
    <row r="189" spans="1:44" ht="30" customHeight="1">
      <c r="A189" s="3" t="s">
        <v>44</v>
      </c>
      <c r="B189" s="3" t="s">
        <v>45</v>
      </c>
      <c r="C189" s="3" t="s">
        <v>46</v>
      </c>
      <c r="D189" s="3" t="s">
        <v>47</v>
      </c>
      <c r="E189" s="3" t="s">
        <v>48</v>
      </c>
      <c r="F189" s="3" t="s">
        <v>49</v>
      </c>
      <c r="G189" s="3" t="s">
        <v>1355</v>
      </c>
      <c r="H189" s="4">
        <f>IF(DATEDIF(L189,S189,"m")&gt;12,DATEDIF(L189,S189,"y"),(DATEDIF(L189,S189,"m")/12))</f>
        <v>7</v>
      </c>
      <c r="I189" s="7">
        <f>DATEDIF(L189,S189,"M")</f>
        <v>94</v>
      </c>
      <c r="J189" s="7">
        <f>DATEDIF(L189,S189,"D")</f>
        <v>2875</v>
      </c>
      <c r="K189" s="3" t="s">
        <v>51</v>
      </c>
      <c r="L189" s="8">
        <v>42074</v>
      </c>
      <c r="M189" s="3" t="s">
        <v>45</v>
      </c>
      <c r="N189" s="3" t="s">
        <v>49</v>
      </c>
      <c r="O189" s="3" t="s">
        <v>52</v>
      </c>
      <c r="P189" s="3" t="s">
        <v>137</v>
      </c>
      <c r="Q189" s="7">
        <v>1</v>
      </c>
      <c r="R189" s="8">
        <v>44951</v>
      </c>
      <c r="S189" s="8">
        <v>44949</v>
      </c>
      <c r="T189" s="3" t="s">
        <v>54</v>
      </c>
      <c r="U189" s="3" t="s">
        <v>55</v>
      </c>
      <c r="V189" s="9"/>
      <c r="W189" s="10">
        <v>44956</v>
      </c>
      <c r="X189" s="7">
        <v>5</v>
      </c>
      <c r="Y189" s="7">
        <v>2</v>
      </c>
      <c r="Z189" s="7">
        <v>1</v>
      </c>
      <c r="AA189" s="7">
        <f>INT((S189-DATE(YEAR(S189-WEEKDAY(S189-0)+4),1,4)+WEEKDAY(DATE(YEAR(S189-WEEKDAY(S189-0)+4),1,4))+6)/7)</f>
        <v>4</v>
      </c>
      <c r="AB189" s="3" t="s">
        <v>1356</v>
      </c>
      <c r="AC189" s="7">
        <v>21</v>
      </c>
      <c r="AD189" s="7">
        <v>0</v>
      </c>
      <c r="AE189" s="7">
        <v>0</v>
      </c>
      <c r="AF189" s="3" t="s">
        <v>48</v>
      </c>
      <c r="AG189" s="7">
        <v>2023</v>
      </c>
      <c r="AH189" s="3" t="s">
        <v>57</v>
      </c>
      <c r="AI189" s="3" t="s">
        <v>48</v>
      </c>
      <c r="AJ189" s="3" t="s">
        <v>48</v>
      </c>
      <c r="AK189" s="18" t="s">
        <v>567</v>
      </c>
      <c r="AL189" s="3" t="s">
        <v>59</v>
      </c>
      <c r="AM189" s="3" t="s">
        <v>60</v>
      </c>
      <c r="AN189" s="3" t="s">
        <v>61</v>
      </c>
      <c r="AO189" s="3" t="s">
        <v>62</v>
      </c>
      <c r="AP189" s="3" t="s">
        <v>69</v>
      </c>
      <c r="AQ189" s="3" t="s">
        <v>61</v>
      </c>
      <c r="AR189" s="3" t="s">
        <v>48</v>
      </c>
    </row>
    <row r="190" spans="1:44" ht="30" customHeight="1">
      <c r="A190" s="3" t="s">
        <v>44</v>
      </c>
      <c r="B190" s="3" t="s">
        <v>45</v>
      </c>
      <c r="C190" s="3" t="s">
        <v>46</v>
      </c>
      <c r="D190" s="3" t="s">
        <v>186</v>
      </c>
      <c r="E190" s="3" t="s">
        <v>48</v>
      </c>
      <c r="F190" s="3" t="s">
        <v>271</v>
      </c>
      <c r="G190" s="3" t="s">
        <v>1375</v>
      </c>
      <c r="H190" s="4">
        <f>IF(DATEDIF(L190,S190,"m")&gt;12,DATEDIF(L190,S190,"y"),(DATEDIF(L190,S190,"m")/12))</f>
        <v>4</v>
      </c>
      <c r="I190" s="7">
        <f>DATEDIF(L190,S190,"M")</f>
        <v>51</v>
      </c>
      <c r="J190" s="7">
        <f>DATEDIF(L190,S190,"D")</f>
        <v>1574</v>
      </c>
      <c r="K190" s="3" t="s">
        <v>64</v>
      </c>
      <c r="L190" s="8">
        <v>43370</v>
      </c>
      <c r="M190" s="3" t="s">
        <v>45</v>
      </c>
      <c r="N190" s="3" t="s">
        <v>187</v>
      </c>
      <c r="O190" s="3" t="s">
        <v>52</v>
      </c>
      <c r="P190" s="3" t="s">
        <v>815</v>
      </c>
      <c r="Q190" s="7">
        <v>0</v>
      </c>
      <c r="R190" s="8">
        <v>44948</v>
      </c>
      <c r="S190" s="8">
        <v>44944</v>
      </c>
      <c r="T190" s="3" t="s">
        <v>54</v>
      </c>
      <c r="U190" s="3" t="s">
        <v>55</v>
      </c>
      <c r="V190" s="9"/>
      <c r="W190" s="10">
        <v>44956</v>
      </c>
      <c r="X190" s="7">
        <v>8</v>
      </c>
      <c r="Y190" s="7">
        <v>4</v>
      </c>
      <c r="Z190" s="7">
        <v>1</v>
      </c>
      <c r="AA190" s="7">
        <f>INT((S190-DATE(YEAR(S190-WEEKDAY(S190-0)+4),1,4)+WEEKDAY(DATE(YEAR(S190-WEEKDAY(S190-0)+4),1,4))+6)/7)</f>
        <v>3</v>
      </c>
      <c r="AB190" s="3" t="s">
        <v>1376</v>
      </c>
      <c r="AC190" s="7">
        <v>95</v>
      </c>
      <c r="AD190" s="7">
        <v>0</v>
      </c>
      <c r="AE190" s="7">
        <v>0</v>
      </c>
      <c r="AF190" s="3" t="s">
        <v>48</v>
      </c>
      <c r="AG190" s="7">
        <v>2023</v>
      </c>
      <c r="AH190" s="3" t="s">
        <v>276</v>
      </c>
      <c r="AI190" s="3" t="s">
        <v>191</v>
      </c>
      <c r="AJ190" s="3" t="s">
        <v>186</v>
      </c>
      <c r="AK190" s="3" t="s">
        <v>817</v>
      </c>
      <c r="AL190" s="3" t="s">
        <v>59</v>
      </c>
      <c r="AM190" s="3" t="s">
        <v>60</v>
      </c>
      <c r="AN190" s="3" t="s">
        <v>61</v>
      </c>
      <c r="AO190" s="3" t="s">
        <v>62</v>
      </c>
      <c r="AP190" s="3" t="s">
        <v>69</v>
      </c>
      <c r="AQ190" s="3" t="s">
        <v>61</v>
      </c>
      <c r="AR190" s="3" t="s">
        <v>48</v>
      </c>
    </row>
    <row r="191" spans="1:44" ht="30" customHeight="1">
      <c r="A191" s="3" t="s">
        <v>44</v>
      </c>
      <c r="B191" s="3" t="s">
        <v>45</v>
      </c>
      <c r="C191" s="3" t="s">
        <v>46</v>
      </c>
      <c r="D191" s="3" t="s">
        <v>130</v>
      </c>
      <c r="E191" s="3" t="s">
        <v>48</v>
      </c>
      <c r="F191" s="3" t="s">
        <v>135</v>
      </c>
      <c r="G191" s="3" t="s">
        <v>1406</v>
      </c>
      <c r="H191" s="5">
        <f>IF(DATEDIF(L191,S191,"m")&gt;12,DATEDIF(L191,S191,"y"),(DATEDIF(L191,S191,"m")/12))</f>
        <v>0.91666666666666663</v>
      </c>
      <c r="I191" s="7">
        <f>DATEDIF(L191,S191,"M")</f>
        <v>11</v>
      </c>
      <c r="J191" s="7">
        <f>DATEDIF(L191,S191,"D")</f>
        <v>349</v>
      </c>
      <c r="K191" s="3" t="s">
        <v>64</v>
      </c>
      <c r="L191" s="8">
        <v>44602</v>
      </c>
      <c r="M191" s="3" t="s">
        <v>45</v>
      </c>
      <c r="N191" s="3" t="s">
        <v>83</v>
      </c>
      <c r="O191" s="3" t="s">
        <v>52</v>
      </c>
      <c r="P191" s="3" t="s">
        <v>84</v>
      </c>
      <c r="Q191" s="7">
        <v>1</v>
      </c>
      <c r="R191" s="8">
        <v>44954</v>
      </c>
      <c r="S191" s="8">
        <v>44951</v>
      </c>
      <c r="T191" s="3" t="s">
        <v>54</v>
      </c>
      <c r="U191" s="3" t="s">
        <v>55</v>
      </c>
      <c r="V191" s="9"/>
      <c r="W191" s="10">
        <v>44956</v>
      </c>
      <c r="X191" s="7">
        <v>2</v>
      </c>
      <c r="Y191" s="7">
        <v>3</v>
      </c>
      <c r="Z191" s="7">
        <v>1</v>
      </c>
      <c r="AA191" s="7">
        <f>INT((S191-DATE(YEAR(S191-WEEKDAY(S191-0)+4),1,4)+WEEKDAY(DATE(YEAR(S191-WEEKDAY(S191-0)+4),1,4))+6)/7)</f>
        <v>4</v>
      </c>
      <c r="AB191" s="3" t="s">
        <v>1407</v>
      </c>
      <c r="AC191" s="7">
        <v>87</v>
      </c>
      <c r="AD191" s="7">
        <v>0</v>
      </c>
      <c r="AE191" s="7">
        <v>0</v>
      </c>
      <c r="AF191" s="3" t="s">
        <v>48</v>
      </c>
      <c r="AG191" s="7">
        <v>2023</v>
      </c>
      <c r="AH191" s="3" t="s">
        <v>139</v>
      </c>
      <c r="AI191" s="3" t="s">
        <v>113</v>
      </c>
      <c r="AJ191" s="3" t="s">
        <v>1408</v>
      </c>
      <c r="AK191" s="3" t="s">
        <v>98</v>
      </c>
      <c r="AL191" s="3" t="s">
        <v>59</v>
      </c>
      <c r="AM191" s="3" t="s">
        <v>60</v>
      </c>
      <c r="AN191" s="3" t="s">
        <v>61</v>
      </c>
      <c r="AO191" s="3" t="s">
        <v>62</v>
      </c>
      <c r="AP191" s="3" t="s">
        <v>69</v>
      </c>
      <c r="AQ191" s="3" t="s">
        <v>61</v>
      </c>
      <c r="AR191" s="3" t="s">
        <v>48</v>
      </c>
    </row>
    <row r="192" spans="1:44" ht="30" customHeight="1">
      <c r="A192" s="3" t="s">
        <v>44</v>
      </c>
      <c r="B192" s="3" t="s">
        <v>45</v>
      </c>
      <c r="C192" s="3" t="s">
        <v>46</v>
      </c>
      <c r="D192" s="3" t="s">
        <v>186</v>
      </c>
      <c r="E192" s="3" t="s">
        <v>48</v>
      </c>
      <c r="F192" s="3" t="s">
        <v>271</v>
      </c>
      <c r="G192" s="3" t="s">
        <v>1518</v>
      </c>
      <c r="H192" s="4">
        <f>IF(DATEDIF(L192,S192,"m")&gt;12,DATEDIF(L192,S192,"y"),(DATEDIF(L192,S192,"m")/12))</f>
        <v>4</v>
      </c>
      <c r="I192" s="7">
        <f>DATEDIF(L192,S192,"M")</f>
        <v>54</v>
      </c>
      <c r="J192" s="7">
        <f>DATEDIF(L192,S192,"D")</f>
        <v>1658</v>
      </c>
      <c r="K192" s="3" t="s">
        <v>51</v>
      </c>
      <c r="L192" s="8">
        <v>43289</v>
      </c>
      <c r="M192" s="3" t="s">
        <v>45</v>
      </c>
      <c r="N192" s="3" t="s">
        <v>187</v>
      </c>
      <c r="O192" s="3" t="s">
        <v>52</v>
      </c>
      <c r="P192" s="3" t="s">
        <v>648</v>
      </c>
      <c r="Q192" s="7">
        <v>1</v>
      </c>
      <c r="R192" s="8">
        <v>44951</v>
      </c>
      <c r="S192" s="8">
        <v>44947</v>
      </c>
      <c r="T192" s="3" t="s">
        <v>464</v>
      </c>
      <c r="U192" s="3" t="s">
        <v>55</v>
      </c>
      <c r="V192" s="9"/>
      <c r="W192" s="10">
        <v>44956</v>
      </c>
      <c r="X192" s="7">
        <v>5</v>
      </c>
      <c r="Y192" s="7">
        <v>4</v>
      </c>
      <c r="Z192" s="7">
        <v>1</v>
      </c>
      <c r="AA192" s="7">
        <f>INT((S192-DATE(YEAR(S192-WEEKDAY(S192-0)+4),1,4)+WEEKDAY(DATE(YEAR(S192-WEEKDAY(S192-0)+4),1,4))+6)/7)</f>
        <v>3</v>
      </c>
      <c r="AB192" s="3" t="s">
        <v>1519</v>
      </c>
      <c r="AC192" s="7">
        <v>93</v>
      </c>
      <c r="AD192" s="7">
        <v>0</v>
      </c>
      <c r="AE192" s="7">
        <v>0</v>
      </c>
      <c r="AF192" s="3" t="s">
        <v>48</v>
      </c>
      <c r="AG192" s="7">
        <v>2023</v>
      </c>
      <c r="AH192" s="3" t="s">
        <v>276</v>
      </c>
      <c r="AI192" s="3" t="s">
        <v>191</v>
      </c>
      <c r="AJ192" s="3" t="s">
        <v>186</v>
      </c>
      <c r="AK192" s="3" t="s">
        <v>260</v>
      </c>
      <c r="AL192" s="3" t="s">
        <v>59</v>
      </c>
      <c r="AM192" s="3" t="s">
        <v>60</v>
      </c>
      <c r="AN192" s="3" t="s">
        <v>61</v>
      </c>
      <c r="AO192" s="3" t="s">
        <v>48</v>
      </c>
      <c r="AP192" s="3" t="s">
        <v>69</v>
      </c>
      <c r="AQ192" s="3" t="s">
        <v>61</v>
      </c>
      <c r="AR192" s="3" t="s">
        <v>48</v>
      </c>
    </row>
    <row r="193" spans="1:44" ht="30" customHeight="1">
      <c r="A193" s="3" t="s">
        <v>44</v>
      </c>
      <c r="B193" s="3" t="s">
        <v>45</v>
      </c>
      <c r="C193" s="3" t="s">
        <v>46</v>
      </c>
      <c r="D193" s="3" t="s">
        <v>70</v>
      </c>
      <c r="E193" s="3" t="s">
        <v>48</v>
      </c>
      <c r="F193" s="3" t="s">
        <v>71</v>
      </c>
      <c r="G193" s="3" t="s">
        <v>1544</v>
      </c>
      <c r="H193" s="4">
        <f>IF(DATEDIF(L193,S193,"m")&gt;12,DATEDIF(L193,S193,"y"),(DATEDIF(L193,S193,"m")/12))</f>
        <v>13</v>
      </c>
      <c r="I193" s="7">
        <f>DATEDIF(L193,S193,"M")</f>
        <v>160</v>
      </c>
      <c r="J193" s="7">
        <f>DATEDIF(L193,S193,"D")</f>
        <v>4883</v>
      </c>
      <c r="K193" s="3" t="s">
        <v>64</v>
      </c>
      <c r="L193" s="8">
        <v>40070</v>
      </c>
      <c r="M193" s="3" t="s">
        <v>45</v>
      </c>
      <c r="N193" s="3" t="s">
        <v>329</v>
      </c>
      <c r="O193" s="3" t="s">
        <v>52</v>
      </c>
      <c r="P193" s="3" t="s">
        <v>790</v>
      </c>
      <c r="Q193" s="7">
        <v>1</v>
      </c>
      <c r="R193" s="8">
        <v>44954</v>
      </c>
      <c r="S193" s="8">
        <v>44953</v>
      </c>
      <c r="T193" s="3" t="s">
        <v>54</v>
      </c>
      <c r="U193" s="3" t="s">
        <v>55</v>
      </c>
      <c r="V193" s="9"/>
      <c r="W193" s="10">
        <v>44956</v>
      </c>
      <c r="X193" s="7">
        <v>2</v>
      </c>
      <c r="Y193" s="7">
        <v>1</v>
      </c>
      <c r="Z193" s="7">
        <v>1</v>
      </c>
      <c r="AA193" s="7">
        <f>INT((S193-DATE(YEAR(S193-WEEKDAY(S193-0)+4),1,4)+WEEKDAY(DATE(YEAR(S193-WEEKDAY(S193-0)+4),1,4))+6)/7)</f>
        <v>4</v>
      </c>
      <c r="AB193" s="3" t="s">
        <v>1545</v>
      </c>
      <c r="AC193" s="7">
        <v>649</v>
      </c>
      <c r="AD193" s="7">
        <v>0</v>
      </c>
      <c r="AE193" s="7">
        <v>1</v>
      </c>
      <c r="AF193" s="3" t="s">
        <v>48</v>
      </c>
      <c r="AG193" s="7">
        <v>2023</v>
      </c>
      <c r="AH193" s="3" t="s">
        <v>76</v>
      </c>
      <c r="AI193" s="3" t="s">
        <v>166</v>
      </c>
      <c r="AJ193" s="3" t="s">
        <v>78</v>
      </c>
      <c r="AK193" s="3" t="s">
        <v>547</v>
      </c>
      <c r="AL193" s="3" t="s">
        <v>59</v>
      </c>
      <c r="AM193" s="3" t="s">
        <v>60</v>
      </c>
      <c r="AN193" s="3" t="s">
        <v>61</v>
      </c>
      <c r="AO193" s="3" t="s">
        <v>62</v>
      </c>
      <c r="AP193" s="3" t="s">
        <v>69</v>
      </c>
      <c r="AQ193" s="3" t="s">
        <v>61</v>
      </c>
      <c r="AR193" s="3" t="s">
        <v>48</v>
      </c>
    </row>
    <row r="194" spans="1:44" ht="30" customHeight="1">
      <c r="A194" s="3" t="s">
        <v>44</v>
      </c>
      <c r="B194" s="3" t="s">
        <v>45</v>
      </c>
      <c r="C194" s="3" t="s">
        <v>46</v>
      </c>
      <c r="D194" s="3" t="s">
        <v>47</v>
      </c>
      <c r="E194" s="3" t="s">
        <v>48</v>
      </c>
      <c r="F194" s="3" t="s">
        <v>49</v>
      </c>
      <c r="G194" s="3" t="s">
        <v>1749</v>
      </c>
      <c r="H194" s="4">
        <f>IF(DATEDIF(L194,S194,"m")&gt;12,DATEDIF(L194,S194,"y"),(DATEDIF(L194,S194,"m")/12))</f>
        <v>7</v>
      </c>
      <c r="I194" s="7">
        <f>DATEDIF(L194,S194,"M")</f>
        <v>92</v>
      </c>
      <c r="J194" s="7">
        <f>DATEDIF(L194,S194,"D")</f>
        <v>2817</v>
      </c>
      <c r="K194" s="3" t="s">
        <v>64</v>
      </c>
      <c r="L194" s="8">
        <v>42132</v>
      </c>
      <c r="M194" s="3" t="s">
        <v>45</v>
      </c>
      <c r="N194" s="3" t="s">
        <v>49</v>
      </c>
      <c r="O194" s="3" t="s">
        <v>52</v>
      </c>
      <c r="P194" s="3" t="s">
        <v>1750</v>
      </c>
      <c r="Q194" s="7">
        <v>0</v>
      </c>
      <c r="R194" s="8">
        <v>44952</v>
      </c>
      <c r="S194" s="8">
        <v>44949</v>
      </c>
      <c r="T194" s="3" t="s">
        <v>54</v>
      </c>
      <c r="U194" s="3" t="s">
        <v>55</v>
      </c>
      <c r="V194" s="9"/>
      <c r="W194" s="10">
        <v>44956</v>
      </c>
      <c r="X194" s="7">
        <v>4</v>
      </c>
      <c r="Y194" s="7">
        <v>3</v>
      </c>
      <c r="Z194" s="7">
        <v>1</v>
      </c>
      <c r="AA194" s="7">
        <f>INT((S194-DATE(YEAR(S194-WEEKDAY(S194-0)+4),1,4)+WEEKDAY(DATE(YEAR(S194-WEEKDAY(S194-0)+4),1,4))+6)/7)</f>
        <v>4</v>
      </c>
      <c r="AB194" s="3" t="s">
        <v>1751</v>
      </c>
      <c r="AC194" s="7">
        <v>18</v>
      </c>
      <c r="AD194" s="7">
        <v>0</v>
      </c>
      <c r="AE194" s="7">
        <v>0</v>
      </c>
      <c r="AF194" s="3" t="s">
        <v>48</v>
      </c>
      <c r="AG194" s="7">
        <v>2023</v>
      </c>
      <c r="AH194" s="3" t="s">
        <v>57</v>
      </c>
      <c r="AI194" s="3" t="s">
        <v>48</v>
      </c>
      <c r="AJ194" s="3" t="s">
        <v>48</v>
      </c>
      <c r="AK194" s="3" t="s">
        <v>813</v>
      </c>
      <c r="AL194" s="3" t="s">
        <v>59</v>
      </c>
      <c r="AM194" s="3" t="s">
        <v>60</v>
      </c>
      <c r="AN194" s="3" t="s">
        <v>61</v>
      </c>
      <c r="AO194" s="3" t="s">
        <v>62</v>
      </c>
      <c r="AP194" s="3" t="s">
        <v>69</v>
      </c>
      <c r="AQ194" s="3" t="s">
        <v>61</v>
      </c>
      <c r="AR194" s="3" t="s">
        <v>48</v>
      </c>
    </row>
    <row r="195" spans="1:44" ht="30" customHeight="1">
      <c r="A195" s="3" t="s">
        <v>44</v>
      </c>
      <c r="B195" s="3" t="s">
        <v>45</v>
      </c>
      <c r="C195" s="3" t="s">
        <v>46</v>
      </c>
      <c r="D195" s="3" t="s">
        <v>108</v>
      </c>
      <c r="E195" s="3" t="s">
        <v>48</v>
      </c>
      <c r="F195" s="3" t="s">
        <v>108</v>
      </c>
      <c r="G195" s="3" t="s">
        <v>95</v>
      </c>
      <c r="H195" s="4">
        <f>IF(DATEDIF(L195,S195,"m")&gt;12,DATEDIF(L195,S195,"y"),(DATEDIF(L195,S195,"m")/12))</f>
        <v>11</v>
      </c>
      <c r="I195" s="7">
        <f>DATEDIF(L195,S195,"M")</f>
        <v>137</v>
      </c>
      <c r="J195" s="7">
        <f>DATEDIF(L195,S195,"D")</f>
        <v>4197</v>
      </c>
      <c r="K195" s="3" t="s">
        <v>51</v>
      </c>
      <c r="L195" s="8">
        <v>40734</v>
      </c>
      <c r="M195" s="3" t="s">
        <v>45</v>
      </c>
      <c r="N195" s="3" t="s">
        <v>73</v>
      </c>
      <c r="O195" s="3" t="s">
        <v>52</v>
      </c>
      <c r="P195" s="3" t="s">
        <v>84</v>
      </c>
      <c r="Q195" s="7">
        <v>0</v>
      </c>
      <c r="R195" s="8">
        <v>44931</v>
      </c>
      <c r="S195" s="8">
        <v>44931</v>
      </c>
      <c r="T195" s="3" t="s">
        <v>54</v>
      </c>
      <c r="U195" s="3" t="s">
        <v>55</v>
      </c>
      <c r="V195" s="9"/>
      <c r="W195" s="10">
        <v>44936</v>
      </c>
      <c r="X195" s="7">
        <v>5</v>
      </c>
      <c r="Y195" s="7">
        <v>0</v>
      </c>
      <c r="Z195" s="7">
        <v>1</v>
      </c>
      <c r="AA195" s="7">
        <f>INT((S195-DATE(YEAR(S195-WEEKDAY(S195-0)+4),1,4)+WEEKDAY(DATE(YEAR(S195-WEEKDAY(S195-0)+4),1,4))+6)/7)</f>
        <v>1</v>
      </c>
      <c r="AB195" s="3" t="s">
        <v>2395</v>
      </c>
      <c r="AC195" s="7">
        <v>121</v>
      </c>
      <c r="AD195" s="7">
        <v>0</v>
      </c>
      <c r="AE195" s="7">
        <v>0</v>
      </c>
      <c r="AF195" s="3" t="s">
        <v>48</v>
      </c>
      <c r="AG195" s="7">
        <v>2023</v>
      </c>
      <c r="AH195" s="3" t="s">
        <v>112</v>
      </c>
      <c r="AI195" s="3" t="s">
        <v>113</v>
      </c>
      <c r="AJ195" s="3" t="s">
        <v>48</v>
      </c>
      <c r="AK195" s="3" t="s">
        <v>212</v>
      </c>
      <c r="AL195" s="3" t="s">
        <v>59</v>
      </c>
      <c r="AM195" s="3" t="s">
        <v>115</v>
      </c>
      <c r="AN195" s="3" t="s">
        <v>61</v>
      </c>
      <c r="AO195" s="3" t="s">
        <v>62</v>
      </c>
      <c r="AP195" s="3" t="s">
        <v>69</v>
      </c>
      <c r="AQ195" s="3" t="s">
        <v>61</v>
      </c>
      <c r="AR195" s="3" t="s">
        <v>48</v>
      </c>
    </row>
    <row r="196" spans="1:44" ht="30" customHeight="1">
      <c r="A196" s="3" t="s">
        <v>44</v>
      </c>
      <c r="B196" s="3" t="s">
        <v>45</v>
      </c>
      <c r="C196" s="3" t="s">
        <v>46</v>
      </c>
      <c r="D196" s="3" t="s">
        <v>47</v>
      </c>
      <c r="E196" s="3" t="s">
        <v>48</v>
      </c>
      <c r="F196" s="3" t="s">
        <v>49</v>
      </c>
      <c r="G196" s="3" t="s">
        <v>1792</v>
      </c>
      <c r="H196" s="4">
        <f>IF(DATEDIF(L196,S196,"m")&gt;12,DATEDIF(L196,S196,"y"),(DATEDIF(L196,S196,"m")/12))</f>
        <v>6</v>
      </c>
      <c r="I196" s="7">
        <f>DATEDIF(L196,S196,"M")</f>
        <v>75</v>
      </c>
      <c r="J196" s="7">
        <f>DATEDIF(L196,S196,"D")</f>
        <v>2298</v>
      </c>
      <c r="K196" s="3" t="s">
        <v>64</v>
      </c>
      <c r="L196" s="8">
        <v>42648</v>
      </c>
      <c r="M196" s="3" t="s">
        <v>45</v>
      </c>
      <c r="N196" s="3" t="s">
        <v>49</v>
      </c>
      <c r="O196" s="3" t="s">
        <v>52</v>
      </c>
      <c r="P196" s="3" t="s">
        <v>1793</v>
      </c>
      <c r="Q196" s="7">
        <v>0</v>
      </c>
      <c r="R196" s="8">
        <v>44948</v>
      </c>
      <c r="S196" s="8">
        <v>44946</v>
      </c>
      <c r="T196" s="3" t="s">
        <v>54</v>
      </c>
      <c r="U196" s="3" t="s">
        <v>55</v>
      </c>
      <c r="V196" s="9"/>
      <c r="W196" s="10">
        <v>44956</v>
      </c>
      <c r="X196" s="7">
        <v>8</v>
      </c>
      <c r="Y196" s="7">
        <v>2</v>
      </c>
      <c r="Z196" s="7">
        <v>1</v>
      </c>
      <c r="AA196" s="7">
        <f>INT((S196-DATE(YEAR(S196-WEEKDAY(S196-0)+4),1,4)+WEEKDAY(DATE(YEAR(S196-WEEKDAY(S196-0)+4),1,4))+6)/7)</f>
        <v>3</v>
      </c>
      <c r="AB196" s="3" t="s">
        <v>1794</v>
      </c>
      <c r="AC196" s="7">
        <v>14</v>
      </c>
      <c r="AD196" s="7">
        <v>0</v>
      </c>
      <c r="AE196" s="7">
        <v>0</v>
      </c>
      <c r="AF196" s="3" t="s">
        <v>48</v>
      </c>
      <c r="AG196" s="7">
        <v>2023</v>
      </c>
      <c r="AH196" s="3" t="s">
        <v>57</v>
      </c>
      <c r="AI196" s="3" t="s">
        <v>48</v>
      </c>
      <c r="AJ196" s="3" t="s">
        <v>48</v>
      </c>
      <c r="AK196" s="18" t="s">
        <v>220</v>
      </c>
      <c r="AL196" s="3" t="s">
        <v>59</v>
      </c>
      <c r="AM196" s="3" t="s">
        <v>60</v>
      </c>
      <c r="AN196" s="3" t="s">
        <v>61</v>
      </c>
      <c r="AO196" s="3" t="s">
        <v>62</v>
      </c>
      <c r="AP196" s="3" t="s">
        <v>69</v>
      </c>
      <c r="AQ196" s="3" t="s">
        <v>61</v>
      </c>
      <c r="AR196" s="3" t="s">
        <v>48</v>
      </c>
    </row>
    <row r="197" spans="1:44" ht="30" customHeight="1">
      <c r="A197" s="3" t="s">
        <v>44</v>
      </c>
      <c r="B197" s="3" t="s">
        <v>45</v>
      </c>
      <c r="C197" s="3" t="s">
        <v>46</v>
      </c>
      <c r="D197" s="3" t="s">
        <v>70</v>
      </c>
      <c r="E197" s="3" t="s">
        <v>48</v>
      </c>
      <c r="F197" s="3" t="s">
        <v>71</v>
      </c>
      <c r="G197" s="3" t="s">
        <v>1807</v>
      </c>
      <c r="H197" s="4">
        <f>IF(DATEDIF(L197,S197,"m")&gt;12,DATEDIF(L197,S197,"y"),(DATEDIF(L197,S197,"m")/12))</f>
        <v>11</v>
      </c>
      <c r="I197" s="7">
        <f>DATEDIF(L197,S197,"M")</f>
        <v>142</v>
      </c>
      <c r="J197" s="7">
        <f>DATEDIF(L197,S197,"D")</f>
        <v>4339</v>
      </c>
      <c r="K197" s="3" t="s">
        <v>64</v>
      </c>
      <c r="L197" s="8">
        <v>40614</v>
      </c>
      <c r="M197" s="3" t="s">
        <v>45</v>
      </c>
      <c r="N197" s="3" t="s">
        <v>329</v>
      </c>
      <c r="O197" s="3" t="s">
        <v>52</v>
      </c>
      <c r="P197" s="3" t="s">
        <v>790</v>
      </c>
      <c r="Q197" s="7">
        <v>1</v>
      </c>
      <c r="R197" s="8">
        <v>44954</v>
      </c>
      <c r="S197" s="8">
        <v>44953</v>
      </c>
      <c r="T197" s="3" t="s">
        <v>54</v>
      </c>
      <c r="U197" s="3" t="s">
        <v>55</v>
      </c>
      <c r="V197" s="9"/>
      <c r="W197" s="10">
        <v>44956</v>
      </c>
      <c r="X197" s="7">
        <v>2</v>
      </c>
      <c r="Y197" s="7">
        <v>1</v>
      </c>
      <c r="Z197" s="7">
        <v>1</v>
      </c>
      <c r="AA197" s="7">
        <f>INT((S197-DATE(YEAR(S197-WEEKDAY(S197-0)+4),1,4)+WEEKDAY(DATE(YEAR(S197-WEEKDAY(S197-0)+4),1,4))+6)/7)</f>
        <v>4</v>
      </c>
      <c r="AB197" s="3" t="s">
        <v>1808</v>
      </c>
      <c r="AC197" s="7">
        <v>648</v>
      </c>
      <c r="AD197" s="7">
        <v>0</v>
      </c>
      <c r="AE197" s="7">
        <v>1</v>
      </c>
      <c r="AF197" s="3" t="s">
        <v>48</v>
      </c>
      <c r="AG197" s="7">
        <v>2023</v>
      </c>
      <c r="AH197" s="3" t="s">
        <v>76</v>
      </c>
      <c r="AI197" s="3" t="s">
        <v>166</v>
      </c>
      <c r="AJ197" s="3" t="s">
        <v>78</v>
      </c>
      <c r="AK197" s="3" t="s">
        <v>547</v>
      </c>
      <c r="AL197" s="3" t="s">
        <v>59</v>
      </c>
      <c r="AM197" s="3" t="s">
        <v>60</v>
      </c>
      <c r="AN197" s="3" t="s">
        <v>61</v>
      </c>
      <c r="AO197" s="3" t="s">
        <v>62</v>
      </c>
      <c r="AP197" s="3" t="s">
        <v>69</v>
      </c>
      <c r="AQ197" s="3" t="s">
        <v>61</v>
      </c>
      <c r="AR197" s="3" t="s">
        <v>48</v>
      </c>
    </row>
    <row r="198" spans="1:44" ht="30" customHeight="1">
      <c r="A198" s="3" t="s">
        <v>44</v>
      </c>
      <c r="B198" s="3" t="s">
        <v>45</v>
      </c>
      <c r="C198" s="3" t="s">
        <v>46</v>
      </c>
      <c r="D198" s="3" t="s">
        <v>47</v>
      </c>
      <c r="E198" s="3" t="s">
        <v>48</v>
      </c>
      <c r="F198" s="3" t="s">
        <v>49</v>
      </c>
      <c r="G198" s="3" t="s">
        <v>1835</v>
      </c>
      <c r="H198" s="5">
        <f>IF(DATEDIF(L198,S198,"m")&gt;12,DATEDIF(L198,S198,"y"),(DATEDIF(L198,S198,"m")/12))</f>
        <v>0.5</v>
      </c>
      <c r="I198" s="7">
        <f>DATEDIF(L198,S198,"M")</f>
        <v>6</v>
      </c>
      <c r="J198" s="7">
        <f>DATEDIF(L198,S198,"D")</f>
        <v>202</v>
      </c>
      <c r="K198" s="3" t="s">
        <v>51</v>
      </c>
      <c r="L198" s="8">
        <v>44743</v>
      </c>
      <c r="M198" s="3" t="s">
        <v>45</v>
      </c>
      <c r="N198" s="3" t="s">
        <v>65</v>
      </c>
      <c r="O198" s="3" t="s">
        <v>52</v>
      </c>
      <c r="P198" s="3" t="s">
        <v>84</v>
      </c>
      <c r="Q198" s="7">
        <v>0</v>
      </c>
      <c r="R198" s="8">
        <v>44949</v>
      </c>
      <c r="S198" s="8">
        <v>44945</v>
      </c>
      <c r="T198" s="3" t="s">
        <v>54</v>
      </c>
      <c r="U198" s="3" t="s">
        <v>55</v>
      </c>
      <c r="V198" s="9"/>
      <c r="W198" s="10">
        <v>44956</v>
      </c>
      <c r="X198" s="7">
        <v>7</v>
      </c>
      <c r="Y198" s="7">
        <v>4</v>
      </c>
      <c r="Z198" s="7">
        <v>1</v>
      </c>
      <c r="AA198" s="7">
        <f>INT((S198-DATE(YEAR(S198-WEEKDAY(S198-0)+4),1,4)+WEEKDAY(DATE(YEAR(S198-WEEKDAY(S198-0)+4),1,4))+6)/7)</f>
        <v>3</v>
      </c>
      <c r="AB198" s="3" t="s">
        <v>1836</v>
      </c>
      <c r="AC198" s="7">
        <v>15</v>
      </c>
      <c r="AD198" s="7">
        <v>0</v>
      </c>
      <c r="AE198" s="7">
        <v>0</v>
      </c>
      <c r="AF198" s="3" t="s">
        <v>48</v>
      </c>
      <c r="AG198" s="7">
        <v>2023</v>
      </c>
      <c r="AH198" s="3" t="s">
        <v>57</v>
      </c>
      <c r="AI198" s="3" t="s">
        <v>48</v>
      </c>
      <c r="AJ198" s="3" t="s">
        <v>48</v>
      </c>
      <c r="AK198" s="18" t="s">
        <v>152</v>
      </c>
      <c r="AL198" s="3" t="s">
        <v>59</v>
      </c>
      <c r="AM198" s="3" t="s">
        <v>60</v>
      </c>
      <c r="AN198" s="3" t="s">
        <v>61</v>
      </c>
      <c r="AO198" s="3" t="s">
        <v>62</v>
      </c>
      <c r="AP198" s="3" t="s">
        <v>69</v>
      </c>
      <c r="AQ198" s="3" t="s">
        <v>61</v>
      </c>
      <c r="AR198" s="3" t="s">
        <v>48</v>
      </c>
    </row>
    <row r="199" spans="1:44" ht="30" customHeight="1">
      <c r="A199" s="3" t="s">
        <v>44</v>
      </c>
      <c r="B199" s="3" t="s">
        <v>45</v>
      </c>
      <c r="C199" s="3" t="s">
        <v>46</v>
      </c>
      <c r="D199" s="3" t="s">
        <v>47</v>
      </c>
      <c r="E199" s="3" t="s">
        <v>48</v>
      </c>
      <c r="F199" s="3" t="s">
        <v>49</v>
      </c>
      <c r="G199" s="3" t="s">
        <v>2107</v>
      </c>
      <c r="H199" s="4">
        <v>10</v>
      </c>
      <c r="I199" s="7">
        <v>0</v>
      </c>
      <c r="J199" s="7">
        <v>0</v>
      </c>
      <c r="K199" s="3" t="s">
        <v>51</v>
      </c>
      <c r="L199" s="22"/>
      <c r="M199" s="3" t="s">
        <v>45</v>
      </c>
      <c r="N199" s="3" t="s">
        <v>49</v>
      </c>
      <c r="O199" s="3" t="s">
        <v>52</v>
      </c>
      <c r="P199" s="3" t="s">
        <v>91</v>
      </c>
      <c r="Q199" s="7">
        <v>0</v>
      </c>
      <c r="R199" s="8">
        <v>44953</v>
      </c>
      <c r="S199" s="8">
        <v>44948</v>
      </c>
      <c r="T199" s="3" t="s">
        <v>54</v>
      </c>
      <c r="U199" s="3" t="s">
        <v>55</v>
      </c>
      <c r="V199" s="9"/>
      <c r="W199" s="10">
        <v>44956</v>
      </c>
      <c r="X199" s="7">
        <v>3</v>
      </c>
      <c r="Y199" s="7">
        <v>5</v>
      </c>
      <c r="Z199" s="7">
        <v>1</v>
      </c>
      <c r="AA199" s="7">
        <f>INT((S199-DATE(YEAR(S199-WEEKDAY(S199-0)+4),1,4)+WEEKDAY(DATE(YEAR(S199-WEEKDAY(S199-0)+4),1,4))+6)/7)</f>
        <v>4</v>
      </c>
      <c r="AB199" s="3" t="s">
        <v>2108</v>
      </c>
      <c r="AC199" s="7">
        <v>19</v>
      </c>
      <c r="AD199" s="7">
        <v>0</v>
      </c>
      <c r="AE199" s="7">
        <v>0</v>
      </c>
      <c r="AF199" s="3" t="s">
        <v>48</v>
      </c>
      <c r="AG199" s="7">
        <v>2023</v>
      </c>
      <c r="AH199" s="3" t="s">
        <v>57</v>
      </c>
      <c r="AI199" s="3" t="s">
        <v>48</v>
      </c>
      <c r="AJ199" s="3" t="s">
        <v>48</v>
      </c>
      <c r="AK199" s="18" t="s">
        <v>779</v>
      </c>
      <c r="AL199" s="3" t="s">
        <v>59</v>
      </c>
      <c r="AM199" s="3" t="s">
        <v>60</v>
      </c>
      <c r="AN199" s="3" t="s">
        <v>61</v>
      </c>
      <c r="AO199" s="3" t="s">
        <v>62</v>
      </c>
      <c r="AP199" s="3" t="s">
        <v>69</v>
      </c>
      <c r="AQ199" s="3" t="s">
        <v>61</v>
      </c>
      <c r="AR199" s="3" t="s">
        <v>48</v>
      </c>
    </row>
    <row r="200" spans="1:44" ht="30" customHeight="1">
      <c r="A200" s="3" t="s">
        <v>44</v>
      </c>
      <c r="B200" s="3" t="s">
        <v>45</v>
      </c>
      <c r="C200" s="3" t="s">
        <v>46</v>
      </c>
      <c r="D200" s="3" t="s">
        <v>108</v>
      </c>
      <c r="E200" s="3" t="s">
        <v>48</v>
      </c>
      <c r="F200" s="3" t="s">
        <v>108</v>
      </c>
      <c r="G200" s="3" t="s">
        <v>1628</v>
      </c>
      <c r="H200" s="4">
        <f>IF(DATEDIF(L200,S200,"m")&gt;12,DATEDIF(L200,S200,"y"),(DATEDIF(L200,S200,"m")/12))</f>
        <v>3</v>
      </c>
      <c r="I200" s="7">
        <f>DATEDIF(L200,S200,"M")</f>
        <v>39</v>
      </c>
      <c r="J200" s="7">
        <f>DATEDIF(L200,S200,"D")</f>
        <v>1212</v>
      </c>
      <c r="K200" s="3" t="s">
        <v>64</v>
      </c>
      <c r="L200" s="8">
        <v>43728</v>
      </c>
      <c r="M200" s="3" t="s">
        <v>45</v>
      </c>
      <c r="N200" s="3" t="s">
        <v>73</v>
      </c>
      <c r="O200" s="3" t="s">
        <v>52</v>
      </c>
      <c r="P200" s="3" t="s">
        <v>1629</v>
      </c>
      <c r="Q200" s="7">
        <v>0</v>
      </c>
      <c r="R200" s="8">
        <v>44942</v>
      </c>
      <c r="S200" s="8">
        <v>44940</v>
      </c>
      <c r="T200" s="3" t="s">
        <v>54</v>
      </c>
      <c r="U200" s="3" t="s">
        <v>55</v>
      </c>
      <c r="V200" s="9"/>
      <c r="W200" s="10">
        <v>44949</v>
      </c>
      <c r="X200" s="7">
        <v>7</v>
      </c>
      <c r="Y200" s="7">
        <v>2</v>
      </c>
      <c r="Z200" s="7">
        <v>1</v>
      </c>
      <c r="AA200" s="7">
        <f>INT((S200-DATE(YEAR(S200-WEEKDAY(S200-0)+4),1,4)+WEEKDAY(DATE(YEAR(S200-WEEKDAY(S200-0)+4),1,4))+6)/7)</f>
        <v>2</v>
      </c>
      <c r="AB200" s="3" t="s">
        <v>1630</v>
      </c>
      <c r="AC200" s="7">
        <v>141</v>
      </c>
      <c r="AD200" s="7">
        <v>0</v>
      </c>
      <c r="AE200" s="7">
        <v>0</v>
      </c>
      <c r="AF200" s="3" t="s">
        <v>48</v>
      </c>
      <c r="AG200" s="7">
        <v>2023</v>
      </c>
      <c r="AH200" s="3" t="s">
        <v>112</v>
      </c>
      <c r="AI200" s="3" t="s">
        <v>113</v>
      </c>
      <c r="AJ200" s="3" t="s">
        <v>48</v>
      </c>
      <c r="AK200" s="3" t="s">
        <v>212</v>
      </c>
      <c r="AL200" s="3" t="s">
        <v>59</v>
      </c>
      <c r="AM200" s="3" t="s">
        <v>115</v>
      </c>
      <c r="AN200" s="3" t="s">
        <v>61</v>
      </c>
      <c r="AO200" s="3" t="s">
        <v>62</v>
      </c>
      <c r="AP200" s="3" t="s">
        <v>69</v>
      </c>
      <c r="AQ200" s="3" t="s">
        <v>61</v>
      </c>
      <c r="AR200" s="3" t="s">
        <v>48</v>
      </c>
    </row>
    <row r="201" spans="1:44" ht="30" customHeight="1">
      <c r="A201" s="3" t="s">
        <v>44</v>
      </c>
      <c r="B201" s="3" t="s">
        <v>45</v>
      </c>
      <c r="C201" s="3" t="s">
        <v>46</v>
      </c>
      <c r="D201" s="3" t="s">
        <v>47</v>
      </c>
      <c r="E201" s="3" t="s">
        <v>48</v>
      </c>
      <c r="F201" s="3" t="s">
        <v>49</v>
      </c>
      <c r="G201" s="3" t="s">
        <v>2340</v>
      </c>
      <c r="H201" s="4">
        <f>IF(DATEDIF(L201,S201,"m")&gt;12,DATEDIF(L201,S201,"y"),(DATEDIF(L201,S201,"m")/12))</f>
        <v>1</v>
      </c>
      <c r="I201" s="7">
        <f>DATEDIF(L201,S201,"M")</f>
        <v>18</v>
      </c>
      <c r="J201" s="7">
        <f>DATEDIF(L201,S201,"D")</f>
        <v>556</v>
      </c>
      <c r="K201" s="3" t="s">
        <v>64</v>
      </c>
      <c r="L201" s="8">
        <v>44389</v>
      </c>
      <c r="M201" s="3" t="s">
        <v>45</v>
      </c>
      <c r="N201" s="3" t="s">
        <v>49</v>
      </c>
      <c r="O201" s="3" t="s">
        <v>52</v>
      </c>
      <c r="P201" s="3" t="s">
        <v>2341</v>
      </c>
      <c r="Q201" s="7">
        <v>1</v>
      </c>
      <c r="R201" s="8">
        <v>44948</v>
      </c>
      <c r="S201" s="8">
        <v>44945</v>
      </c>
      <c r="T201" s="3" t="s">
        <v>54</v>
      </c>
      <c r="U201" s="3" t="s">
        <v>55</v>
      </c>
      <c r="V201" s="9"/>
      <c r="W201" s="10">
        <v>44956</v>
      </c>
      <c r="X201" s="7">
        <v>8</v>
      </c>
      <c r="Y201" s="7">
        <v>3</v>
      </c>
      <c r="Z201" s="7">
        <v>1</v>
      </c>
      <c r="AA201" s="7">
        <f>INT((S201-DATE(YEAR(S201-WEEKDAY(S201-0)+4),1,4)+WEEKDAY(DATE(YEAR(S201-WEEKDAY(S201-0)+4),1,4))+6)/7)</f>
        <v>3</v>
      </c>
      <c r="AB201" s="3" t="s">
        <v>2342</v>
      </c>
      <c r="AC201" s="7">
        <v>16</v>
      </c>
      <c r="AD201" s="7">
        <v>0</v>
      </c>
      <c r="AE201" s="7">
        <v>0</v>
      </c>
      <c r="AF201" s="3" t="s">
        <v>48</v>
      </c>
      <c r="AG201" s="7">
        <v>2023</v>
      </c>
      <c r="AH201" s="3" t="s">
        <v>57</v>
      </c>
      <c r="AI201" s="3" t="s">
        <v>48</v>
      </c>
      <c r="AJ201" s="3" t="s">
        <v>48</v>
      </c>
      <c r="AK201" s="3" t="s">
        <v>362</v>
      </c>
      <c r="AL201" s="3" t="s">
        <v>59</v>
      </c>
      <c r="AM201" s="3" t="s">
        <v>60</v>
      </c>
      <c r="AN201" s="3" t="s">
        <v>61</v>
      </c>
      <c r="AO201" s="3" t="s">
        <v>62</v>
      </c>
      <c r="AP201" s="3" t="s">
        <v>69</v>
      </c>
      <c r="AQ201" s="3" t="s">
        <v>61</v>
      </c>
      <c r="AR201" s="3" t="s">
        <v>48</v>
      </c>
    </row>
    <row r="202" spans="1:44" ht="30" customHeight="1">
      <c r="A202" s="3" t="s">
        <v>44</v>
      </c>
      <c r="B202" s="3" t="s">
        <v>45</v>
      </c>
      <c r="C202" s="3" t="s">
        <v>46</v>
      </c>
      <c r="D202" s="3" t="s">
        <v>186</v>
      </c>
      <c r="E202" s="3" t="s">
        <v>48</v>
      </c>
      <c r="F202" s="3" t="s">
        <v>271</v>
      </c>
      <c r="G202" s="3" t="s">
        <v>2423</v>
      </c>
      <c r="H202" s="4">
        <f>IF(DATEDIF(L202,S202,"m")&gt;12,DATEDIF(L202,S202,"y"),(DATEDIF(L202,S202,"m")/12))</f>
        <v>1</v>
      </c>
      <c r="I202" s="7">
        <f>DATEDIF(L202,S202,"M")</f>
        <v>17</v>
      </c>
      <c r="J202" s="7">
        <f>DATEDIF(L202,S202,"D")</f>
        <v>529</v>
      </c>
      <c r="K202" s="3" t="s">
        <v>51</v>
      </c>
      <c r="L202" s="8">
        <v>44414</v>
      </c>
      <c r="M202" s="3" t="s">
        <v>45</v>
      </c>
      <c r="N202" s="3" t="s">
        <v>187</v>
      </c>
      <c r="O202" s="3" t="s">
        <v>52</v>
      </c>
      <c r="P202" s="3" t="s">
        <v>648</v>
      </c>
      <c r="Q202" s="7">
        <v>0</v>
      </c>
      <c r="R202" s="8">
        <v>44948</v>
      </c>
      <c r="S202" s="8">
        <v>44943</v>
      </c>
      <c r="T202" s="3" t="s">
        <v>54</v>
      </c>
      <c r="U202" s="3" t="s">
        <v>55</v>
      </c>
      <c r="V202" s="9"/>
      <c r="W202" s="10">
        <v>44956</v>
      </c>
      <c r="X202" s="7">
        <v>8</v>
      </c>
      <c r="Y202" s="7">
        <v>5</v>
      </c>
      <c r="Z202" s="7">
        <v>1</v>
      </c>
      <c r="AA202" s="7">
        <f>INT((S202-DATE(YEAR(S202-WEEKDAY(S202-0)+4),1,4)+WEEKDAY(DATE(YEAR(S202-WEEKDAY(S202-0)+4),1,4))+6)/7)</f>
        <v>3</v>
      </c>
      <c r="AB202" s="3" t="s">
        <v>2424</v>
      </c>
      <c r="AC202" s="7">
        <v>94</v>
      </c>
      <c r="AD202" s="7">
        <v>0</v>
      </c>
      <c r="AE202" s="7">
        <v>0</v>
      </c>
      <c r="AF202" s="3" t="s">
        <v>48</v>
      </c>
      <c r="AG202" s="7">
        <v>2023</v>
      </c>
      <c r="AH202" s="3" t="s">
        <v>276</v>
      </c>
      <c r="AI202" s="3" t="s">
        <v>191</v>
      </c>
      <c r="AJ202" s="3" t="s">
        <v>186</v>
      </c>
      <c r="AK202" s="3" t="s">
        <v>260</v>
      </c>
      <c r="AL202" s="3" t="s">
        <v>59</v>
      </c>
      <c r="AM202" s="3" t="s">
        <v>60</v>
      </c>
      <c r="AN202" s="3" t="s">
        <v>61</v>
      </c>
      <c r="AO202" s="3" t="s">
        <v>62</v>
      </c>
      <c r="AP202" s="3" t="s">
        <v>69</v>
      </c>
      <c r="AQ202" s="3" t="s">
        <v>61</v>
      </c>
      <c r="AR202" s="3" t="s">
        <v>48</v>
      </c>
    </row>
    <row r="203" spans="1:44" ht="30" customHeight="1">
      <c r="A203" s="3" t="s">
        <v>44</v>
      </c>
      <c r="B203" s="3" t="s">
        <v>45</v>
      </c>
      <c r="C203" s="3" t="s">
        <v>46</v>
      </c>
      <c r="D203" s="3" t="s">
        <v>108</v>
      </c>
      <c r="E203" s="3" t="s">
        <v>48</v>
      </c>
      <c r="F203" s="3" t="s">
        <v>108</v>
      </c>
      <c r="G203" s="3" t="s">
        <v>961</v>
      </c>
      <c r="H203" s="4">
        <f>IF(DATEDIF(L203,S203,"m")&gt;12,DATEDIF(L203,S203,"y"),(DATEDIF(L203,S203,"m")/12))</f>
        <v>10</v>
      </c>
      <c r="I203" s="7">
        <f>DATEDIF(L203,S203,"M")</f>
        <v>124</v>
      </c>
      <c r="J203" s="7">
        <f>DATEDIF(L203,S203,"D")</f>
        <v>3786</v>
      </c>
      <c r="K203" s="3" t="s">
        <v>51</v>
      </c>
      <c r="L203" s="8">
        <v>41157</v>
      </c>
      <c r="M203" s="3" t="s">
        <v>45</v>
      </c>
      <c r="N203" s="3" t="s">
        <v>73</v>
      </c>
      <c r="O203" s="3" t="s">
        <v>52</v>
      </c>
      <c r="P203" s="3" t="s">
        <v>962</v>
      </c>
      <c r="Q203" s="7">
        <v>0</v>
      </c>
      <c r="R203" s="8">
        <v>44944</v>
      </c>
      <c r="S203" s="8">
        <v>44943</v>
      </c>
      <c r="T203" s="3" t="s">
        <v>54</v>
      </c>
      <c r="U203" s="3" t="s">
        <v>55</v>
      </c>
      <c r="V203" s="9"/>
      <c r="W203" s="10">
        <v>44950</v>
      </c>
      <c r="X203" s="7">
        <v>6</v>
      </c>
      <c r="Y203" s="7">
        <v>1</v>
      </c>
      <c r="Z203" s="7">
        <v>1</v>
      </c>
      <c r="AA203" s="7">
        <f>INT((S203-DATE(YEAR(S203-WEEKDAY(S203-0)+4),1,4)+WEEKDAY(DATE(YEAR(S203-WEEKDAY(S203-0)+4),1,4))+6)/7)</f>
        <v>3</v>
      </c>
      <c r="AB203" s="3" t="s">
        <v>963</v>
      </c>
      <c r="AC203" s="7">
        <v>159</v>
      </c>
      <c r="AD203" s="7">
        <v>0</v>
      </c>
      <c r="AE203" s="7">
        <v>0</v>
      </c>
      <c r="AF203" s="3" t="s">
        <v>48</v>
      </c>
      <c r="AG203" s="7">
        <v>2023</v>
      </c>
      <c r="AH203" s="3" t="s">
        <v>286</v>
      </c>
      <c r="AI203" s="3" t="s">
        <v>113</v>
      </c>
      <c r="AJ203" s="3" t="s">
        <v>48</v>
      </c>
      <c r="AK203" s="26" t="s">
        <v>212</v>
      </c>
      <c r="AL203" s="3" t="s">
        <v>59</v>
      </c>
      <c r="AM203" s="3" t="s">
        <v>115</v>
      </c>
      <c r="AN203" s="3" t="s">
        <v>61</v>
      </c>
      <c r="AO203" s="3" t="s">
        <v>62</v>
      </c>
      <c r="AP203" s="3" t="s">
        <v>69</v>
      </c>
      <c r="AQ203" s="3" t="s">
        <v>61</v>
      </c>
      <c r="AR203" s="3" t="s">
        <v>48</v>
      </c>
    </row>
    <row r="204" spans="1:44" ht="30" customHeight="1">
      <c r="A204" s="3" t="s">
        <v>44</v>
      </c>
      <c r="B204" s="3" t="s">
        <v>45</v>
      </c>
      <c r="C204" s="3" t="s">
        <v>46</v>
      </c>
      <c r="D204" s="3" t="s">
        <v>100</v>
      </c>
      <c r="E204" s="3" t="s">
        <v>48</v>
      </c>
      <c r="F204" s="3" t="s">
        <v>101</v>
      </c>
      <c r="G204" s="3" t="s">
        <v>297</v>
      </c>
      <c r="H204" s="4">
        <f>IF(DATEDIF(L204,S204,"m")&gt;12,DATEDIF(L204,S204,"y"),(DATEDIF(L204,S204,"m")/12))</f>
        <v>1</v>
      </c>
      <c r="I204" s="7">
        <f>DATEDIF(L204,S204,"M")</f>
        <v>20</v>
      </c>
      <c r="J204" s="7">
        <f>DATEDIF(L204,S204,"D")</f>
        <v>615</v>
      </c>
      <c r="K204" s="3" t="s">
        <v>51</v>
      </c>
      <c r="L204" s="8">
        <v>44313</v>
      </c>
      <c r="M204" s="3" t="s">
        <v>45</v>
      </c>
      <c r="N204" s="3" t="s">
        <v>65</v>
      </c>
      <c r="O204" s="3" t="s">
        <v>52</v>
      </c>
      <c r="P204" s="3" t="s">
        <v>298</v>
      </c>
      <c r="Q204" s="7">
        <v>0</v>
      </c>
      <c r="R204" s="8">
        <v>44942</v>
      </c>
      <c r="S204" s="8">
        <v>44928</v>
      </c>
      <c r="T204" s="3" t="s">
        <v>54</v>
      </c>
      <c r="U204" s="3" t="s">
        <v>55</v>
      </c>
      <c r="V204" s="9"/>
      <c r="W204" s="10">
        <v>44957</v>
      </c>
      <c r="X204" s="7">
        <v>15</v>
      </c>
      <c r="Y204" s="7">
        <v>14</v>
      </c>
      <c r="Z204" s="7">
        <v>1</v>
      </c>
      <c r="AA204" s="7">
        <f>INT((S204-DATE(YEAR(S204-WEEKDAY(S204-0)+4),1,4)+WEEKDAY(DATE(YEAR(S204-WEEKDAY(S204-0)+4),1,4))+6)/7)</f>
        <v>1</v>
      </c>
      <c r="AB204" s="3" t="s">
        <v>299</v>
      </c>
      <c r="AC204" s="7">
        <v>109</v>
      </c>
      <c r="AD204" s="7">
        <v>0</v>
      </c>
      <c r="AE204" s="7">
        <v>0</v>
      </c>
      <c r="AF204" s="3" t="s">
        <v>48</v>
      </c>
      <c r="AG204" s="7">
        <v>2023</v>
      </c>
      <c r="AH204" s="3" t="s">
        <v>105</v>
      </c>
      <c r="AI204" s="3" t="s">
        <v>106</v>
      </c>
      <c r="AJ204" s="3" t="s">
        <v>252</v>
      </c>
      <c r="AK204" s="3" t="s">
        <v>300</v>
      </c>
      <c r="AL204" s="3" t="s">
        <v>59</v>
      </c>
      <c r="AM204" s="3" t="s">
        <v>99</v>
      </c>
      <c r="AN204" s="3" t="s">
        <v>61</v>
      </c>
      <c r="AO204" s="3" t="s">
        <v>62</v>
      </c>
      <c r="AP204" s="3" t="s">
        <v>69</v>
      </c>
      <c r="AQ204" s="3" t="s">
        <v>61</v>
      </c>
      <c r="AR204" s="3" t="s">
        <v>48</v>
      </c>
    </row>
    <row r="205" spans="1:44" ht="30" customHeight="1">
      <c r="A205" s="3" t="s">
        <v>44</v>
      </c>
      <c r="B205" s="3" t="s">
        <v>45</v>
      </c>
      <c r="C205" s="3" t="s">
        <v>46</v>
      </c>
      <c r="D205" s="3" t="s">
        <v>47</v>
      </c>
      <c r="E205" s="3" t="s">
        <v>48</v>
      </c>
      <c r="F205" s="3" t="s">
        <v>49</v>
      </c>
      <c r="G205" s="3" t="s">
        <v>210</v>
      </c>
      <c r="H205" s="4">
        <f>IF(DATEDIF(L205,S205,"m")&gt;12,DATEDIF(L205,S205,"y"),(DATEDIF(L205,S205,"m")/12))</f>
        <v>3</v>
      </c>
      <c r="I205" s="7">
        <f>DATEDIF(L205,S205,"M")</f>
        <v>43</v>
      </c>
      <c r="J205" s="7">
        <f>DATEDIF(L205,S205,"D")</f>
        <v>1329</v>
      </c>
      <c r="K205" s="3" t="s">
        <v>51</v>
      </c>
      <c r="L205" s="8">
        <v>43619</v>
      </c>
      <c r="M205" s="3" t="s">
        <v>45</v>
      </c>
      <c r="N205" s="3" t="s">
        <v>73</v>
      </c>
      <c r="O205" s="3" t="s">
        <v>52</v>
      </c>
      <c r="P205" s="3" t="s">
        <v>91</v>
      </c>
      <c r="Q205" s="7">
        <v>0</v>
      </c>
      <c r="R205" s="8">
        <v>44952</v>
      </c>
      <c r="S205" s="8">
        <v>44948</v>
      </c>
      <c r="T205" s="3" t="s">
        <v>54</v>
      </c>
      <c r="U205" s="3" t="s">
        <v>55</v>
      </c>
      <c r="V205" s="9"/>
      <c r="W205" s="10">
        <v>44956</v>
      </c>
      <c r="X205" s="7">
        <v>4</v>
      </c>
      <c r="Y205" s="7">
        <v>4</v>
      </c>
      <c r="Z205" s="7">
        <v>1</v>
      </c>
      <c r="AA205" s="7">
        <f>INT((S205-DATE(YEAR(S205-WEEKDAY(S205-0)+4),1,4)+WEEKDAY(DATE(YEAR(S205-WEEKDAY(S205-0)+4),1,4))+6)/7)</f>
        <v>4</v>
      </c>
      <c r="AB205" s="3" t="s">
        <v>211</v>
      </c>
      <c r="AC205" s="7">
        <v>17</v>
      </c>
      <c r="AD205" s="7">
        <v>0</v>
      </c>
      <c r="AE205" s="7">
        <v>0</v>
      </c>
      <c r="AF205" s="3" t="s">
        <v>48</v>
      </c>
      <c r="AG205" s="7">
        <v>2023</v>
      </c>
      <c r="AH205" s="3" t="s">
        <v>57</v>
      </c>
      <c r="AI205" s="3" t="s">
        <v>48</v>
      </c>
      <c r="AJ205" s="3" t="s">
        <v>48</v>
      </c>
      <c r="AK205" s="3" t="s">
        <v>212</v>
      </c>
      <c r="AL205" s="3" t="s">
        <v>59</v>
      </c>
      <c r="AM205" s="3" t="s">
        <v>60</v>
      </c>
      <c r="AN205" s="3" t="s">
        <v>61</v>
      </c>
      <c r="AO205" s="3" t="s">
        <v>62</v>
      </c>
      <c r="AP205" s="3" t="s">
        <v>69</v>
      </c>
      <c r="AQ205" s="3" t="s">
        <v>61</v>
      </c>
      <c r="AR205" s="3" t="s">
        <v>48</v>
      </c>
    </row>
    <row r="206" spans="1:44" ht="30" customHeight="1">
      <c r="A206" s="3" t="s">
        <v>44</v>
      </c>
      <c r="B206" s="3" t="s">
        <v>45</v>
      </c>
      <c r="C206" s="3" t="s">
        <v>46</v>
      </c>
      <c r="D206" s="3" t="s">
        <v>108</v>
      </c>
      <c r="E206" s="3" t="s">
        <v>48</v>
      </c>
      <c r="F206" s="3" t="s">
        <v>108</v>
      </c>
      <c r="G206" s="3" t="s">
        <v>1469</v>
      </c>
      <c r="H206" s="4">
        <f>IF(DATEDIF(L206,S206,"m")&gt;12,DATEDIF(L206,S206,"y"),(DATEDIF(L206,S206,"m")/12))</f>
        <v>6</v>
      </c>
      <c r="I206" s="7">
        <f>DATEDIF(L206,S206,"M")</f>
        <v>75</v>
      </c>
      <c r="J206" s="7">
        <f>DATEDIF(L206,S206,"D")</f>
        <v>2292</v>
      </c>
      <c r="K206" s="3" t="s">
        <v>64</v>
      </c>
      <c r="L206" s="8">
        <v>42659</v>
      </c>
      <c r="M206" s="3" t="s">
        <v>45</v>
      </c>
      <c r="N206" s="3" t="s">
        <v>73</v>
      </c>
      <c r="O206" s="3" t="s">
        <v>52</v>
      </c>
      <c r="P206" s="3" t="s">
        <v>237</v>
      </c>
      <c r="Q206" s="7">
        <v>0</v>
      </c>
      <c r="R206" s="8">
        <v>44953</v>
      </c>
      <c r="S206" s="8">
        <v>44951</v>
      </c>
      <c r="T206" s="3" t="s">
        <v>54</v>
      </c>
      <c r="U206" s="3" t="s">
        <v>55</v>
      </c>
      <c r="V206" s="9"/>
      <c r="W206" s="10">
        <v>44957</v>
      </c>
      <c r="X206" s="7">
        <v>4</v>
      </c>
      <c r="Y206" s="7">
        <v>2</v>
      </c>
      <c r="Z206" s="7">
        <v>1</v>
      </c>
      <c r="AA206" s="7">
        <f>INT((S206-DATE(YEAR(S206-WEEKDAY(S206-0)+4),1,4)+WEEKDAY(DATE(YEAR(S206-WEEKDAY(S206-0)+4),1,4))+6)/7)</f>
        <v>4</v>
      </c>
      <c r="AB206" s="3" t="s">
        <v>1470</v>
      </c>
      <c r="AC206" s="7">
        <v>179</v>
      </c>
      <c r="AD206" s="7">
        <v>0</v>
      </c>
      <c r="AE206" s="7">
        <v>0</v>
      </c>
      <c r="AF206" s="3" t="s">
        <v>48</v>
      </c>
      <c r="AG206" s="7">
        <v>2023</v>
      </c>
      <c r="AH206" s="3" t="s">
        <v>112</v>
      </c>
      <c r="AI206" s="3" t="s">
        <v>113</v>
      </c>
      <c r="AJ206" s="3" t="s">
        <v>48</v>
      </c>
      <c r="AK206" s="3" t="s">
        <v>212</v>
      </c>
      <c r="AL206" s="3" t="s">
        <v>59</v>
      </c>
      <c r="AM206" s="3" t="s">
        <v>115</v>
      </c>
      <c r="AN206" s="3" t="s">
        <v>61</v>
      </c>
      <c r="AO206" s="3" t="s">
        <v>62</v>
      </c>
      <c r="AP206" s="3" t="s">
        <v>69</v>
      </c>
      <c r="AQ206" s="3" t="s">
        <v>61</v>
      </c>
      <c r="AR206" s="3" t="s">
        <v>48</v>
      </c>
    </row>
    <row r="207" spans="1:44" ht="30" customHeight="1">
      <c r="A207" s="3" t="s">
        <v>44</v>
      </c>
      <c r="B207" s="3" t="s">
        <v>45</v>
      </c>
      <c r="C207" s="3" t="s">
        <v>46</v>
      </c>
      <c r="D207" s="3" t="s">
        <v>100</v>
      </c>
      <c r="E207" s="3" t="s">
        <v>48</v>
      </c>
      <c r="F207" s="3" t="s">
        <v>101</v>
      </c>
      <c r="G207" s="3" t="s">
        <v>525</v>
      </c>
      <c r="H207" s="5">
        <f>IF(DATEDIF(L207,S207,"m")&gt;12,DATEDIF(L207,S207,"y"),(DATEDIF(L207,S207,"m")/12))</f>
        <v>0.58333333333333337</v>
      </c>
      <c r="I207" s="7">
        <f>DATEDIF(L207,S207,"M")</f>
        <v>7</v>
      </c>
      <c r="J207" s="7">
        <f>DATEDIF(L207,S207,"D")</f>
        <v>231</v>
      </c>
      <c r="K207" s="3" t="s">
        <v>51</v>
      </c>
      <c r="L207" s="8">
        <v>44711</v>
      </c>
      <c r="M207" s="3" t="s">
        <v>45</v>
      </c>
      <c r="N207" s="3" t="s">
        <v>65</v>
      </c>
      <c r="O207" s="3" t="s">
        <v>52</v>
      </c>
      <c r="P207" s="3" t="s">
        <v>526</v>
      </c>
      <c r="Q207" s="7">
        <v>0</v>
      </c>
      <c r="R207" s="8">
        <v>44943</v>
      </c>
      <c r="S207" s="8">
        <v>44942</v>
      </c>
      <c r="T207" s="3" t="s">
        <v>54</v>
      </c>
      <c r="U207" s="3" t="s">
        <v>55</v>
      </c>
      <c r="V207" s="9"/>
      <c r="W207" s="10">
        <v>44957</v>
      </c>
      <c r="X207" s="7">
        <v>14</v>
      </c>
      <c r="Y207" s="7">
        <v>1</v>
      </c>
      <c r="Z207" s="7">
        <v>1</v>
      </c>
      <c r="AA207" s="7">
        <f>INT((S207-DATE(YEAR(S207-WEEKDAY(S207-0)+4),1,4)+WEEKDAY(DATE(YEAR(S207-WEEKDAY(S207-0)+4),1,4))+6)/7)</f>
        <v>3</v>
      </c>
      <c r="AB207" s="3" t="s">
        <v>527</v>
      </c>
      <c r="AC207" s="7">
        <v>110</v>
      </c>
      <c r="AD207" s="7">
        <v>0</v>
      </c>
      <c r="AE207" s="7">
        <v>0</v>
      </c>
      <c r="AF207" s="3" t="s">
        <v>48</v>
      </c>
      <c r="AG207" s="7">
        <v>2023</v>
      </c>
      <c r="AH207" s="3" t="s">
        <v>105</v>
      </c>
      <c r="AI207" s="3" t="s">
        <v>106</v>
      </c>
      <c r="AJ207" s="3" t="s">
        <v>252</v>
      </c>
      <c r="AK207" s="3" t="s">
        <v>300</v>
      </c>
      <c r="AL207" s="3" t="s">
        <v>59</v>
      </c>
      <c r="AM207" s="3" t="s">
        <v>99</v>
      </c>
      <c r="AN207" s="3" t="s">
        <v>61</v>
      </c>
      <c r="AO207" s="3" t="s">
        <v>62</v>
      </c>
      <c r="AP207" s="3" t="s">
        <v>69</v>
      </c>
      <c r="AQ207" s="3" t="s">
        <v>61</v>
      </c>
      <c r="AR207" s="3" t="s">
        <v>48</v>
      </c>
    </row>
    <row r="208" spans="1:44" ht="30" customHeight="1">
      <c r="A208" s="3" t="s">
        <v>44</v>
      </c>
      <c r="B208" s="3" t="s">
        <v>45</v>
      </c>
      <c r="C208" s="3" t="s">
        <v>46</v>
      </c>
      <c r="D208" s="3" t="s">
        <v>100</v>
      </c>
      <c r="E208" s="3" t="s">
        <v>48</v>
      </c>
      <c r="F208" s="3" t="s">
        <v>101</v>
      </c>
      <c r="G208" s="3" t="s">
        <v>705</v>
      </c>
      <c r="H208" s="4">
        <f>IF(DATEDIF(L208,S208,"m")&gt;12,DATEDIF(L208,S208,"y"),(DATEDIF(L208,S208,"m")/12))</f>
        <v>51</v>
      </c>
      <c r="I208" s="7">
        <f>DATEDIF(L208,S208,"M")</f>
        <v>623</v>
      </c>
      <c r="J208" s="7">
        <f>DATEDIF(L208,S208,"D")</f>
        <v>18984</v>
      </c>
      <c r="K208" s="3" t="s">
        <v>51</v>
      </c>
      <c r="L208" s="8">
        <v>25955</v>
      </c>
      <c r="M208" s="3" t="s">
        <v>45</v>
      </c>
      <c r="N208" s="3" t="s">
        <v>159</v>
      </c>
      <c r="O208" s="3" t="s">
        <v>52</v>
      </c>
      <c r="P208" s="3" t="s">
        <v>91</v>
      </c>
      <c r="Q208" s="7">
        <v>0</v>
      </c>
      <c r="R208" s="8">
        <v>44946</v>
      </c>
      <c r="S208" s="8">
        <v>44939</v>
      </c>
      <c r="T208" s="3" t="s">
        <v>54</v>
      </c>
      <c r="U208" s="3" t="s">
        <v>55</v>
      </c>
      <c r="V208" s="9"/>
      <c r="W208" s="10">
        <v>44957</v>
      </c>
      <c r="X208" s="7">
        <v>11</v>
      </c>
      <c r="Y208" s="7">
        <v>7</v>
      </c>
      <c r="Z208" s="7">
        <v>1</v>
      </c>
      <c r="AA208" s="7">
        <f>INT((S208-DATE(YEAR(S208-WEEKDAY(S208-0)+4),1,4)+WEEKDAY(DATE(YEAR(S208-WEEKDAY(S208-0)+4),1,4))+6)/7)</f>
        <v>2</v>
      </c>
      <c r="AB208" s="3" t="s">
        <v>706</v>
      </c>
      <c r="AC208" s="7">
        <v>104</v>
      </c>
      <c r="AD208" s="7">
        <v>0</v>
      </c>
      <c r="AE208" s="7">
        <v>0</v>
      </c>
      <c r="AF208" s="3" t="s">
        <v>48</v>
      </c>
      <c r="AG208" s="7">
        <v>2023</v>
      </c>
      <c r="AH208" s="3" t="s">
        <v>105</v>
      </c>
      <c r="AI208" s="3" t="s">
        <v>106</v>
      </c>
      <c r="AJ208" s="3" t="s">
        <v>48</v>
      </c>
      <c r="AK208" s="3" t="s">
        <v>468</v>
      </c>
      <c r="AL208" s="3" t="s">
        <v>59</v>
      </c>
      <c r="AM208" s="3" t="s">
        <v>99</v>
      </c>
      <c r="AN208" s="3" t="s">
        <v>61</v>
      </c>
      <c r="AO208" s="3" t="s">
        <v>62</v>
      </c>
      <c r="AP208" s="3" t="s">
        <v>69</v>
      </c>
      <c r="AQ208" s="3" t="s">
        <v>61</v>
      </c>
      <c r="AR208" s="3" t="s">
        <v>48</v>
      </c>
    </row>
    <row r="209" spans="1:44" ht="30" customHeight="1">
      <c r="A209" s="3" t="s">
        <v>44</v>
      </c>
      <c r="B209" s="3" t="s">
        <v>45</v>
      </c>
      <c r="C209" s="3" t="s">
        <v>46</v>
      </c>
      <c r="D209" s="3" t="s">
        <v>100</v>
      </c>
      <c r="E209" s="3" t="s">
        <v>48</v>
      </c>
      <c r="F209" s="3" t="s">
        <v>101</v>
      </c>
      <c r="G209" s="3" t="s">
        <v>863</v>
      </c>
      <c r="H209" s="4">
        <f>IF(DATEDIF(L209,S209,"m")&gt;12,DATEDIF(L209,S209,"y"),(DATEDIF(L209,S209,"m")/12))</f>
        <v>45</v>
      </c>
      <c r="I209" s="7">
        <f>DATEDIF(L209,S209,"M")</f>
        <v>540</v>
      </c>
      <c r="J209" s="7">
        <f>DATEDIF(L209,S209,"D")</f>
        <v>16450</v>
      </c>
      <c r="K209" s="3" t="s">
        <v>64</v>
      </c>
      <c r="L209" s="8">
        <v>28494</v>
      </c>
      <c r="M209" s="3" t="s">
        <v>45</v>
      </c>
      <c r="N209" s="3" t="s">
        <v>101</v>
      </c>
      <c r="O209" s="3" t="s">
        <v>52</v>
      </c>
      <c r="P209" s="3" t="s">
        <v>255</v>
      </c>
      <c r="Q209" s="7">
        <v>0</v>
      </c>
      <c r="R209" s="8">
        <v>44946</v>
      </c>
      <c r="S209" s="8">
        <v>44944</v>
      </c>
      <c r="T209" s="3" t="s">
        <v>54</v>
      </c>
      <c r="U209" s="3" t="s">
        <v>55</v>
      </c>
      <c r="V209" s="9"/>
      <c r="W209" s="10">
        <v>44957</v>
      </c>
      <c r="X209" s="7">
        <v>11</v>
      </c>
      <c r="Y209" s="7">
        <v>2</v>
      </c>
      <c r="Z209" s="7">
        <v>1</v>
      </c>
      <c r="AA209" s="7">
        <f>INT((S209-DATE(YEAR(S209-WEEKDAY(S209-0)+4),1,4)+WEEKDAY(DATE(YEAR(S209-WEEKDAY(S209-0)+4),1,4))+6)/7)</f>
        <v>3</v>
      </c>
      <c r="AB209" s="3" t="s">
        <v>864</v>
      </c>
      <c r="AC209" s="7">
        <v>105</v>
      </c>
      <c r="AD209" s="7">
        <v>0</v>
      </c>
      <c r="AE209" s="7">
        <v>0</v>
      </c>
      <c r="AF209" s="3" t="s">
        <v>48</v>
      </c>
      <c r="AG209" s="7">
        <v>2023</v>
      </c>
      <c r="AH209" s="3" t="s">
        <v>105</v>
      </c>
      <c r="AI209" s="3" t="s">
        <v>106</v>
      </c>
      <c r="AJ209" s="3" t="s">
        <v>100</v>
      </c>
      <c r="AK209" s="18" t="s">
        <v>865</v>
      </c>
      <c r="AL209" s="3" t="s">
        <v>59</v>
      </c>
      <c r="AM209" s="3" t="s">
        <v>99</v>
      </c>
      <c r="AN209" s="3" t="s">
        <v>61</v>
      </c>
      <c r="AO209" s="3" t="s">
        <v>62</v>
      </c>
      <c r="AP209" s="3" t="s">
        <v>69</v>
      </c>
      <c r="AQ209" s="3" t="s">
        <v>61</v>
      </c>
      <c r="AR209" s="3" t="s">
        <v>48</v>
      </c>
    </row>
    <row r="210" spans="1:44" ht="30" customHeight="1">
      <c r="A210" s="3" t="s">
        <v>44</v>
      </c>
      <c r="B210" s="3" t="s">
        <v>45</v>
      </c>
      <c r="C210" s="3" t="s">
        <v>46</v>
      </c>
      <c r="D210" s="3" t="s">
        <v>108</v>
      </c>
      <c r="E210" s="3" t="s">
        <v>48</v>
      </c>
      <c r="F210" s="3" t="s">
        <v>108</v>
      </c>
      <c r="G210" s="3" t="s">
        <v>2391</v>
      </c>
      <c r="H210" s="4">
        <f>IF(DATEDIF(L210,S210,"m")&gt;12,DATEDIF(L210,S210,"y"),(DATEDIF(L210,S210,"m")/12))</f>
        <v>20</v>
      </c>
      <c r="I210" s="7">
        <f>DATEDIF(L210,S210,"M")</f>
        <v>242</v>
      </c>
      <c r="J210" s="7">
        <f>DATEDIF(L210,S210,"D")</f>
        <v>7386</v>
      </c>
      <c r="K210" s="3" t="s">
        <v>64</v>
      </c>
      <c r="L210" s="8">
        <v>37564</v>
      </c>
      <c r="M210" s="3" t="s">
        <v>45</v>
      </c>
      <c r="N210" s="3" t="s">
        <v>73</v>
      </c>
      <c r="O210" s="3" t="s">
        <v>52</v>
      </c>
      <c r="P210" s="3" t="s">
        <v>1467</v>
      </c>
      <c r="Q210" s="7">
        <v>0</v>
      </c>
      <c r="R210" s="8">
        <v>44952</v>
      </c>
      <c r="S210" s="8">
        <v>44950</v>
      </c>
      <c r="T210" s="3" t="s">
        <v>54</v>
      </c>
      <c r="U210" s="3" t="s">
        <v>55</v>
      </c>
      <c r="V210" s="9"/>
      <c r="W210" s="10">
        <v>44957</v>
      </c>
      <c r="X210" s="7">
        <v>5</v>
      </c>
      <c r="Y210" s="7">
        <v>2</v>
      </c>
      <c r="Z210" s="7">
        <v>1</v>
      </c>
      <c r="AA210" s="7">
        <f>INT((S210-DATE(YEAR(S210-WEEKDAY(S210-0)+4),1,4)+WEEKDAY(DATE(YEAR(S210-WEEKDAY(S210-0)+4),1,4))+6)/7)</f>
        <v>4</v>
      </c>
      <c r="AB210" s="3" t="s">
        <v>2392</v>
      </c>
      <c r="AC210" s="7">
        <v>172</v>
      </c>
      <c r="AD210" s="7">
        <v>0</v>
      </c>
      <c r="AE210" s="7">
        <v>0</v>
      </c>
      <c r="AF210" s="3" t="s">
        <v>48</v>
      </c>
      <c r="AG210" s="7">
        <v>2023</v>
      </c>
      <c r="AH210" s="3" t="s">
        <v>112</v>
      </c>
      <c r="AI210" s="3" t="s">
        <v>113</v>
      </c>
      <c r="AJ210" s="3" t="s">
        <v>48</v>
      </c>
      <c r="AK210" s="3" t="s">
        <v>212</v>
      </c>
      <c r="AL210" s="3" t="s">
        <v>59</v>
      </c>
      <c r="AM210" s="3" t="s">
        <v>115</v>
      </c>
      <c r="AN210" s="3" t="s">
        <v>61</v>
      </c>
      <c r="AO210" s="3" t="s">
        <v>62</v>
      </c>
      <c r="AP210" s="3" t="s">
        <v>69</v>
      </c>
      <c r="AQ210" s="3" t="s">
        <v>61</v>
      </c>
      <c r="AR210" s="3" t="s">
        <v>48</v>
      </c>
    </row>
    <row r="211" spans="1:44" ht="30" customHeight="1">
      <c r="A211" s="3" t="s">
        <v>44</v>
      </c>
      <c r="B211" s="3" t="s">
        <v>45</v>
      </c>
      <c r="C211" s="3" t="s">
        <v>46</v>
      </c>
      <c r="D211" s="3" t="s">
        <v>100</v>
      </c>
      <c r="E211" s="3" t="s">
        <v>48</v>
      </c>
      <c r="F211" s="3" t="s">
        <v>101</v>
      </c>
      <c r="G211" s="3" t="s">
        <v>1117</v>
      </c>
      <c r="H211" s="5">
        <f>IF(DATEDIF(L211,S211,"m")&gt;12,DATEDIF(L211,S211,"y"),(DATEDIF(L211,S211,"m")/12))</f>
        <v>0.91666666666666663</v>
      </c>
      <c r="I211" s="7">
        <f>DATEDIF(L211,S211,"M")</f>
        <v>11</v>
      </c>
      <c r="J211" s="7">
        <f>DATEDIF(L211,S211,"D")</f>
        <v>354</v>
      </c>
      <c r="K211" s="3" t="s">
        <v>51</v>
      </c>
      <c r="L211" s="8">
        <v>44579</v>
      </c>
      <c r="M211" s="3" t="s">
        <v>45</v>
      </c>
      <c r="N211" s="3" t="s">
        <v>65</v>
      </c>
      <c r="O211" s="3" t="s">
        <v>52</v>
      </c>
      <c r="P211" s="3" t="s">
        <v>91</v>
      </c>
      <c r="Q211" s="7">
        <v>0</v>
      </c>
      <c r="R211" s="8">
        <v>44935</v>
      </c>
      <c r="S211" s="8">
        <v>44933</v>
      </c>
      <c r="T211" s="3" t="s">
        <v>54</v>
      </c>
      <c r="U211" s="3" t="s">
        <v>55</v>
      </c>
      <c r="V211" s="9"/>
      <c r="W211" s="10">
        <v>44957</v>
      </c>
      <c r="X211" s="7">
        <v>22</v>
      </c>
      <c r="Y211" s="7">
        <v>2</v>
      </c>
      <c r="Z211" s="7">
        <v>1</v>
      </c>
      <c r="AA211" s="7">
        <f>INT((S211-DATE(YEAR(S211-WEEKDAY(S211-0)+4),1,4)+WEEKDAY(DATE(YEAR(S211-WEEKDAY(S211-0)+4),1,4))+6)/7)</f>
        <v>1</v>
      </c>
      <c r="AB211" s="3" t="s">
        <v>1118</v>
      </c>
      <c r="AC211" s="7">
        <v>114</v>
      </c>
      <c r="AD211" s="7">
        <v>0</v>
      </c>
      <c r="AE211" s="7">
        <v>0</v>
      </c>
      <c r="AF211" s="3" t="s">
        <v>48</v>
      </c>
      <c r="AG211" s="7">
        <v>2023</v>
      </c>
      <c r="AH211" s="3" t="s">
        <v>105</v>
      </c>
      <c r="AI211" s="3" t="s">
        <v>106</v>
      </c>
      <c r="AJ211" s="3" t="s">
        <v>252</v>
      </c>
      <c r="AK211" s="3" t="s">
        <v>903</v>
      </c>
      <c r="AL211" s="3" t="s">
        <v>59</v>
      </c>
      <c r="AM211" s="3" t="s">
        <v>99</v>
      </c>
      <c r="AN211" s="3" t="s">
        <v>61</v>
      </c>
      <c r="AO211" s="3" t="s">
        <v>62</v>
      </c>
      <c r="AP211" s="3" t="s">
        <v>69</v>
      </c>
      <c r="AQ211" s="3" t="s">
        <v>61</v>
      </c>
      <c r="AR211" s="3" t="s">
        <v>48</v>
      </c>
    </row>
    <row r="212" spans="1:44" ht="30" customHeight="1">
      <c r="A212" s="3" t="s">
        <v>44</v>
      </c>
      <c r="B212" s="3" t="s">
        <v>45</v>
      </c>
      <c r="C212" s="3" t="s">
        <v>46</v>
      </c>
      <c r="D212" s="3" t="s">
        <v>100</v>
      </c>
      <c r="E212" s="3" t="s">
        <v>48</v>
      </c>
      <c r="F212" s="3" t="s">
        <v>101</v>
      </c>
      <c r="G212" s="3" t="s">
        <v>1129</v>
      </c>
      <c r="H212" s="4">
        <f>IF(DATEDIF(L212,S212,"m")&gt;12,DATEDIF(L212,S212,"y"),(DATEDIF(L212,S212,"m")/12))</f>
        <v>5</v>
      </c>
      <c r="I212" s="7">
        <f>DATEDIF(L212,S212,"M")</f>
        <v>63</v>
      </c>
      <c r="J212" s="7">
        <f>DATEDIF(L212,S212,"D")</f>
        <v>1931</v>
      </c>
      <c r="K212" s="3" t="s">
        <v>64</v>
      </c>
      <c r="L212" s="8">
        <v>43010</v>
      </c>
      <c r="M212" s="3" t="s">
        <v>45</v>
      </c>
      <c r="N212" s="3" t="s">
        <v>101</v>
      </c>
      <c r="O212" s="3" t="s">
        <v>52</v>
      </c>
      <c r="P212" s="3" t="s">
        <v>298</v>
      </c>
      <c r="Q212" s="7">
        <v>0</v>
      </c>
      <c r="R212" s="8">
        <v>44947</v>
      </c>
      <c r="S212" s="8">
        <v>44941</v>
      </c>
      <c r="T212" s="3" t="s">
        <v>54</v>
      </c>
      <c r="U212" s="3" t="s">
        <v>55</v>
      </c>
      <c r="V212" s="9"/>
      <c r="W212" s="10">
        <v>44957</v>
      </c>
      <c r="X212" s="7">
        <v>10</v>
      </c>
      <c r="Y212" s="7">
        <v>6</v>
      </c>
      <c r="Z212" s="7">
        <v>1</v>
      </c>
      <c r="AA212" s="7">
        <f>INT((S212-DATE(YEAR(S212-WEEKDAY(S212-0)+4),1,4)+WEEKDAY(DATE(YEAR(S212-WEEKDAY(S212-0)+4),1,4))+6)/7)</f>
        <v>3</v>
      </c>
      <c r="AB212" s="3" t="s">
        <v>1130</v>
      </c>
      <c r="AC212" s="7">
        <v>112</v>
      </c>
      <c r="AD212" s="7">
        <v>0</v>
      </c>
      <c r="AE212" s="7">
        <v>0</v>
      </c>
      <c r="AF212" s="3" t="s">
        <v>48</v>
      </c>
      <c r="AG212" s="7">
        <v>2023</v>
      </c>
      <c r="AH212" s="18" t="s">
        <v>105</v>
      </c>
      <c r="AI212" s="3" t="s">
        <v>106</v>
      </c>
      <c r="AJ212" s="3" t="s">
        <v>100</v>
      </c>
      <c r="AK212" s="3" t="s">
        <v>316</v>
      </c>
      <c r="AL212" s="3" t="s">
        <v>59</v>
      </c>
      <c r="AM212" s="3" t="s">
        <v>99</v>
      </c>
      <c r="AN212" s="3" t="s">
        <v>61</v>
      </c>
      <c r="AO212" s="3" t="s">
        <v>62</v>
      </c>
      <c r="AP212" s="3" t="s">
        <v>69</v>
      </c>
      <c r="AQ212" s="3" t="s">
        <v>61</v>
      </c>
      <c r="AR212" s="3" t="s">
        <v>48</v>
      </c>
    </row>
    <row r="213" spans="1:44" ht="30" customHeight="1">
      <c r="A213" s="3" t="s">
        <v>44</v>
      </c>
      <c r="B213" s="3" t="s">
        <v>45</v>
      </c>
      <c r="C213" s="3" t="s">
        <v>46</v>
      </c>
      <c r="D213" s="3" t="s">
        <v>100</v>
      </c>
      <c r="E213" s="3" t="s">
        <v>48</v>
      </c>
      <c r="F213" s="3" t="s">
        <v>101</v>
      </c>
      <c r="G213" s="3" t="s">
        <v>1131</v>
      </c>
      <c r="H213" s="4">
        <f>IF(DATEDIF(L213,S213,"m")&gt;12,DATEDIF(L213,S213,"y"),(DATEDIF(L213,S213,"m")/12))</f>
        <v>2</v>
      </c>
      <c r="I213" s="7">
        <f>DATEDIF(L213,S213,"M")</f>
        <v>33</v>
      </c>
      <c r="J213" s="7">
        <f>DATEDIF(L213,S213,"D")</f>
        <v>1020</v>
      </c>
      <c r="K213" s="3" t="s">
        <v>64</v>
      </c>
      <c r="L213" s="8">
        <v>43917</v>
      </c>
      <c r="M213" s="3" t="s">
        <v>45</v>
      </c>
      <c r="N213" s="3" t="s">
        <v>101</v>
      </c>
      <c r="O213" s="3" t="s">
        <v>52</v>
      </c>
      <c r="P213" s="3" t="s">
        <v>1037</v>
      </c>
      <c r="Q213" s="7">
        <v>0</v>
      </c>
      <c r="R213" s="8">
        <v>44942</v>
      </c>
      <c r="S213" s="8">
        <v>44937</v>
      </c>
      <c r="T213" s="3" t="s">
        <v>54</v>
      </c>
      <c r="U213" s="3" t="s">
        <v>55</v>
      </c>
      <c r="V213" s="9"/>
      <c r="W213" s="10">
        <v>44957</v>
      </c>
      <c r="X213" s="7">
        <v>15</v>
      </c>
      <c r="Y213" s="7">
        <v>5</v>
      </c>
      <c r="Z213" s="7">
        <v>1</v>
      </c>
      <c r="AA213" s="7">
        <f>INT((S213-DATE(YEAR(S213-WEEKDAY(S213-0)+4),1,4)+WEEKDAY(DATE(YEAR(S213-WEEKDAY(S213-0)+4),1,4))+6)/7)</f>
        <v>2</v>
      </c>
      <c r="AB213" s="3" t="s">
        <v>1132</v>
      </c>
      <c r="AC213" s="7">
        <v>108</v>
      </c>
      <c r="AD213" s="7">
        <v>0</v>
      </c>
      <c r="AE213" s="7">
        <v>0</v>
      </c>
      <c r="AF213" s="3" t="s">
        <v>48</v>
      </c>
      <c r="AG213" s="7">
        <v>2023</v>
      </c>
      <c r="AH213" s="3" t="s">
        <v>105</v>
      </c>
      <c r="AI213" s="3" t="s">
        <v>106</v>
      </c>
      <c r="AJ213" s="3" t="s">
        <v>100</v>
      </c>
      <c r="AK213" s="18" t="s">
        <v>162</v>
      </c>
      <c r="AL213" s="3" t="s">
        <v>59</v>
      </c>
      <c r="AM213" s="3" t="s">
        <v>99</v>
      </c>
      <c r="AN213" s="3" t="s">
        <v>61</v>
      </c>
      <c r="AO213" s="3" t="s">
        <v>62</v>
      </c>
      <c r="AP213" s="3" t="s">
        <v>69</v>
      </c>
      <c r="AQ213" s="3" t="s">
        <v>61</v>
      </c>
      <c r="AR213" s="3" t="s">
        <v>48</v>
      </c>
    </row>
    <row r="214" spans="1:44" ht="30" customHeight="1">
      <c r="A214" s="3" t="s">
        <v>44</v>
      </c>
      <c r="B214" s="3" t="s">
        <v>45</v>
      </c>
      <c r="C214" s="3" t="s">
        <v>46</v>
      </c>
      <c r="D214" s="3" t="s">
        <v>100</v>
      </c>
      <c r="E214" s="3" t="s">
        <v>48</v>
      </c>
      <c r="F214" s="3" t="s">
        <v>101</v>
      </c>
      <c r="G214" s="3" t="s">
        <v>1399</v>
      </c>
      <c r="H214" s="4">
        <f>IF(DATEDIF(L214,S214,"m")&gt;12,DATEDIF(L214,S214,"y"),(DATEDIF(L214,S214,"m")/12))</f>
        <v>1</v>
      </c>
      <c r="I214" s="7">
        <f>DATEDIF(L214,S214,"M")</f>
        <v>18</v>
      </c>
      <c r="J214" s="7">
        <f>DATEDIF(L214,S214,"D")</f>
        <v>576</v>
      </c>
      <c r="K214" s="3" t="s">
        <v>51</v>
      </c>
      <c r="L214" s="8">
        <v>44368</v>
      </c>
      <c r="M214" s="3" t="s">
        <v>45</v>
      </c>
      <c r="N214" s="3" t="s">
        <v>65</v>
      </c>
      <c r="O214" s="3" t="s">
        <v>52</v>
      </c>
      <c r="P214" s="3" t="s">
        <v>1400</v>
      </c>
      <c r="Q214" s="7">
        <v>0</v>
      </c>
      <c r="R214" s="8">
        <v>44946</v>
      </c>
      <c r="S214" s="8">
        <v>44944</v>
      </c>
      <c r="T214" s="3" t="s">
        <v>54</v>
      </c>
      <c r="U214" s="3" t="s">
        <v>55</v>
      </c>
      <c r="V214" s="9"/>
      <c r="W214" s="10">
        <v>44957</v>
      </c>
      <c r="X214" s="7">
        <v>11</v>
      </c>
      <c r="Y214" s="7">
        <v>2</v>
      </c>
      <c r="Z214" s="7">
        <v>1</v>
      </c>
      <c r="AA214" s="7">
        <f>INT((S214-DATE(YEAR(S214-WEEKDAY(S214-0)+4),1,4)+WEEKDAY(DATE(YEAR(S214-WEEKDAY(S214-0)+4),1,4))+6)/7)</f>
        <v>3</v>
      </c>
      <c r="AB214" s="3" t="s">
        <v>1401</v>
      </c>
      <c r="AC214" s="7">
        <v>106</v>
      </c>
      <c r="AD214" s="7">
        <v>0</v>
      </c>
      <c r="AE214" s="7">
        <v>0</v>
      </c>
      <c r="AF214" s="3" t="s">
        <v>48</v>
      </c>
      <c r="AG214" s="7">
        <v>2023</v>
      </c>
      <c r="AH214" s="3" t="s">
        <v>105</v>
      </c>
      <c r="AI214" s="3" t="s">
        <v>106</v>
      </c>
      <c r="AJ214" s="3" t="s">
        <v>252</v>
      </c>
      <c r="AK214" s="3" t="s">
        <v>162</v>
      </c>
      <c r="AL214" s="3" t="s">
        <v>59</v>
      </c>
      <c r="AM214" s="3" t="s">
        <v>99</v>
      </c>
      <c r="AN214" s="3" t="s">
        <v>61</v>
      </c>
      <c r="AO214" s="3" t="s">
        <v>62</v>
      </c>
      <c r="AP214" s="3" t="s">
        <v>69</v>
      </c>
      <c r="AQ214" s="3" t="s">
        <v>61</v>
      </c>
      <c r="AR214" s="3" t="s">
        <v>48</v>
      </c>
    </row>
    <row r="215" spans="1:44" ht="30" customHeight="1">
      <c r="A215" s="3" t="s">
        <v>44</v>
      </c>
      <c r="B215" s="3" t="s">
        <v>45</v>
      </c>
      <c r="C215" s="3" t="s">
        <v>46</v>
      </c>
      <c r="D215" s="3" t="s">
        <v>108</v>
      </c>
      <c r="E215" s="3" t="s">
        <v>48</v>
      </c>
      <c r="F215" s="3" t="s">
        <v>108</v>
      </c>
      <c r="G215" s="3" t="s">
        <v>431</v>
      </c>
      <c r="H215" s="4">
        <f>IF(DATEDIF(L215,S215,"m")&gt;12,DATEDIF(L215,S215,"y"),(DATEDIF(L215,S215,"m")/12))</f>
        <v>5</v>
      </c>
      <c r="I215" s="7">
        <f>DATEDIF(L215,S215,"M")</f>
        <v>68</v>
      </c>
      <c r="J215" s="7">
        <f>DATEDIF(L215,S215,"D")</f>
        <v>2071</v>
      </c>
      <c r="K215" s="3" t="s">
        <v>64</v>
      </c>
      <c r="L215" s="8">
        <v>42882</v>
      </c>
      <c r="M215" s="3" t="s">
        <v>45</v>
      </c>
      <c r="N215" s="3" t="s">
        <v>73</v>
      </c>
      <c r="O215" s="3" t="s">
        <v>52</v>
      </c>
      <c r="P215" s="3" t="s">
        <v>432</v>
      </c>
      <c r="Q215" s="7">
        <v>0</v>
      </c>
      <c r="R215" s="8">
        <v>44958</v>
      </c>
      <c r="S215" s="8">
        <v>44953</v>
      </c>
      <c r="T215" s="3" t="s">
        <v>54</v>
      </c>
      <c r="U215" s="3" t="s">
        <v>55</v>
      </c>
      <c r="V215" s="9"/>
      <c r="W215" s="10">
        <v>44963</v>
      </c>
      <c r="X215" s="7">
        <v>5</v>
      </c>
      <c r="Y215" s="7">
        <v>5</v>
      </c>
      <c r="Z215" s="7">
        <v>1</v>
      </c>
      <c r="AA215" s="7">
        <f>INT((S215-DATE(YEAR(S215-WEEKDAY(S215-0)+4),1,4)+WEEKDAY(DATE(YEAR(S215-WEEKDAY(S215-0)+4),1,4))+6)/7)</f>
        <v>4</v>
      </c>
      <c r="AB215" s="3" t="s">
        <v>433</v>
      </c>
      <c r="AC215" s="7">
        <v>194</v>
      </c>
      <c r="AD215" s="7">
        <v>0</v>
      </c>
      <c r="AE215" s="7">
        <v>0</v>
      </c>
      <c r="AF215" s="3" t="s">
        <v>48</v>
      </c>
      <c r="AG215" s="7">
        <v>2023</v>
      </c>
      <c r="AH215" s="3" t="s">
        <v>112</v>
      </c>
      <c r="AI215" s="3" t="s">
        <v>113</v>
      </c>
      <c r="AJ215" s="3" t="s">
        <v>48</v>
      </c>
      <c r="AK215" s="3" t="s">
        <v>212</v>
      </c>
      <c r="AL215" s="3" t="s">
        <v>59</v>
      </c>
      <c r="AM215" s="3" t="s">
        <v>115</v>
      </c>
      <c r="AN215" s="3" t="s">
        <v>61</v>
      </c>
      <c r="AO215" s="3" t="s">
        <v>62</v>
      </c>
      <c r="AP215" s="3" t="s">
        <v>69</v>
      </c>
      <c r="AQ215" s="3" t="s">
        <v>61</v>
      </c>
      <c r="AR215" s="3" t="s">
        <v>48</v>
      </c>
    </row>
    <row r="216" spans="1:44" ht="30" customHeight="1">
      <c r="A216" s="3" t="s">
        <v>44</v>
      </c>
      <c r="B216" s="3" t="s">
        <v>45</v>
      </c>
      <c r="C216" s="3" t="s">
        <v>46</v>
      </c>
      <c r="D216" s="3" t="s">
        <v>108</v>
      </c>
      <c r="E216" s="3" t="s">
        <v>48</v>
      </c>
      <c r="F216" s="3" t="s">
        <v>108</v>
      </c>
      <c r="G216" s="3" t="s">
        <v>581</v>
      </c>
      <c r="H216" s="4">
        <f>IF(DATEDIF(L216,S216,"m")&gt;12,DATEDIF(L216,S216,"y"),(DATEDIF(L216,S216,"m")/12))</f>
        <v>68</v>
      </c>
      <c r="I216" s="7">
        <f>DATEDIF(L216,S216,"M")</f>
        <v>821</v>
      </c>
      <c r="J216" s="7">
        <f>DATEDIF(L216,S216,"D")</f>
        <v>25012</v>
      </c>
      <c r="K216" s="3" t="s">
        <v>51</v>
      </c>
      <c r="L216" s="8">
        <v>19942</v>
      </c>
      <c r="M216" s="3" t="s">
        <v>45</v>
      </c>
      <c r="N216" s="3" t="s">
        <v>73</v>
      </c>
      <c r="O216" s="3" t="s">
        <v>52</v>
      </c>
      <c r="P216" s="3" t="s">
        <v>169</v>
      </c>
      <c r="Q216" s="7">
        <v>0</v>
      </c>
      <c r="R216" s="8">
        <v>44960</v>
      </c>
      <c r="S216" s="8">
        <v>44954</v>
      </c>
      <c r="T216" s="3" t="s">
        <v>54</v>
      </c>
      <c r="U216" s="3" t="s">
        <v>55</v>
      </c>
      <c r="V216" s="9"/>
      <c r="W216" s="10">
        <v>44963</v>
      </c>
      <c r="X216" s="7">
        <v>3</v>
      </c>
      <c r="Y216" s="7">
        <v>6</v>
      </c>
      <c r="Z216" s="7">
        <v>1</v>
      </c>
      <c r="AA216" s="7">
        <f>INT((S216-DATE(YEAR(S216-WEEKDAY(S216-0)+4),1,4)+WEEKDAY(DATE(YEAR(S216-WEEKDAY(S216-0)+4),1,4))+6)/7)</f>
        <v>4</v>
      </c>
      <c r="AB216" s="3" t="s">
        <v>582</v>
      </c>
      <c r="AC216" s="7">
        <v>200</v>
      </c>
      <c r="AD216" s="7">
        <v>0</v>
      </c>
      <c r="AE216" s="7">
        <v>0</v>
      </c>
      <c r="AF216" s="3" t="s">
        <v>48</v>
      </c>
      <c r="AG216" s="7">
        <v>2023</v>
      </c>
      <c r="AH216" s="3" t="s">
        <v>112</v>
      </c>
      <c r="AI216" s="3" t="s">
        <v>113</v>
      </c>
      <c r="AJ216" s="3" t="s">
        <v>48</v>
      </c>
      <c r="AK216" s="3" t="s">
        <v>212</v>
      </c>
      <c r="AL216" s="3" t="s">
        <v>59</v>
      </c>
      <c r="AM216" s="3" t="s">
        <v>115</v>
      </c>
      <c r="AN216" s="3" t="s">
        <v>61</v>
      </c>
      <c r="AO216" s="3" t="s">
        <v>62</v>
      </c>
      <c r="AP216" s="3" t="s">
        <v>69</v>
      </c>
      <c r="AQ216" s="3" t="s">
        <v>61</v>
      </c>
      <c r="AR216" s="3" t="s">
        <v>48</v>
      </c>
    </row>
    <row r="217" spans="1:44" ht="30" customHeight="1">
      <c r="A217" s="3" t="s">
        <v>44</v>
      </c>
      <c r="B217" s="3" t="s">
        <v>45</v>
      </c>
      <c r="C217" s="3" t="s">
        <v>46</v>
      </c>
      <c r="D217" s="3" t="s">
        <v>108</v>
      </c>
      <c r="E217" s="3" t="s">
        <v>48</v>
      </c>
      <c r="F217" s="3" t="s">
        <v>108</v>
      </c>
      <c r="G217" s="3" t="s">
        <v>1741</v>
      </c>
      <c r="H217" s="4">
        <f>IF(DATEDIF(L217,S217,"m")&gt;12,DATEDIF(L217,S217,"y"),(DATEDIF(L217,S217,"m")/12))</f>
        <v>2</v>
      </c>
      <c r="I217" s="7">
        <f>DATEDIF(L217,S217,"M")</f>
        <v>35</v>
      </c>
      <c r="J217" s="7">
        <f>DATEDIF(L217,S217,"D")</f>
        <v>1090</v>
      </c>
      <c r="K217" s="3" t="s">
        <v>64</v>
      </c>
      <c r="L217" s="8">
        <v>43863</v>
      </c>
      <c r="M217" s="3" t="s">
        <v>45</v>
      </c>
      <c r="N217" s="3" t="s">
        <v>73</v>
      </c>
      <c r="O217" s="3" t="s">
        <v>52</v>
      </c>
      <c r="P217" s="3" t="s">
        <v>225</v>
      </c>
      <c r="Q217" s="7">
        <v>0</v>
      </c>
      <c r="R217" s="8">
        <v>44957</v>
      </c>
      <c r="S217" s="8">
        <v>44953</v>
      </c>
      <c r="T217" s="3" t="s">
        <v>54</v>
      </c>
      <c r="U217" s="3" t="s">
        <v>55</v>
      </c>
      <c r="V217" s="9"/>
      <c r="W217" s="10">
        <v>44963</v>
      </c>
      <c r="X217" s="7">
        <v>6</v>
      </c>
      <c r="Y217" s="7">
        <v>4</v>
      </c>
      <c r="Z217" s="7">
        <v>1</v>
      </c>
      <c r="AA217" s="7">
        <f>INT((S217-DATE(YEAR(S217-WEEKDAY(S217-0)+4),1,4)+WEEKDAY(DATE(YEAR(S217-WEEKDAY(S217-0)+4),1,4))+6)/7)</f>
        <v>4</v>
      </c>
      <c r="AB217" s="3" t="s">
        <v>1742</v>
      </c>
      <c r="AC217" s="7">
        <v>191</v>
      </c>
      <c r="AD217" s="7">
        <v>0</v>
      </c>
      <c r="AE217" s="7">
        <v>0</v>
      </c>
      <c r="AF217" s="3" t="s">
        <v>48</v>
      </c>
      <c r="AG217" s="7">
        <v>2023</v>
      </c>
      <c r="AH217" s="3" t="s">
        <v>112</v>
      </c>
      <c r="AI217" s="3" t="s">
        <v>113</v>
      </c>
      <c r="AJ217" s="3" t="s">
        <v>48</v>
      </c>
      <c r="AK217" s="3" t="s">
        <v>212</v>
      </c>
      <c r="AL217" s="3" t="s">
        <v>59</v>
      </c>
      <c r="AM217" s="3" t="s">
        <v>115</v>
      </c>
      <c r="AN217" s="3" t="s">
        <v>61</v>
      </c>
      <c r="AO217" s="3" t="s">
        <v>62</v>
      </c>
      <c r="AP217" s="3" t="s">
        <v>69</v>
      </c>
      <c r="AQ217" s="3" t="s">
        <v>61</v>
      </c>
      <c r="AR217" s="3" t="s">
        <v>48</v>
      </c>
    </row>
    <row r="218" spans="1:44" ht="30" customHeight="1">
      <c r="A218" s="3" t="s">
        <v>44</v>
      </c>
      <c r="B218" s="3" t="s">
        <v>45</v>
      </c>
      <c r="C218" s="3" t="s">
        <v>46</v>
      </c>
      <c r="D218" s="3" t="s">
        <v>100</v>
      </c>
      <c r="E218" s="3" t="s">
        <v>48</v>
      </c>
      <c r="F218" s="3" t="s">
        <v>101</v>
      </c>
      <c r="G218" s="3" t="s">
        <v>1607</v>
      </c>
      <c r="H218" s="4">
        <f>IF(DATEDIF(L218,S218,"m")&gt;12,DATEDIF(L218,S218,"y"),(DATEDIF(L218,S218,"m")/12))</f>
        <v>36</v>
      </c>
      <c r="I218" s="7">
        <f>DATEDIF(L218,S218,"M")</f>
        <v>438</v>
      </c>
      <c r="J218" s="7">
        <f>DATEDIF(L218,S218,"D")</f>
        <v>13356</v>
      </c>
      <c r="K218" s="3" t="s">
        <v>51</v>
      </c>
      <c r="L218" s="8">
        <v>31584</v>
      </c>
      <c r="M218" s="3" t="s">
        <v>45</v>
      </c>
      <c r="N218" s="3" t="s">
        <v>65</v>
      </c>
      <c r="O218" s="3" t="s">
        <v>52</v>
      </c>
      <c r="P218" s="3" t="s">
        <v>84</v>
      </c>
      <c r="Q218" s="7">
        <v>0</v>
      </c>
      <c r="R218" s="8">
        <v>44943</v>
      </c>
      <c r="S218" s="8">
        <v>44940</v>
      </c>
      <c r="T218" s="3" t="s">
        <v>54</v>
      </c>
      <c r="U218" s="3" t="s">
        <v>55</v>
      </c>
      <c r="V218" s="9"/>
      <c r="W218" s="10">
        <v>44957</v>
      </c>
      <c r="X218" s="7">
        <v>14</v>
      </c>
      <c r="Y218" s="7">
        <v>3</v>
      </c>
      <c r="Z218" s="7">
        <v>1</v>
      </c>
      <c r="AA218" s="7">
        <f>INT((S218-DATE(YEAR(S218-WEEKDAY(S218-0)+4),1,4)+WEEKDAY(DATE(YEAR(S218-WEEKDAY(S218-0)+4),1,4))+6)/7)</f>
        <v>2</v>
      </c>
      <c r="AB218" s="3" t="s">
        <v>1608</v>
      </c>
      <c r="AC218" s="7">
        <v>111</v>
      </c>
      <c r="AD218" s="7">
        <v>0</v>
      </c>
      <c r="AE218" s="7">
        <v>0</v>
      </c>
      <c r="AF218" s="3" t="s">
        <v>48</v>
      </c>
      <c r="AG218" s="7">
        <v>2023</v>
      </c>
      <c r="AH218" s="3" t="s">
        <v>105</v>
      </c>
      <c r="AI218" s="3" t="s">
        <v>106</v>
      </c>
      <c r="AJ218" s="3" t="s">
        <v>252</v>
      </c>
      <c r="AK218" s="3" t="s">
        <v>1609</v>
      </c>
      <c r="AL218" s="3" t="s">
        <v>59</v>
      </c>
      <c r="AM218" s="3" t="s">
        <v>99</v>
      </c>
      <c r="AN218" s="3" t="s">
        <v>61</v>
      </c>
      <c r="AO218" s="3" t="s">
        <v>62</v>
      </c>
      <c r="AP218" s="3" t="s">
        <v>69</v>
      </c>
      <c r="AQ218" s="3" t="s">
        <v>61</v>
      </c>
      <c r="AR218" s="3" t="s">
        <v>48</v>
      </c>
    </row>
    <row r="219" spans="1:44" ht="30" customHeight="1">
      <c r="A219" s="3" t="s">
        <v>44</v>
      </c>
      <c r="B219" s="3" t="s">
        <v>45</v>
      </c>
      <c r="C219" s="3" t="s">
        <v>46</v>
      </c>
      <c r="D219" s="3" t="s">
        <v>108</v>
      </c>
      <c r="E219" s="3" t="s">
        <v>48</v>
      </c>
      <c r="F219" s="3" t="s">
        <v>108</v>
      </c>
      <c r="G219" s="3" t="s">
        <v>1743</v>
      </c>
      <c r="H219" s="4">
        <f>IF(DATEDIF(L219,S219,"m")&gt;12,DATEDIF(L219,S219,"y"),(DATEDIF(L219,S219,"m")/12))</f>
        <v>7</v>
      </c>
      <c r="I219" s="7">
        <f>DATEDIF(L219,S219,"M")</f>
        <v>94</v>
      </c>
      <c r="J219" s="7">
        <f>DATEDIF(L219,S219,"D")</f>
        <v>2883</v>
      </c>
      <c r="K219" s="3" t="s">
        <v>51</v>
      </c>
      <c r="L219" s="8">
        <v>42068</v>
      </c>
      <c r="M219" s="3" t="s">
        <v>45</v>
      </c>
      <c r="N219" s="3" t="s">
        <v>73</v>
      </c>
      <c r="O219" s="3" t="s">
        <v>52</v>
      </c>
      <c r="P219" s="3" t="s">
        <v>426</v>
      </c>
      <c r="Q219" s="7">
        <v>0</v>
      </c>
      <c r="R219" s="8">
        <v>44957</v>
      </c>
      <c r="S219" s="8">
        <v>44951</v>
      </c>
      <c r="T219" s="3" t="s">
        <v>54</v>
      </c>
      <c r="U219" s="3" t="s">
        <v>55</v>
      </c>
      <c r="V219" s="9"/>
      <c r="W219" s="10">
        <v>44963</v>
      </c>
      <c r="X219" s="7">
        <v>6</v>
      </c>
      <c r="Y219" s="7">
        <v>6</v>
      </c>
      <c r="Z219" s="7">
        <v>1</v>
      </c>
      <c r="AA219" s="7">
        <f>INT((S219-DATE(YEAR(S219-WEEKDAY(S219-0)+4),1,4)+WEEKDAY(DATE(YEAR(S219-WEEKDAY(S219-0)+4),1,4))+6)/7)</f>
        <v>4</v>
      </c>
      <c r="AB219" s="3" t="s">
        <v>1744</v>
      </c>
      <c r="AC219" s="7">
        <v>192</v>
      </c>
      <c r="AD219" s="7">
        <v>0</v>
      </c>
      <c r="AE219" s="7">
        <v>0</v>
      </c>
      <c r="AF219" s="3" t="s">
        <v>48</v>
      </c>
      <c r="AG219" s="7">
        <v>2023</v>
      </c>
      <c r="AH219" s="3" t="s">
        <v>112</v>
      </c>
      <c r="AI219" s="3" t="s">
        <v>113</v>
      </c>
      <c r="AJ219" s="3" t="s">
        <v>48</v>
      </c>
      <c r="AK219" s="3" t="s">
        <v>212</v>
      </c>
      <c r="AL219" s="3" t="s">
        <v>59</v>
      </c>
      <c r="AM219" s="3" t="s">
        <v>115</v>
      </c>
      <c r="AN219" s="3" t="s">
        <v>61</v>
      </c>
      <c r="AO219" s="3" t="s">
        <v>62</v>
      </c>
      <c r="AP219" s="3" t="s">
        <v>69</v>
      </c>
      <c r="AQ219" s="3" t="s">
        <v>61</v>
      </c>
      <c r="AR219" s="3" t="s">
        <v>48</v>
      </c>
    </row>
    <row r="220" spans="1:44" ht="30" customHeight="1">
      <c r="A220" s="3" t="s">
        <v>44</v>
      </c>
      <c r="B220" s="3" t="s">
        <v>45</v>
      </c>
      <c r="C220" s="3" t="s">
        <v>46</v>
      </c>
      <c r="D220" s="3" t="s">
        <v>108</v>
      </c>
      <c r="E220" s="3" t="s">
        <v>48</v>
      </c>
      <c r="F220" s="3" t="s">
        <v>108</v>
      </c>
      <c r="G220" s="3" t="s">
        <v>2318</v>
      </c>
      <c r="H220" s="4">
        <f>IF(DATEDIF(L220,S220,"m")&gt;12,DATEDIF(L220,S220,"y"),(DATEDIF(L220,S220,"m")/12))</f>
        <v>3</v>
      </c>
      <c r="I220" s="7">
        <f>DATEDIF(L220,S220,"M")</f>
        <v>38</v>
      </c>
      <c r="J220" s="7">
        <f>DATEDIF(L220,S220,"D")</f>
        <v>1168</v>
      </c>
      <c r="K220" s="3" t="s">
        <v>64</v>
      </c>
      <c r="L220" s="8">
        <v>43786</v>
      </c>
      <c r="M220" s="3" t="s">
        <v>45</v>
      </c>
      <c r="N220" s="3" t="s">
        <v>73</v>
      </c>
      <c r="O220" s="3" t="s">
        <v>52</v>
      </c>
      <c r="P220" s="3" t="s">
        <v>74</v>
      </c>
      <c r="Q220" s="7">
        <v>0</v>
      </c>
      <c r="R220" s="8">
        <v>44958</v>
      </c>
      <c r="S220" s="8">
        <v>44954</v>
      </c>
      <c r="T220" s="3" t="s">
        <v>54</v>
      </c>
      <c r="U220" s="3" t="s">
        <v>55</v>
      </c>
      <c r="V220" s="9"/>
      <c r="W220" s="10">
        <v>44963</v>
      </c>
      <c r="X220" s="7">
        <v>5</v>
      </c>
      <c r="Y220" s="7">
        <v>4</v>
      </c>
      <c r="Z220" s="7">
        <v>1</v>
      </c>
      <c r="AA220" s="7">
        <f>INT((S220-DATE(YEAR(S220-WEEKDAY(S220-0)+4),1,4)+WEEKDAY(DATE(YEAR(S220-WEEKDAY(S220-0)+4),1,4))+6)/7)</f>
        <v>4</v>
      </c>
      <c r="AB220" s="3" t="s">
        <v>2319</v>
      </c>
      <c r="AC220" s="7">
        <v>196</v>
      </c>
      <c r="AD220" s="7">
        <v>0</v>
      </c>
      <c r="AE220" s="7">
        <v>0</v>
      </c>
      <c r="AF220" s="3" t="s">
        <v>48</v>
      </c>
      <c r="AG220" s="7">
        <v>2023</v>
      </c>
      <c r="AH220" s="3" t="s">
        <v>112</v>
      </c>
      <c r="AI220" s="3" t="s">
        <v>113</v>
      </c>
      <c r="AJ220" s="3" t="s">
        <v>48</v>
      </c>
      <c r="AK220" s="3" t="s">
        <v>212</v>
      </c>
      <c r="AL220" s="3" t="s">
        <v>59</v>
      </c>
      <c r="AM220" s="3" t="s">
        <v>115</v>
      </c>
      <c r="AN220" s="3" t="s">
        <v>61</v>
      </c>
      <c r="AO220" s="3" t="s">
        <v>62</v>
      </c>
      <c r="AP220" s="3" t="s">
        <v>69</v>
      </c>
      <c r="AQ220" s="3" t="s">
        <v>61</v>
      </c>
      <c r="AR220" s="3" t="s">
        <v>48</v>
      </c>
    </row>
    <row r="221" spans="1:44" ht="30" customHeight="1">
      <c r="A221" s="3" t="s">
        <v>44</v>
      </c>
      <c r="B221" s="3" t="s">
        <v>45</v>
      </c>
      <c r="C221" s="3" t="s">
        <v>80</v>
      </c>
      <c r="D221" s="3" t="s">
        <v>81</v>
      </c>
      <c r="E221" s="3" t="s">
        <v>48</v>
      </c>
      <c r="F221" s="3" t="s">
        <v>81</v>
      </c>
      <c r="G221" s="3" t="s">
        <v>1846</v>
      </c>
      <c r="H221" s="11">
        <f>IF(DATEDIF(L221,S221,"m")&gt;12,DATEDIF(L221,S221,"y"),(DATEDIF(L221,S221,"m")/12))</f>
        <v>0</v>
      </c>
      <c r="I221" s="7">
        <f>DATEDIF(L221,S221,"M")</f>
        <v>0</v>
      </c>
      <c r="J221" s="7">
        <f>DATEDIF(L221,S221,"D")</f>
        <v>15</v>
      </c>
      <c r="K221" s="3" t="s">
        <v>51</v>
      </c>
      <c r="L221" s="8">
        <v>44923</v>
      </c>
      <c r="M221" s="3" t="s">
        <v>45</v>
      </c>
      <c r="N221" s="3" t="s">
        <v>83</v>
      </c>
      <c r="O221" s="3" t="s">
        <v>52</v>
      </c>
      <c r="P221" s="3" t="s">
        <v>1847</v>
      </c>
      <c r="Q221" s="7">
        <v>1</v>
      </c>
      <c r="R221" s="8">
        <v>44940</v>
      </c>
      <c r="S221" s="8">
        <v>44938</v>
      </c>
      <c r="T221" s="3" t="s">
        <v>54</v>
      </c>
      <c r="U221" s="3" t="s">
        <v>55</v>
      </c>
      <c r="V221" s="9"/>
      <c r="W221" s="10">
        <v>44957</v>
      </c>
      <c r="X221" s="7">
        <v>17</v>
      </c>
      <c r="Y221" s="7">
        <v>2</v>
      </c>
      <c r="Z221" s="7">
        <v>1</v>
      </c>
      <c r="AA221" s="7">
        <f>INT((S221-DATE(YEAR(S221-WEEKDAY(S221-0)+4),1,4)+WEEKDAY(DATE(YEAR(S221-WEEKDAY(S221-0)+4),1,4))+6)/7)</f>
        <v>2</v>
      </c>
      <c r="AB221" s="3" t="s">
        <v>1848</v>
      </c>
      <c r="AC221" s="7">
        <v>13902</v>
      </c>
      <c r="AD221" s="7">
        <v>0</v>
      </c>
      <c r="AE221" s="7">
        <v>0</v>
      </c>
      <c r="AF221" s="3" t="s">
        <v>48</v>
      </c>
      <c r="AG221" s="7">
        <v>2023</v>
      </c>
      <c r="AH221" s="3" t="s">
        <v>86</v>
      </c>
      <c r="AI221" s="3" t="s">
        <v>48</v>
      </c>
      <c r="AJ221" s="3" t="s">
        <v>48</v>
      </c>
      <c r="AK221" s="3" t="s">
        <v>1849</v>
      </c>
      <c r="AL221" s="3" t="s">
        <v>59</v>
      </c>
      <c r="AM221" s="3" t="s">
        <v>60</v>
      </c>
      <c r="AN221" s="3" t="s">
        <v>69</v>
      </c>
      <c r="AO221" s="3" t="s">
        <v>62</v>
      </c>
      <c r="AP221" s="3" t="s">
        <v>69</v>
      </c>
      <c r="AQ221" s="3" t="s">
        <v>61</v>
      </c>
      <c r="AR221" s="3" t="s">
        <v>48</v>
      </c>
    </row>
    <row r="222" spans="1:44" ht="30" customHeight="1">
      <c r="A222" s="3" t="s">
        <v>44</v>
      </c>
      <c r="B222" s="3" t="s">
        <v>45</v>
      </c>
      <c r="C222" s="3" t="s">
        <v>46</v>
      </c>
      <c r="D222" s="3" t="s">
        <v>47</v>
      </c>
      <c r="E222" s="3" t="s">
        <v>48</v>
      </c>
      <c r="F222" s="3" t="s">
        <v>49</v>
      </c>
      <c r="G222" s="3" t="s">
        <v>1752</v>
      </c>
      <c r="H222" s="4">
        <f>IF(DATEDIF(L222,S222,"m")&gt;12,DATEDIF(L222,S222,"y"),(DATEDIF(L222,S222,"m")/12))</f>
        <v>3</v>
      </c>
      <c r="I222" s="7">
        <f>DATEDIF(L222,S222,"M")</f>
        <v>46</v>
      </c>
      <c r="J222" s="7">
        <f>DATEDIF(L222,S222,"D")</f>
        <v>1409</v>
      </c>
      <c r="K222" s="3" t="s">
        <v>51</v>
      </c>
      <c r="L222" s="8">
        <v>43551</v>
      </c>
      <c r="M222" s="3" t="s">
        <v>45</v>
      </c>
      <c r="N222" s="3" t="s">
        <v>73</v>
      </c>
      <c r="O222" s="3" t="s">
        <v>52</v>
      </c>
      <c r="P222" s="3" t="s">
        <v>432</v>
      </c>
      <c r="Q222" s="7">
        <v>0</v>
      </c>
      <c r="R222" s="8">
        <v>44963</v>
      </c>
      <c r="S222" s="8">
        <v>44960</v>
      </c>
      <c r="T222" s="3" t="s">
        <v>54</v>
      </c>
      <c r="U222" s="3" t="s">
        <v>55</v>
      </c>
      <c r="V222" s="9"/>
      <c r="W222" s="10">
        <v>44970</v>
      </c>
      <c r="X222" s="7">
        <v>7</v>
      </c>
      <c r="Y222" s="7">
        <v>3</v>
      </c>
      <c r="Z222" s="7">
        <v>2</v>
      </c>
      <c r="AA222" s="7">
        <f>INT((S222-DATE(YEAR(S222-WEEKDAY(S222-0)+4),1,4)+WEEKDAY(DATE(YEAR(S222-WEEKDAY(S222-0)+4),1,4))+6)/7)</f>
        <v>5</v>
      </c>
      <c r="AB222" s="3" t="s">
        <v>1753</v>
      </c>
      <c r="AC222" s="7">
        <v>36</v>
      </c>
      <c r="AD222" s="7">
        <v>0</v>
      </c>
      <c r="AE222" s="7">
        <v>0</v>
      </c>
      <c r="AF222" s="3" t="s">
        <v>48</v>
      </c>
      <c r="AG222" s="7">
        <v>2023</v>
      </c>
      <c r="AH222" s="3" t="s">
        <v>57</v>
      </c>
      <c r="AI222" s="3" t="s">
        <v>48</v>
      </c>
      <c r="AJ222" s="3" t="s">
        <v>48</v>
      </c>
      <c r="AK222" s="3" t="s">
        <v>212</v>
      </c>
      <c r="AL222" s="3" t="s">
        <v>59</v>
      </c>
      <c r="AM222" s="3" t="s">
        <v>60</v>
      </c>
      <c r="AN222" s="3" t="s">
        <v>61</v>
      </c>
      <c r="AO222" s="3" t="s">
        <v>62</v>
      </c>
      <c r="AP222" s="3" t="s">
        <v>69</v>
      </c>
      <c r="AQ222" s="3" t="s">
        <v>61</v>
      </c>
      <c r="AR222" s="3" t="s">
        <v>48</v>
      </c>
    </row>
    <row r="223" spans="1:44" ht="30" customHeight="1">
      <c r="A223" s="3" t="s">
        <v>44</v>
      </c>
      <c r="B223" s="3" t="s">
        <v>45</v>
      </c>
      <c r="C223" s="3" t="s">
        <v>46</v>
      </c>
      <c r="D223" s="3" t="s">
        <v>47</v>
      </c>
      <c r="E223" s="3" t="s">
        <v>48</v>
      </c>
      <c r="F223" s="3" t="s">
        <v>49</v>
      </c>
      <c r="G223" s="3" t="s">
        <v>2071</v>
      </c>
      <c r="H223" s="4">
        <f>IF(DATEDIF(L223,S223,"m")&gt;12,DATEDIF(L223,S223,"y"),(DATEDIF(L223,S223,"m")/12))</f>
        <v>11</v>
      </c>
      <c r="I223" s="7">
        <f>DATEDIF(L223,S223,"M")</f>
        <v>134</v>
      </c>
      <c r="J223" s="7">
        <f>DATEDIF(L223,S223,"D")</f>
        <v>4088</v>
      </c>
      <c r="K223" s="3" t="s">
        <v>51</v>
      </c>
      <c r="L223" s="8">
        <v>40874</v>
      </c>
      <c r="M223" s="3" t="s">
        <v>45</v>
      </c>
      <c r="N223" s="3" t="s">
        <v>73</v>
      </c>
      <c r="O223" s="3" t="s">
        <v>52</v>
      </c>
      <c r="P223" s="3" t="s">
        <v>74</v>
      </c>
      <c r="Q223" s="7">
        <v>0</v>
      </c>
      <c r="R223" s="8">
        <v>44967</v>
      </c>
      <c r="S223" s="8">
        <v>44962</v>
      </c>
      <c r="T223" s="3" t="s">
        <v>54</v>
      </c>
      <c r="U223" s="3" t="s">
        <v>55</v>
      </c>
      <c r="V223" s="9"/>
      <c r="W223" s="10">
        <v>44970</v>
      </c>
      <c r="X223" s="7">
        <v>3</v>
      </c>
      <c r="Y223" s="7">
        <v>5</v>
      </c>
      <c r="Z223" s="7">
        <v>2</v>
      </c>
      <c r="AA223" s="7">
        <f>INT((S223-DATE(YEAR(S223-WEEKDAY(S223-0)+4),1,4)+WEEKDAY(DATE(YEAR(S223-WEEKDAY(S223-0)+4),1,4))+6)/7)</f>
        <v>6</v>
      </c>
      <c r="AB223" s="3" t="s">
        <v>2072</v>
      </c>
      <c r="AC223" s="7">
        <v>43</v>
      </c>
      <c r="AD223" s="7">
        <v>0</v>
      </c>
      <c r="AE223" s="7">
        <v>0</v>
      </c>
      <c r="AF223" s="3" t="s">
        <v>48</v>
      </c>
      <c r="AG223" s="7">
        <v>2023</v>
      </c>
      <c r="AH223" s="3" t="s">
        <v>57</v>
      </c>
      <c r="AI223" s="3" t="s">
        <v>48</v>
      </c>
      <c r="AJ223" s="3" t="s">
        <v>48</v>
      </c>
      <c r="AK223" s="26" t="s">
        <v>212</v>
      </c>
      <c r="AL223" s="3" t="s">
        <v>59</v>
      </c>
      <c r="AM223" s="3" t="s">
        <v>60</v>
      </c>
      <c r="AN223" s="3" t="s">
        <v>61</v>
      </c>
      <c r="AO223" s="3" t="s">
        <v>62</v>
      </c>
      <c r="AP223" s="3" t="s">
        <v>69</v>
      </c>
      <c r="AQ223" s="3" t="s">
        <v>61</v>
      </c>
      <c r="AR223" s="3" t="s">
        <v>48</v>
      </c>
    </row>
    <row r="224" spans="1:44" ht="30" customHeight="1">
      <c r="A224" s="3" t="s">
        <v>44</v>
      </c>
      <c r="B224" s="3" t="s">
        <v>45</v>
      </c>
      <c r="C224" s="3" t="s">
        <v>46</v>
      </c>
      <c r="D224" s="3" t="s">
        <v>108</v>
      </c>
      <c r="E224" s="3" t="s">
        <v>48</v>
      </c>
      <c r="F224" s="3" t="s">
        <v>108</v>
      </c>
      <c r="G224" s="3" t="s">
        <v>747</v>
      </c>
      <c r="H224" s="4">
        <f>IF(DATEDIF(L224,S224,"m")&gt;12,DATEDIF(L224,S224,"y"),(DATEDIF(L224,S224,"m")/12))</f>
        <v>39</v>
      </c>
      <c r="I224" s="7">
        <f>DATEDIF(L224,S224,"M")</f>
        <v>471</v>
      </c>
      <c r="J224" s="7">
        <f>DATEDIF(L224,S224,"D")</f>
        <v>14351</v>
      </c>
      <c r="K224" s="3" t="s">
        <v>51</v>
      </c>
      <c r="L224" s="8">
        <v>30599</v>
      </c>
      <c r="M224" s="3" t="s">
        <v>45</v>
      </c>
      <c r="N224" s="3" t="s">
        <v>73</v>
      </c>
      <c r="O224" s="3" t="s">
        <v>52</v>
      </c>
      <c r="P224" s="3" t="s">
        <v>84</v>
      </c>
      <c r="Q224" s="7">
        <v>0</v>
      </c>
      <c r="R224" s="8">
        <v>44963</v>
      </c>
      <c r="S224" s="8">
        <v>44950</v>
      </c>
      <c r="T224" s="3" t="s">
        <v>54</v>
      </c>
      <c r="U224" s="3" t="s">
        <v>55</v>
      </c>
      <c r="V224" s="9"/>
      <c r="W224" s="10">
        <v>44971</v>
      </c>
      <c r="X224" s="7">
        <v>8</v>
      </c>
      <c r="Y224" s="7">
        <v>13</v>
      </c>
      <c r="Z224" s="7">
        <v>1</v>
      </c>
      <c r="AA224" s="7">
        <f>INT((S224-DATE(YEAR(S224-WEEKDAY(S224-0)+4),1,4)+WEEKDAY(DATE(YEAR(S224-WEEKDAY(S224-0)+4),1,4))+6)/7)</f>
        <v>4</v>
      </c>
      <c r="AB224" s="3" t="s">
        <v>748</v>
      </c>
      <c r="AC224" s="7">
        <v>210</v>
      </c>
      <c r="AD224" s="7">
        <v>0</v>
      </c>
      <c r="AE224" s="7">
        <v>0</v>
      </c>
      <c r="AF224" s="3" t="s">
        <v>48</v>
      </c>
      <c r="AG224" s="7">
        <v>2023</v>
      </c>
      <c r="AH224" s="3" t="s">
        <v>112</v>
      </c>
      <c r="AI224" s="3" t="s">
        <v>113</v>
      </c>
      <c r="AJ224" s="3" t="s">
        <v>48</v>
      </c>
      <c r="AK224" s="3" t="s">
        <v>212</v>
      </c>
      <c r="AL224" s="3" t="s">
        <v>59</v>
      </c>
      <c r="AM224" s="3" t="s">
        <v>115</v>
      </c>
      <c r="AN224" s="3" t="s">
        <v>61</v>
      </c>
      <c r="AO224" s="3" t="s">
        <v>62</v>
      </c>
      <c r="AP224" s="3" t="s">
        <v>69</v>
      </c>
      <c r="AQ224" s="3" t="s">
        <v>61</v>
      </c>
      <c r="AR224" s="3" t="s">
        <v>48</v>
      </c>
    </row>
    <row r="225" spans="1:44" ht="30" customHeight="1">
      <c r="A225" s="3" t="s">
        <v>44</v>
      </c>
      <c r="B225" s="3" t="s">
        <v>45</v>
      </c>
      <c r="C225" s="3" t="s">
        <v>46</v>
      </c>
      <c r="D225" s="3" t="s">
        <v>100</v>
      </c>
      <c r="E225" s="3" t="s">
        <v>48</v>
      </c>
      <c r="F225" s="3" t="s">
        <v>101</v>
      </c>
      <c r="G225" s="3" t="s">
        <v>2346</v>
      </c>
      <c r="H225" s="4">
        <f>IF(DATEDIF(L225,S225,"m")&gt;12,DATEDIF(L225,S225,"y"),(DATEDIF(L225,S225,"m")/12))</f>
        <v>40</v>
      </c>
      <c r="I225" s="7">
        <f>DATEDIF(L225,S225,"M")</f>
        <v>484</v>
      </c>
      <c r="J225" s="7">
        <f>DATEDIF(L225,S225,"D")</f>
        <v>14740</v>
      </c>
      <c r="K225" s="3" t="s">
        <v>51</v>
      </c>
      <c r="L225" s="8">
        <v>30187</v>
      </c>
      <c r="M225" s="3" t="s">
        <v>45</v>
      </c>
      <c r="N225" s="3" t="s">
        <v>101</v>
      </c>
      <c r="O225" s="3" t="s">
        <v>52</v>
      </c>
      <c r="P225" s="3" t="s">
        <v>1037</v>
      </c>
      <c r="Q225" s="7">
        <v>0</v>
      </c>
      <c r="R225" s="8">
        <v>44947</v>
      </c>
      <c r="S225" s="8">
        <v>44927</v>
      </c>
      <c r="T225" s="3" t="s">
        <v>54</v>
      </c>
      <c r="U225" s="3" t="s">
        <v>55</v>
      </c>
      <c r="V225" s="9"/>
      <c r="W225" s="10">
        <v>44957</v>
      </c>
      <c r="X225" s="7">
        <v>10</v>
      </c>
      <c r="Y225" s="7">
        <v>20</v>
      </c>
      <c r="Z225" s="7">
        <v>1</v>
      </c>
      <c r="AA225" s="7">
        <f>INT((S225-DATE(YEAR(S225-WEEKDAY(S225-0)+4),1,4)+WEEKDAY(DATE(YEAR(S225-WEEKDAY(S225-0)+4),1,4))+6)/7)</f>
        <v>1</v>
      </c>
      <c r="AB225" s="3" t="s">
        <v>2347</v>
      </c>
      <c r="AC225" s="7">
        <v>107</v>
      </c>
      <c r="AD225" s="7">
        <v>0</v>
      </c>
      <c r="AE225" s="7">
        <v>0</v>
      </c>
      <c r="AF225" s="3" t="s">
        <v>48</v>
      </c>
      <c r="AG225" s="7">
        <v>2023</v>
      </c>
      <c r="AH225" s="3" t="s">
        <v>105</v>
      </c>
      <c r="AI225" s="3" t="s">
        <v>106</v>
      </c>
      <c r="AJ225" s="3" t="s">
        <v>48</v>
      </c>
      <c r="AK225" s="3" t="s">
        <v>162</v>
      </c>
      <c r="AL225" s="3" t="s">
        <v>59</v>
      </c>
      <c r="AM225" s="3" t="s">
        <v>99</v>
      </c>
      <c r="AN225" s="3" t="s">
        <v>61</v>
      </c>
      <c r="AO225" s="3" t="s">
        <v>62</v>
      </c>
      <c r="AP225" s="3" t="s">
        <v>69</v>
      </c>
      <c r="AQ225" s="3" t="s">
        <v>61</v>
      </c>
      <c r="AR225" s="3" t="s">
        <v>48</v>
      </c>
    </row>
    <row r="226" spans="1:44" ht="30" customHeight="1">
      <c r="A226" s="3" t="s">
        <v>44</v>
      </c>
      <c r="B226" s="3" t="s">
        <v>45</v>
      </c>
      <c r="C226" s="3" t="s">
        <v>46</v>
      </c>
      <c r="D226" s="3" t="s">
        <v>108</v>
      </c>
      <c r="E226" s="3" t="s">
        <v>48</v>
      </c>
      <c r="F226" s="3" t="s">
        <v>108</v>
      </c>
      <c r="G226" s="3" t="s">
        <v>1328</v>
      </c>
      <c r="H226" s="4">
        <f>IF(DATEDIF(L226,S226,"m")&gt;12,DATEDIF(L226,S226,"y"),(DATEDIF(L226,S226,"m")/12))</f>
        <v>1</v>
      </c>
      <c r="I226" s="7">
        <f>DATEDIF(L226,S226,"M")</f>
        <v>13</v>
      </c>
      <c r="J226" s="7">
        <f>DATEDIF(L226,S226,"D")</f>
        <v>404</v>
      </c>
      <c r="K226" s="3" t="s">
        <v>51</v>
      </c>
      <c r="L226" s="8">
        <v>44571</v>
      </c>
      <c r="M226" s="3" t="s">
        <v>45</v>
      </c>
      <c r="N226" s="3" t="s">
        <v>73</v>
      </c>
      <c r="O226" s="3" t="s">
        <v>52</v>
      </c>
      <c r="P226" s="3" t="s">
        <v>91</v>
      </c>
      <c r="Q226" s="7">
        <v>0</v>
      </c>
      <c r="R226" s="8">
        <v>44980</v>
      </c>
      <c r="S226" s="8">
        <v>44975</v>
      </c>
      <c r="T226" s="3" t="s">
        <v>54</v>
      </c>
      <c r="U226" s="3" t="s">
        <v>55</v>
      </c>
      <c r="V226" s="9"/>
      <c r="W226" s="10">
        <v>44984</v>
      </c>
      <c r="X226" s="7">
        <v>4</v>
      </c>
      <c r="Y226" s="7">
        <v>5</v>
      </c>
      <c r="Z226" s="7">
        <v>2</v>
      </c>
      <c r="AA226" s="7">
        <f>INT((S226-DATE(YEAR(S226-WEEKDAY(S226-0)+4),1,4)+WEEKDAY(DATE(YEAR(S226-WEEKDAY(S226-0)+4),1,4))+6)/7)</f>
        <v>7</v>
      </c>
      <c r="AB226" s="3" t="s">
        <v>1329</v>
      </c>
      <c r="AC226" s="7">
        <v>299</v>
      </c>
      <c r="AD226" s="7">
        <v>0</v>
      </c>
      <c r="AE226" s="7">
        <v>0</v>
      </c>
      <c r="AF226" s="3" t="s">
        <v>48</v>
      </c>
      <c r="AG226" s="7">
        <v>2023</v>
      </c>
      <c r="AH226" s="3" t="s">
        <v>112</v>
      </c>
      <c r="AI226" s="3" t="s">
        <v>113</v>
      </c>
      <c r="AJ226" s="3" t="s">
        <v>48</v>
      </c>
      <c r="AK226" s="3" t="s">
        <v>212</v>
      </c>
      <c r="AL226" s="3" t="s">
        <v>59</v>
      </c>
      <c r="AM226" s="3" t="s">
        <v>115</v>
      </c>
      <c r="AN226" s="3" t="s">
        <v>61</v>
      </c>
      <c r="AO226" s="3" t="s">
        <v>62</v>
      </c>
      <c r="AP226" s="3" t="s">
        <v>69</v>
      </c>
      <c r="AQ226" s="3" t="s">
        <v>61</v>
      </c>
      <c r="AR226" s="3" t="s">
        <v>48</v>
      </c>
    </row>
    <row r="227" spans="1:44" ht="30" customHeight="1">
      <c r="A227" s="3" t="s">
        <v>44</v>
      </c>
      <c r="B227" s="3" t="s">
        <v>45</v>
      </c>
      <c r="C227" s="3" t="s">
        <v>46</v>
      </c>
      <c r="D227" s="3" t="s">
        <v>108</v>
      </c>
      <c r="E227" s="3" t="s">
        <v>48</v>
      </c>
      <c r="F227" s="3" t="s">
        <v>108</v>
      </c>
      <c r="G227" s="3" t="s">
        <v>1565</v>
      </c>
      <c r="H227" s="4">
        <f>IF(DATEDIF(L227,S227,"m")&gt;12,DATEDIF(L227,S227,"y"),(DATEDIF(L227,S227,"m")/12))</f>
        <v>1</v>
      </c>
      <c r="I227" s="7">
        <f>DATEDIF(L227,S227,"M")</f>
        <v>15</v>
      </c>
      <c r="J227" s="7">
        <f>DATEDIF(L227,S227,"D")</f>
        <v>460</v>
      </c>
      <c r="K227" s="3" t="s">
        <v>51</v>
      </c>
      <c r="L227" s="8">
        <v>44514</v>
      </c>
      <c r="M227" s="3" t="s">
        <v>45</v>
      </c>
      <c r="N227" s="3" t="s">
        <v>73</v>
      </c>
      <c r="O227" s="3" t="s">
        <v>52</v>
      </c>
      <c r="P227" s="3" t="s">
        <v>74</v>
      </c>
      <c r="Q227" s="7">
        <v>0</v>
      </c>
      <c r="R227" s="8">
        <v>44979</v>
      </c>
      <c r="S227" s="8">
        <v>44974</v>
      </c>
      <c r="T227" s="3" t="s">
        <v>54</v>
      </c>
      <c r="U227" s="3" t="s">
        <v>55</v>
      </c>
      <c r="V227" s="9"/>
      <c r="W227" s="10">
        <v>44984</v>
      </c>
      <c r="X227" s="7">
        <v>5</v>
      </c>
      <c r="Y227" s="7">
        <v>5</v>
      </c>
      <c r="Z227" s="7">
        <v>2</v>
      </c>
      <c r="AA227" s="7">
        <f>INT((S227-DATE(YEAR(S227-WEEKDAY(S227-0)+4),1,4)+WEEKDAY(DATE(YEAR(S227-WEEKDAY(S227-0)+4),1,4))+6)/7)</f>
        <v>7</v>
      </c>
      <c r="AB227" s="3" t="s">
        <v>1566</v>
      </c>
      <c r="AC227" s="7">
        <v>291</v>
      </c>
      <c r="AD227" s="7">
        <v>0</v>
      </c>
      <c r="AE227" s="7">
        <v>0</v>
      </c>
      <c r="AF227" s="3" t="s">
        <v>48</v>
      </c>
      <c r="AG227" s="7">
        <v>2023</v>
      </c>
      <c r="AH227" s="3" t="s">
        <v>112</v>
      </c>
      <c r="AI227" s="3" t="s">
        <v>113</v>
      </c>
      <c r="AJ227" s="3" t="s">
        <v>48</v>
      </c>
      <c r="AK227" s="3" t="s">
        <v>212</v>
      </c>
      <c r="AL227" s="3" t="s">
        <v>59</v>
      </c>
      <c r="AM227" s="3" t="s">
        <v>115</v>
      </c>
      <c r="AN227" s="3" t="s">
        <v>61</v>
      </c>
      <c r="AO227" s="3" t="s">
        <v>62</v>
      </c>
      <c r="AP227" s="3" t="s">
        <v>69</v>
      </c>
      <c r="AQ227" s="3" t="s">
        <v>61</v>
      </c>
      <c r="AR227" s="3" t="s">
        <v>48</v>
      </c>
    </row>
    <row r="228" spans="1:44" ht="30" customHeight="1">
      <c r="A228" s="3" t="s">
        <v>44</v>
      </c>
      <c r="B228" s="3" t="s">
        <v>45</v>
      </c>
      <c r="C228" s="3" t="s">
        <v>46</v>
      </c>
      <c r="D228" s="3" t="s">
        <v>130</v>
      </c>
      <c r="E228" s="3" t="s">
        <v>48</v>
      </c>
      <c r="F228" s="3" t="s">
        <v>131</v>
      </c>
      <c r="G228" s="3" t="s">
        <v>48</v>
      </c>
      <c r="H228" s="5">
        <f>IF(DATEDIF(L228,S228,"m")&gt;12,DATEDIF(L228,S228,"y"),(DATEDIF(L228,S228,"m")/12))</f>
        <v>0.91666666666666663</v>
      </c>
      <c r="I228" s="7">
        <f>DATEDIF(L228,S228,"M")</f>
        <v>11</v>
      </c>
      <c r="J228" s="7">
        <f>DATEDIF(L228,S228,"D")</f>
        <v>357</v>
      </c>
      <c r="K228" s="3" t="s">
        <v>64</v>
      </c>
      <c r="L228" s="8">
        <v>44592</v>
      </c>
      <c r="M228" s="3" t="s">
        <v>45</v>
      </c>
      <c r="N228" s="3" t="s">
        <v>83</v>
      </c>
      <c r="O228" s="3" t="s">
        <v>52</v>
      </c>
      <c r="P228" s="3" t="s">
        <v>176</v>
      </c>
      <c r="Q228" s="7">
        <v>0</v>
      </c>
      <c r="R228" s="8">
        <v>44956</v>
      </c>
      <c r="S228" s="8">
        <v>44949</v>
      </c>
      <c r="T228" s="3" t="s">
        <v>54</v>
      </c>
      <c r="U228" s="3" t="s">
        <v>55</v>
      </c>
      <c r="V228" s="9"/>
      <c r="W228" s="10">
        <v>44959</v>
      </c>
      <c r="X228" s="7">
        <v>3</v>
      </c>
      <c r="Y228" s="7">
        <v>7</v>
      </c>
      <c r="Z228" s="7">
        <v>1</v>
      </c>
      <c r="AA228" s="7">
        <f>INT((S228-DATE(YEAR(S228-WEEKDAY(S228-0)+4),1,4)+WEEKDAY(DATE(YEAR(S228-WEEKDAY(S228-0)+4),1,4))+6)/7)</f>
        <v>4</v>
      </c>
      <c r="AB228" s="3" t="s">
        <v>177</v>
      </c>
      <c r="AC228" s="7">
        <v>91</v>
      </c>
      <c r="AD228" s="7">
        <v>0</v>
      </c>
      <c r="AE228" s="7">
        <v>0</v>
      </c>
      <c r="AF228" s="3" t="s">
        <v>48</v>
      </c>
      <c r="AG228" s="7">
        <v>2023</v>
      </c>
      <c r="AH228" s="3" t="s">
        <v>133</v>
      </c>
      <c r="AI228" s="3" t="s">
        <v>106</v>
      </c>
      <c r="AJ228" s="3" t="s">
        <v>48</v>
      </c>
      <c r="AK228" s="3" t="s">
        <v>178</v>
      </c>
      <c r="AL228" s="3" t="s">
        <v>59</v>
      </c>
      <c r="AM228" s="3" t="s">
        <v>115</v>
      </c>
      <c r="AN228" s="3" t="s">
        <v>61</v>
      </c>
      <c r="AO228" s="3" t="s">
        <v>62</v>
      </c>
      <c r="AP228" s="3" t="s">
        <v>69</v>
      </c>
      <c r="AQ228" s="3" t="s">
        <v>61</v>
      </c>
      <c r="AR228" s="3" t="s">
        <v>48</v>
      </c>
    </row>
    <row r="229" spans="1:44" ht="30" customHeight="1">
      <c r="A229" s="3" t="s">
        <v>44</v>
      </c>
      <c r="B229" s="3" t="s">
        <v>45</v>
      </c>
      <c r="C229" s="3" t="s">
        <v>46</v>
      </c>
      <c r="D229" s="3" t="s">
        <v>130</v>
      </c>
      <c r="E229" s="3" t="s">
        <v>48</v>
      </c>
      <c r="F229" s="3" t="s">
        <v>131</v>
      </c>
      <c r="G229" s="3" t="s">
        <v>48</v>
      </c>
      <c r="H229" s="5">
        <f>IF(DATEDIF(L229,S229,"m")&gt;12,DATEDIF(L229,S229,"y"),(DATEDIF(L229,S229,"m")/12))</f>
        <v>0.33333333333333331</v>
      </c>
      <c r="I229" s="7">
        <f>DATEDIF(L229,S229,"M")</f>
        <v>4</v>
      </c>
      <c r="J229" s="7">
        <f>DATEDIF(L229,S229,"D")</f>
        <v>129</v>
      </c>
      <c r="K229" s="3" t="s">
        <v>51</v>
      </c>
      <c r="L229" s="8">
        <v>44824</v>
      </c>
      <c r="M229" s="3" t="s">
        <v>45</v>
      </c>
      <c r="N229" s="3" t="s">
        <v>83</v>
      </c>
      <c r="O229" s="3" t="s">
        <v>52</v>
      </c>
      <c r="P229" s="3" t="s">
        <v>137</v>
      </c>
      <c r="Q229" s="7">
        <v>0</v>
      </c>
      <c r="R229" s="8">
        <v>44956</v>
      </c>
      <c r="S229" s="8">
        <v>44953</v>
      </c>
      <c r="T229" s="3" t="s">
        <v>54</v>
      </c>
      <c r="U229" s="3" t="s">
        <v>55</v>
      </c>
      <c r="V229" s="9"/>
      <c r="W229" s="10">
        <v>44959</v>
      </c>
      <c r="X229" s="7">
        <v>3</v>
      </c>
      <c r="Y229" s="7">
        <v>3</v>
      </c>
      <c r="Z229" s="7">
        <v>1</v>
      </c>
      <c r="AA229" s="7">
        <f>INT((S229-DATE(YEAR(S229-WEEKDAY(S229-0)+4),1,4)+WEEKDAY(DATE(YEAR(S229-WEEKDAY(S229-0)+4),1,4))+6)/7)</f>
        <v>4</v>
      </c>
      <c r="AB229" s="3" t="s">
        <v>436</v>
      </c>
      <c r="AC229" s="7">
        <v>90</v>
      </c>
      <c r="AD229" s="7">
        <v>0</v>
      </c>
      <c r="AE229" s="7">
        <v>0</v>
      </c>
      <c r="AF229" s="3" t="s">
        <v>48</v>
      </c>
      <c r="AG229" s="7">
        <v>2023</v>
      </c>
      <c r="AH229" s="3" t="s">
        <v>133</v>
      </c>
      <c r="AI229" s="3" t="s">
        <v>106</v>
      </c>
      <c r="AJ229" s="3" t="s">
        <v>48</v>
      </c>
      <c r="AK229" s="3" t="s">
        <v>216</v>
      </c>
      <c r="AL229" s="3" t="s">
        <v>59</v>
      </c>
      <c r="AM229" s="3" t="s">
        <v>115</v>
      </c>
      <c r="AN229" s="3" t="s">
        <v>61</v>
      </c>
      <c r="AO229" s="3" t="s">
        <v>62</v>
      </c>
      <c r="AP229" s="3" t="s">
        <v>69</v>
      </c>
      <c r="AQ229" s="3" t="s">
        <v>61</v>
      </c>
      <c r="AR229" s="3" t="s">
        <v>48</v>
      </c>
    </row>
    <row r="230" spans="1:44" ht="30" customHeight="1">
      <c r="A230" s="3" t="s">
        <v>44</v>
      </c>
      <c r="B230" s="3" t="s">
        <v>45</v>
      </c>
      <c r="C230" s="3" t="s">
        <v>46</v>
      </c>
      <c r="D230" s="3" t="s">
        <v>130</v>
      </c>
      <c r="E230" s="3" t="s">
        <v>48</v>
      </c>
      <c r="F230" s="3" t="s">
        <v>131</v>
      </c>
      <c r="G230" s="3" t="s">
        <v>48</v>
      </c>
      <c r="H230" s="4">
        <f>IF(DATEDIF(L230,S230,"m")&gt;12,DATEDIF(L230,S230,"y"),(DATEDIF(L230,S230,"m")/12))</f>
        <v>49</v>
      </c>
      <c r="I230" s="7">
        <f>DATEDIF(L230,S230,"M")</f>
        <v>599</v>
      </c>
      <c r="J230" s="7">
        <f>DATEDIF(L230,S230,"D")</f>
        <v>18250</v>
      </c>
      <c r="K230" s="3" t="s">
        <v>51</v>
      </c>
      <c r="L230" s="8">
        <v>26699</v>
      </c>
      <c r="M230" s="3" t="s">
        <v>45</v>
      </c>
      <c r="N230" s="3" t="s">
        <v>83</v>
      </c>
      <c r="O230" s="3" t="s">
        <v>52</v>
      </c>
      <c r="P230" s="3" t="s">
        <v>463</v>
      </c>
      <c r="Q230" s="7">
        <v>0</v>
      </c>
      <c r="R230" s="8">
        <v>44956</v>
      </c>
      <c r="S230" s="8">
        <v>44949</v>
      </c>
      <c r="T230" s="3" t="s">
        <v>464</v>
      </c>
      <c r="U230" s="3" t="s">
        <v>55</v>
      </c>
      <c r="V230" s="9"/>
      <c r="W230" s="10">
        <v>44959</v>
      </c>
      <c r="X230" s="7">
        <v>3</v>
      </c>
      <c r="Y230" s="7">
        <v>7</v>
      </c>
      <c r="Z230" s="7">
        <v>1</v>
      </c>
      <c r="AA230" s="7">
        <f>INT((S230-DATE(YEAR(S230-WEEKDAY(S230-0)+4),1,4)+WEEKDAY(DATE(YEAR(S230-WEEKDAY(S230-0)+4),1,4))+6)/7)</f>
        <v>4</v>
      </c>
      <c r="AB230" s="3" t="s">
        <v>465</v>
      </c>
      <c r="AC230" s="7">
        <v>89</v>
      </c>
      <c r="AD230" s="7">
        <v>0</v>
      </c>
      <c r="AE230" s="7">
        <v>0</v>
      </c>
      <c r="AF230" s="3" t="s">
        <v>48</v>
      </c>
      <c r="AG230" s="7">
        <v>2023</v>
      </c>
      <c r="AH230" s="3" t="s">
        <v>133</v>
      </c>
      <c r="AI230" s="3" t="s">
        <v>106</v>
      </c>
      <c r="AJ230" s="3" t="s">
        <v>48</v>
      </c>
      <c r="AK230" s="12" t="s">
        <v>140</v>
      </c>
      <c r="AL230" s="3" t="s">
        <v>59</v>
      </c>
      <c r="AM230" s="3" t="s">
        <v>115</v>
      </c>
      <c r="AN230" s="3" t="s">
        <v>61</v>
      </c>
      <c r="AO230" s="3" t="s">
        <v>48</v>
      </c>
      <c r="AP230" s="3" t="s">
        <v>69</v>
      </c>
      <c r="AQ230" s="3" t="s">
        <v>61</v>
      </c>
      <c r="AR230" s="3" t="s">
        <v>48</v>
      </c>
    </row>
    <row r="231" spans="1:44" ht="30" customHeight="1">
      <c r="A231" s="3" t="s">
        <v>44</v>
      </c>
      <c r="B231" s="3" t="s">
        <v>45</v>
      </c>
      <c r="C231" s="3" t="s">
        <v>46</v>
      </c>
      <c r="D231" s="3" t="s">
        <v>130</v>
      </c>
      <c r="E231" s="3" t="s">
        <v>48</v>
      </c>
      <c r="F231" s="3" t="s">
        <v>131</v>
      </c>
      <c r="G231" s="3" t="s">
        <v>48</v>
      </c>
      <c r="H231" s="4">
        <f>IF(DATEDIF(L231,S231,"m")&gt;12,DATEDIF(L231,S231,"y"),(DATEDIF(L231,S231,"m")/12))</f>
        <v>18</v>
      </c>
      <c r="I231" s="7">
        <f>DATEDIF(L231,S231,"M")</f>
        <v>216</v>
      </c>
      <c r="J231" s="7">
        <f>DATEDIF(L231,S231,"D")</f>
        <v>6595</v>
      </c>
      <c r="K231" s="3" t="s">
        <v>64</v>
      </c>
      <c r="L231" s="8">
        <v>38358</v>
      </c>
      <c r="M231" s="3" t="s">
        <v>45</v>
      </c>
      <c r="N231" s="3" t="s">
        <v>83</v>
      </c>
      <c r="O231" s="3" t="s">
        <v>52</v>
      </c>
      <c r="P231" s="3" t="s">
        <v>103</v>
      </c>
      <c r="Q231" s="7">
        <v>0</v>
      </c>
      <c r="R231" s="8">
        <v>44956</v>
      </c>
      <c r="S231" s="8">
        <v>44953</v>
      </c>
      <c r="T231" s="3" t="s">
        <v>464</v>
      </c>
      <c r="U231" s="3" t="s">
        <v>55</v>
      </c>
      <c r="V231" s="9"/>
      <c r="W231" s="10">
        <v>44959</v>
      </c>
      <c r="X231" s="7">
        <v>3</v>
      </c>
      <c r="Y231" s="7">
        <v>3</v>
      </c>
      <c r="Z231" s="7">
        <v>1</v>
      </c>
      <c r="AA231" s="7">
        <f>INT((S231-DATE(YEAR(S231-WEEKDAY(S231-0)+4),1,4)+WEEKDAY(DATE(YEAR(S231-WEEKDAY(S231-0)+4),1,4))+6)/7)</f>
        <v>4</v>
      </c>
      <c r="AB231" s="3" t="s">
        <v>1045</v>
      </c>
      <c r="AC231" s="7">
        <v>88</v>
      </c>
      <c r="AD231" s="7">
        <v>0</v>
      </c>
      <c r="AE231" s="7">
        <v>0</v>
      </c>
      <c r="AF231" s="3" t="s">
        <v>48</v>
      </c>
      <c r="AG231" s="7">
        <v>2023</v>
      </c>
      <c r="AH231" s="3" t="s">
        <v>133</v>
      </c>
      <c r="AI231" s="3" t="s">
        <v>106</v>
      </c>
      <c r="AJ231" s="3" t="s">
        <v>48</v>
      </c>
      <c r="AK231" s="3" t="s">
        <v>149</v>
      </c>
      <c r="AL231" s="3" t="s">
        <v>59</v>
      </c>
      <c r="AM231" s="3" t="s">
        <v>115</v>
      </c>
      <c r="AN231" s="3" t="s">
        <v>61</v>
      </c>
      <c r="AO231" s="3" t="s">
        <v>48</v>
      </c>
      <c r="AP231" s="3" t="s">
        <v>69</v>
      </c>
      <c r="AQ231" s="3" t="s">
        <v>61</v>
      </c>
      <c r="AR231" s="3" t="s">
        <v>48</v>
      </c>
    </row>
    <row r="232" spans="1:44" ht="30" customHeight="1">
      <c r="A232" s="3" t="s">
        <v>44</v>
      </c>
      <c r="B232" s="3" t="s">
        <v>45</v>
      </c>
      <c r="C232" s="3" t="s">
        <v>46</v>
      </c>
      <c r="D232" s="3" t="s">
        <v>130</v>
      </c>
      <c r="E232" s="3" t="s">
        <v>48</v>
      </c>
      <c r="F232" s="3" t="s">
        <v>131</v>
      </c>
      <c r="G232" s="3" t="s">
        <v>48</v>
      </c>
      <c r="H232" s="4">
        <f>IF(DATEDIF(L232,S232,"m")&gt;12,DATEDIF(L232,S232,"y"),(DATEDIF(L232,S232,"m")/12))</f>
        <v>56</v>
      </c>
      <c r="I232" s="7">
        <f>DATEDIF(L232,S232,"M")</f>
        <v>682</v>
      </c>
      <c r="J232" s="7">
        <f>DATEDIF(L232,S232,"D")</f>
        <v>20769</v>
      </c>
      <c r="K232" s="3" t="s">
        <v>51</v>
      </c>
      <c r="L232" s="8">
        <v>24166</v>
      </c>
      <c r="M232" s="3" t="s">
        <v>45</v>
      </c>
      <c r="N232" s="3" t="s">
        <v>83</v>
      </c>
      <c r="O232" s="3" t="s">
        <v>52</v>
      </c>
      <c r="P232" s="3" t="s">
        <v>398</v>
      </c>
      <c r="Q232" s="7">
        <v>0</v>
      </c>
      <c r="R232" s="8">
        <v>44956</v>
      </c>
      <c r="S232" s="8">
        <v>44935</v>
      </c>
      <c r="T232" s="3" t="s">
        <v>54</v>
      </c>
      <c r="U232" s="3" t="s">
        <v>55</v>
      </c>
      <c r="V232" s="9"/>
      <c r="W232" s="10">
        <v>44959</v>
      </c>
      <c r="X232" s="7">
        <v>3</v>
      </c>
      <c r="Y232" s="7">
        <v>21</v>
      </c>
      <c r="Z232" s="7">
        <v>1</v>
      </c>
      <c r="AA232" s="7">
        <f>INT((S232-DATE(YEAR(S232-WEEKDAY(S232-0)+4),1,4)+WEEKDAY(DATE(YEAR(S232-WEEKDAY(S232-0)+4),1,4))+6)/7)</f>
        <v>2</v>
      </c>
      <c r="AB232" s="3" t="s">
        <v>1318</v>
      </c>
      <c r="AC232" s="7">
        <v>92</v>
      </c>
      <c r="AD232" s="7">
        <v>0</v>
      </c>
      <c r="AE232" s="7">
        <v>0</v>
      </c>
      <c r="AF232" s="3" t="s">
        <v>48</v>
      </c>
      <c r="AG232" s="7">
        <v>2023</v>
      </c>
      <c r="AH232" s="18" t="s">
        <v>133</v>
      </c>
      <c r="AI232" s="3" t="s">
        <v>106</v>
      </c>
      <c r="AJ232" s="3" t="s">
        <v>48</v>
      </c>
      <c r="AK232" s="3" t="s">
        <v>488</v>
      </c>
      <c r="AL232" s="3" t="s">
        <v>59</v>
      </c>
      <c r="AM232" s="3" t="s">
        <v>115</v>
      </c>
      <c r="AN232" s="3" t="s">
        <v>61</v>
      </c>
      <c r="AO232" s="3" t="s">
        <v>62</v>
      </c>
      <c r="AP232" s="3" t="s">
        <v>69</v>
      </c>
      <c r="AQ232" s="3" t="s">
        <v>61</v>
      </c>
      <c r="AR232" s="3" t="s">
        <v>48</v>
      </c>
    </row>
    <row r="233" spans="1:44" ht="30" customHeight="1">
      <c r="A233" s="3" t="s">
        <v>44</v>
      </c>
      <c r="B233" s="3" t="s">
        <v>45</v>
      </c>
      <c r="C233" s="3" t="s">
        <v>46</v>
      </c>
      <c r="D233" s="3" t="s">
        <v>130</v>
      </c>
      <c r="E233" s="3" t="s">
        <v>48</v>
      </c>
      <c r="F233" s="3" t="s">
        <v>131</v>
      </c>
      <c r="G233" s="3" t="s">
        <v>48</v>
      </c>
      <c r="H233" s="4">
        <f>IF(DATEDIF(L233,S233,"m")&gt;12,DATEDIF(L233,S233,"y"),(DATEDIF(L233,S233,"m")/12))</f>
        <v>36</v>
      </c>
      <c r="I233" s="7">
        <f>DATEDIF(L233,S233,"M")</f>
        <v>437</v>
      </c>
      <c r="J233" s="7">
        <f>DATEDIF(L233,S233,"D")</f>
        <v>13318</v>
      </c>
      <c r="K233" s="3" t="s">
        <v>64</v>
      </c>
      <c r="L233" s="8">
        <v>31635</v>
      </c>
      <c r="M233" s="3" t="s">
        <v>45</v>
      </c>
      <c r="N233" s="3" t="s">
        <v>83</v>
      </c>
      <c r="O233" s="3" t="s">
        <v>52</v>
      </c>
      <c r="P233" s="3" t="s">
        <v>84</v>
      </c>
      <c r="Q233" s="7">
        <v>0</v>
      </c>
      <c r="R233" s="8">
        <v>44956</v>
      </c>
      <c r="S233" s="8">
        <v>44953</v>
      </c>
      <c r="T233" s="3" t="s">
        <v>54</v>
      </c>
      <c r="U233" s="3" t="s">
        <v>55</v>
      </c>
      <c r="V233" s="9"/>
      <c r="W233" s="10">
        <v>44959</v>
      </c>
      <c r="X233" s="7">
        <v>3</v>
      </c>
      <c r="Y233" s="7">
        <v>3</v>
      </c>
      <c r="Z233" s="7">
        <v>1</v>
      </c>
      <c r="AA233" s="7">
        <f>INT((S233-DATE(YEAR(S233-WEEKDAY(S233-0)+4),1,4)+WEEKDAY(DATE(YEAR(S233-WEEKDAY(S233-0)+4),1,4))+6)/7)</f>
        <v>4</v>
      </c>
      <c r="AB233" s="3" t="s">
        <v>2227</v>
      </c>
      <c r="AC233" s="7">
        <v>93</v>
      </c>
      <c r="AD233" s="7">
        <v>0</v>
      </c>
      <c r="AE233" s="7">
        <v>0</v>
      </c>
      <c r="AF233" s="3" t="s">
        <v>48</v>
      </c>
      <c r="AG233" s="7">
        <v>2023</v>
      </c>
      <c r="AH233" s="3" t="s">
        <v>133</v>
      </c>
      <c r="AI233" s="3" t="s">
        <v>106</v>
      </c>
      <c r="AJ233" s="3" t="s">
        <v>48</v>
      </c>
      <c r="AK233" s="3" t="s">
        <v>2111</v>
      </c>
      <c r="AL233" s="3" t="s">
        <v>59</v>
      </c>
      <c r="AM233" s="3" t="s">
        <v>115</v>
      </c>
      <c r="AN233" s="3" t="s">
        <v>61</v>
      </c>
      <c r="AO233" s="3" t="s">
        <v>62</v>
      </c>
      <c r="AP233" s="3" t="s">
        <v>69</v>
      </c>
      <c r="AQ233" s="3" t="s">
        <v>61</v>
      </c>
      <c r="AR233" s="3" t="s">
        <v>48</v>
      </c>
    </row>
    <row r="234" spans="1:44" ht="30" customHeight="1">
      <c r="A234" s="3" t="s">
        <v>44</v>
      </c>
      <c r="B234" s="3" t="s">
        <v>45</v>
      </c>
      <c r="C234" s="3" t="s">
        <v>46</v>
      </c>
      <c r="D234" s="3" t="s">
        <v>186</v>
      </c>
      <c r="E234" s="3" t="s">
        <v>48</v>
      </c>
      <c r="F234" s="3" t="s">
        <v>48</v>
      </c>
      <c r="G234" s="3" t="s">
        <v>48</v>
      </c>
      <c r="H234" s="4">
        <f>IF(DATEDIF(L234,S234,"m")&gt;12,DATEDIF(L234,S234,"y"),(DATEDIF(L234,S234,"m")/12))</f>
        <v>1</v>
      </c>
      <c r="I234" s="7">
        <f>DATEDIF(L234,S234,"M")</f>
        <v>19</v>
      </c>
      <c r="J234" s="7">
        <f>DATEDIF(L234,S234,"D")</f>
        <v>604</v>
      </c>
      <c r="K234" s="3" t="s">
        <v>51</v>
      </c>
      <c r="L234" s="8">
        <v>44347</v>
      </c>
      <c r="M234" s="3" t="s">
        <v>45</v>
      </c>
      <c r="N234" s="3" t="s">
        <v>187</v>
      </c>
      <c r="O234" s="3" t="s">
        <v>52</v>
      </c>
      <c r="P234" s="3" t="s">
        <v>2162</v>
      </c>
      <c r="Q234" s="7">
        <v>0</v>
      </c>
      <c r="R234" s="8">
        <v>44956</v>
      </c>
      <c r="S234" s="8">
        <v>44951</v>
      </c>
      <c r="T234" s="3" t="s">
        <v>54</v>
      </c>
      <c r="U234" s="3" t="s">
        <v>55</v>
      </c>
      <c r="V234" s="9"/>
      <c r="W234" s="10">
        <v>44960</v>
      </c>
      <c r="X234" s="7">
        <v>4</v>
      </c>
      <c r="Y234" s="7">
        <v>5</v>
      </c>
      <c r="Z234" s="7">
        <v>1</v>
      </c>
      <c r="AA234" s="7">
        <f>INT((S234-DATE(YEAR(S234-WEEKDAY(S234-0)+4),1,4)+WEEKDAY(DATE(YEAR(S234-WEEKDAY(S234-0)+4),1,4))+6)/7)</f>
        <v>4</v>
      </c>
      <c r="AB234" s="3" t="s">
        <v>2163</v>
      </c>
      <c r="AC234" s="7">
        <v>72</v>
      </c>
      <c r="AD234" s="7">
        <v>0</v>
      </c>
      <c r="AE234" s="7">
        <v>0</v>
      </c>
      <c r="AF234" s="3" t="s">
        <v>48</v>
      </c>
      <c r="AG234" s="7">
        <v>2023</v>
      </c>
      <c r="AH234" s="3" t="s">
        <v>190</v>
      </c>
      <c r="AI234" s="3" t="s">
        <v>191</v>
      </c>
      <c r="AJ234" s="3" t="s">
        <v>186</v>
      </c>
      <c r="AK234" s="3" t="s">
        <v>192</v>
      </c>
      <c r="AL234" s="3" t="s">
        <v>59</v>
      </c>
      <c r="AM234" s="3" t="s">
        <v>115</v>
      </c>
      <c r="AN234" s="3" t="s">
        <v>61</v>
      </c>
      <c r="AO234" s="3" t="s">
        <v>62</v>
      </c>
      <c r="AP234" s="3" t="s">
        <v>69</v>
      </c>
      <c r="AQ234" s="3" t="s">
        <v>61</v>
      </c>
      <c r="AR234" s="3" t="s">
        <v>48</v>
      </c>
    </row>
    <row r="235" spans="1:44" ht="30" customHeight="1">
      <c r="A235" s="3" t="s">
        <v>44</v>
      </c>
      <c r="B235" s="3" t="s">
        <v>45</v>
      </c>
      <c r="C235" s="3" t="s">
        <v>46</v>
      </c>
      <c r="D235" s="3" t="s">
        <v>70</v>
      </c>
      <c r="E235" s="3" t="s">
        <v>48</v>
      </c>
      <c r="F235" s="3" t="s">
        <v>71</v>
      </c>
      <c r="G235" s="3" t="s">
        <v>2366</v>
      </c>
      <c r="H235" s="4">
        <f>IF(DATEDIF(L235,S235,"m")&gt;12,DATEDIF(L235,S235,"y"),(DATEDIF(L235,S235,"m")/12))</f>
        <v>21</v>
      </c>
      <c r="I235" s="7">
        <f>DATEDIF(L235,S235,"M")</f>
        <v>253</v>
      </c>
      <c r="J235" s="7">
        <f>DATEDIF(L235,S235,"D")</f>
        <v>7717</v>
      </c>
      <c r="K235" s="3" t="s">
        <v>51</v>
      </c>
      <c r="L235" s="8">
        <v>37238</v>
      </c>
      <c r="M235" s="3" t="s">
        <v>45</v>
      </c>
      <c r="N235" s="3" t="s">
        <v>329</v>
      </c>
      <c r="O235" s="3" t="s">
        <v>52</v>
      </c>
      <c r="P235" s="3" t="s">
        <v>592</v>
      </c>
      <c r="Q235" s="7">
        <v>1</v>
      </c>
      <c r="R235" s="8">
        <v>44956</v>
      </c>
      <c r="S235" s="8">
        <v>44955</v>
      </c>
      <c r="T235" s="3" t="s">
        <v>54</v>
      </c>
      <c r="U235" s="3" t="s">
        <v>55</v>
      </c>
      <c r="V235" s="9"/>
      <c r="W235" s="10">
        <v>44960</v>
      </c>
      <c r="X235" s="7">
        <v>4</v>
      </c>
      <c r="Y235" s="7">
        <v>1</v>
      </c>
      <c r="Z235" s="7">
        <v>1</v>
      </c>
      <c r="AA235" s="7">
        <f>INT((S235-DATE(YEAR(S235-WEEKDAY(S235-0)+4),1,4)+WEEKDAY(DATE(YEAR(S235-WEEKDAY(S235-0)+4),1,4))+6)/7)</f>
        <v>5</v>
      </c>
      <c r="AB235" s="3" t="s">
        <v>2367</v>
      </c>
      <c r="AC235" s="7">
        <v>650</v>
      </c>
      <c r="AD235" s="7">
        <v>0</v>
      </c>
      <c r="AE235" s="7">
        <v>1</v>
      </c>
      <c r="AF235" s="3" t="s">
        <v>48</v>
      </c>
      <c r="AG235" s="7">
        <v>2023</v>
      </c>
      <c r="AH235" s="3" t="s">
        <v>76</v>
      </c>
      <c r="AI235" s="3" t="s">
        <v>166</v>
      </c>
      <c r="AJ235" s="3" t="s">
        <v>78</v>
      </c>
      <c r="AK235" s="3" t="s">
        <v>547</v>
      </c>
      <c r="AL235" s="3" t="s">
        <v>59</v>
      </c>
      <c r="AM235" s="3" t="s">
        <v>60</v>
      </c>
      <c r="AN235" s="3" t="s">
        <v>61</v>
      </c>
      <c r="AO235" s="3" t="s">
        <v>62</v>
      </c>
      <c r="AP235" s="3" t="s">
        <v>69</v>
      </c>
      <c r="AQ235" s="3" t="s">
        <v>61</v>
      </c>
      <c r="AR235" s="3" t="s">
        <v>48</v>
      </c>
    </row>
    <row r="236" spans="1:44" ht="30" customHeight="1">
      <c r="A236" s="3" t="s">
        <v>44</v>
      </c>
      <c r="B236" s="3" t="s">
        <v>45</v>
      </c>
      <c r="C236" s="3" t="s">
        <v>46</v>
      </c>
      <c r="D236" s="3" t="s">
        <v>186</v>
      </c>
      <c r="E236" s="3" t="s">
        <v>48</v>
      </c>
      <c r="F236" s="3" t="s">
        <v>48</v>
      </c>
      <c r="G236" s="3" t="s">
        <v>48</v>
      </c>
      <c r="H236" s="4">
        <f>IF(DATEDIF(L236,S236,"m")&gt;12,DATEDIF(L236,S236,"y"),(DATEDIF(L236,S236,"m")/12))</f>
        <v>15</v>
      </c>
      <c r="I236" s="7">
        <f>DATEDIF(L236,S236,"M")</f>
        <v>190</v>
      </c>
      <c r="J236" s="7">
        <f>DATEDIF(L236,S236,"D")</f>
        <v>5803</v>
      </c>
      <c r="K236" s="3" t="s">
        <v>51</v>
      </c>
      <c r="L236" s="8">
        <v>39153</v>
      </c>
      <c r="M236" s="3" t="s">
        <v>45</v>
      </c>
      <c r="N236" s="3" t="s">
        <v>187</v>
      </c>
      <c r="O236" s="3" t="s">
        <v>52</v>
      </c>
      <c r="P236" s="3" t="s">
        <v>2370</v>
      </c>
      <c r="Q236" s="7">
        <v>0</v>
      </c>
      <c r="R236" s="8">
        <v>44956</v>
      </c>
      <c r="S236" s="8">
        <v>44956</v>
      </c>
      <c r="T236" s="3" t="s">
        <v>54</v>
      </c>
      <c r="U236" s="3" t="s">
        <v>55</v>
      </c>
      <c r="V236" s="9"/>
      <c r="W236" s="10">
        <v>44960</v>
      </c>
      <c r="X236" s="7">
        <v>4</v>
      </c>
      <c r="Y236" s="7">
        <v>0</v>
      </c>
      <c r="Z236" s="7">
        <v>1</v>
      </c>
      <c r="AA236" s="7">
        <f>INT((S236-DATE(YEAR(S236-WEEKDAY(S236-0)+4),1,4)+WEEKDAY(DATE(YEAR(S236-WEEKDAY(S236-0)+4),1,4))+6)/7)</f>
        <v>5</v>
      </c>
      <c r="AB236" s="3" t="s">
        <v>2372</v>
      </c>
      <c r="AC236" s="7">
        <v>73</v>
      </c>
      <c r="AD236" s="7">
        <v>0</v>
      </c>
      <c r="AE236" s="7">
        <v>0</v>
      </c>
      <c r="AF236" s="3" t="s">
        <v>48</v>
      </c>
      <c r="AG236" s="7">
        <v>2023</v>
      </c>
      <c r="AH236" s="3" t="s">
        <v>190</v>
      </c>
      <c r="AI236" s="3" t="s">
        <v>191</v>
      </c>
      <c r="AJ236" s="3" t="s">
        <v>186</v>
      </c>
      <c r="AK236" s="3" t="s">
        <v>277</v>
      </c>
      <c r="AL236" s="3" t="s">
        <v>59</v>
      </c>
      <c r="AM236" s="3" t="s">
        <v>115</v>
      </c>
      <c r="AN236" s="3" t="s">
        <v>61</v>
      </c>
      <c r="AO236" s="3" t="s">
        <v>62</v>
      </c>
      <c r="AP236" s="3" t="s">
        <v>69</v>
      </c>
      <c r="AQ236" s="3" t="s">
        <v>61</v>
      </c>
      <c r="AR236" s="3" t="s">
        <v>48</v>
      </c>
    </row>
    <row r="237" spans="1:44" ht="30" customHeight="1">
      <c r="A237" s="3" t="s">
        <v>44</v>
      </c>
      <c r="B237" s="3" t="s">
        <v>45</v>
      </c>
      <c r="C237" s="3" t="s">
        <v>46</v>
      </c>
      <c r="D237" s="3" t="s">
        <v>108</v>
      </c>
      <c r="E237" s="3" t="s">
        <v>48</v>
      </c>
      <c r="F237" s="3" t="s">
        <v>108</v>
      </c>
      <c r="G237" s="3" t="s">
        <v>1620</v>
      </c>
      <c r="H237" s="4">
        <f>IF(DATEDIF(L237,S237,"m")&gt;12,DATEDIF(L237,S237,"y"),(DATEDIF(L237,S237,"m")/12))</f>
        <v>17</v>
      </c>
      <c r="I237" s="7">
        <f>DATEDIF(L237,S237,"M")</f>
        <v>213</v>
      </c>
      <c r="J237" s="7">
        <f>DATEDIF(L237,S237,"D")</f>
        <v>6503</v>
      </c>
      <c r="K237" s="3" t="s">
        <v>51</v>
      </c>
      <c r="L237" s="8">
        <v>38476</v>
      </c>
      <c r="M237" s="3" t="s">
        <v>45</v>
      </c>
      <c r="N237" s="3" t="s">
        <v>73</v>
      </c>
      <c r="O237" s="3" t="s">
        <v>52</v>
      </c>
      <c r="P237" s="3" t="s">
        <v>137</v>
      </c>
      <c r="Q237" s="7">
        <v>0</v>
      </c>
      <c r="R237" s="8">
        <v>44980</v>
      </c>
      <c r="S237" s="8">
        <v>44979</v>
      </c>
      <c r="T237" s="3" t="s">
        <v>54</v>
      </c>
      <c r="U237" s="3" t="s">
        <v>55</v>
      </c>
      <c r="V237" s="9"/>
      <c r="W237" s="10">
        <v>44984</v>
      </c>
      <c r="X237" s="7">
        <v>4</v>
      </c>
      <c r="Y237" s="7">
        <v>1</v>
      </c>
      <c r="Z237" s="7">
        <v>2</v>
      </c>
      <c r="AA237" s="7">
        <f>INT((S237-DATE(YEAR(S237-WEEKDAY(S237-0)+4),1,4)+WEEKDAY(DATE(YEAR(S237-WEEKDAY(S237-0)+4),1,4))+6)/7)</f>
        <v>8</v>
      </c>
      <c r="AB237" s="3" t="s">
        <v>1621</v>
      </c>
      <c r="AC237" s="7">
        <v>297</v>
      </c>
      <c r="AD237" s="7">
        <v>0</v>
      </c>
      <c r="AE237" s="7">
        <v>0</v>
      </c>
      <c r="AF237" s="3" t="s">
        <v>48</v>
      </c>
      <c r="AG237" s="7">
        <v>2023</v>
      </c>
      <c r="AH237" s="3" t="s">
        <v>112</v>
      </c>
      <c r="AI237" s="3" t="s">
        <v>113</v>
      </c>
      <c r="AJ237" s="3" t="s">
        <v>48</v>
      </c>
      <c r="AK237" s="3" t="s">
        <v>212</v>
      </c>
      <c r="AL237" s="3" t="s">
        <v>59</v>
      </c>
      <c r="AM237" s="3" t="s">
        <v>115</v>
      </c>
      <c r="AN237" s="3" t="s">
        <v>61</v>
      </c>
      <c r="AO237" s="3" t="s">
        <v>62</v>
      </c>
      <c r="AP237" s="3" t="s">
        <v>69</v>
      </c>
      <c r="AQ237" s="3" t="s">
        <v>61</v>
      </c>
      <c r="AR237" s="3" t="s">
        <v>48</v>
      </c>
    </row>
    <row r="238" spans="1:44" ht="30" customHeight="1">
      <c r="A238" s="3" t="s">
        <v>44</v>
      </c>
      <c r="B238" s="3" t="s">
        <v>45</v>
      </c>
      <c r="C238" s="3" t="s">
        <v>46</v>
      </c>
      <c r="D238" s="3" t="s">
        <v>108</v>
      </c>
      <c r="E238" s="3" t="s">
        <v>48</v>
      </c>
      <c r="F238" s="3" t="s">
        <v>108</v>
      </c>
      <c r="G238" s="3" t="s">
        <v>1549</v>
      </c>
      <c r="H238" s="4">
        <f>IF(DATEDIF(L238,S238,"m")&gt;12,DATEDIF(L238,S238,"y"),(DATEDIF(L238,S238,"m")/12))</f>
        <v>3</v>
      </c>
      <c r="I238" s="7">
        <f>DATEDIF(L238,S238,"M")</f>
        <v>38</v>
      </c>
      <c r="J238" s="7">
        <f>DATEDIF(L238,S238,"D")</f>
        <v>1165</v>
      </c>
      <c r="K238" s="3" t="s">
        <v>64</v>
      </c>
      <c r="L238" s="8">
        <v>43821</v>
      </c>
      <c r="M238" s="3" t="s">
        <v>45</v>
      </c>
      <c r="N238" s="3" t="s">
        <v>73</v>
      </c>
      <c r="O238" s="3" t="s">
        <v>52</v>
      </c>
      <c r="P238" s="3" t="s">
        <v>74</v>
      </c>
      <c r="Q238" s="7">
        <v>0</v>
      </c>
      <c r="R238" s="8">
        <v>44988</v>
      </c>
      <c r="S238" s="8">
        <v>44986</v>
      </c>
      <c r="T238" s="3" t="s">
        <v>54</v>
      </c>
      <c r="U238" s="3" t="s">
        <v>55</v>
      </c>
      <c r="V238" s="9"/>
      <c r="W238" s="10">
        <v>44991</v>
      </c>
      <c r="X238" s="7">
        <v>3</v>
      </c>
      <c r="Y238" s="7">
        <v>2</v>
      </c>
      <c r="Z238" s="7">
        <v>3</v>
      </c>
      <c r="AA238" s="7">
        <f>INT((S238-DATE(YEAR(S238-WEEKDAY(S238-0)+4),1,4)+WEEKDAY(DATE(YEAR(S238-WEEKDAY(S238-0)+4),1,4))+6)/7)</f>
        <v>9</v>
      </c>
      <c r="AB238" s="3" t="s">
        <v>1550</v>
      </c>
      <c r="AC238" s="7">
        <v>329</v>
      </c>
      <c r="AD238" s="7">
        <v>0</v>
      </c>
      <c r="AE238" s="7">
        <v>0</v>
      </c>
      <c r="AF238" s="3" t="s">
        <v>48</v>
      </c>
      <c r="AG238" s="7">
        <v>2023</v>
      </c>
      <c r="AH238" s="3" t="s">
        <v>112</v>
      </c>
      <c r="AI238" s="3" t="s">
        <v>113</v>
      </c>
      <c r="AJ238" s="3" t="s">
        <v>48</v>
      </c>
      <c r="AK238" s="3" t="s">
        <v>212</v>
      </c>
      <c r="AL238" s="3" t="s">
        <v>59</v>
      </c>
      <c r="AM238" s="3" t="s">
        <v>115</v>
      </c>
      <c r="AN238" s="3" t="s">
        <v>61</v>
      </c>
      <c r="AO238" s="3" t="s">
        <v>62</v>
      </c>
      <c r="AP238" s="3" t="s">
        <v>69</v>
      </c>
      <c r="AQ238" s="3" t="s">
        <v>61</v>
      </c>
      <c r="AR238" s="3" t="s">
        <v>48</v>
      </c>
    </row>
    <row r="239" spans="1:44" ht="30" customHeight="1">
      <c r="A239" s="3" t="s">
        <v>44</v>
      </c>
      <c r="B239" s="3" t="s">
        <v>45</v>
      </c>
      <c r="C239" s="3" t="s">
        <v>46</v>
      </c>
      <c r="D239" s="3" t="s">
        <v>47</v>
      </c>
      <c r="E239" s="3" t="s">
        <v>48</v>
      </c>
      <c r="F239" s="3" t="s">
        <v>49</v>
      </c>
      <c r="G239" s="3" t="s">
        <v>150</v>
      </c>
      <c r="H239" s="4">
        <f>IF(DATEDIF(L239,S239,"m")&gt;12,DATEDIF(L239,S239,"y"),(DATEDIF(L239,S239,"m")/12))</f>
        <v>45</v>
      </c>
      <c r="I239" s="7">
        <f>DATEDIF(L239,S239,"M")</f>
        <v>543</v>
      </c>
      <c r="J239" s="7">
        <f>DATEDIF(L239,S239,"D")</f>
        <v>16538</v>
      </c>
      <c r="K239" s="3" t="s">
        <v>51</v>
      </c>
      <c r="L239" s="8">
        <v>28408</v>
      </c>
      <c r="M239" s="3" t="s">
        <v>45</v>
      </c>
      <c r="N239" s="3" t="s">
        <v>65</v>
      </c>
      <c r="O239" s="3" t="s">
        <v>52</v>
      </c>
      <c r="P239" s="3" t="s">
        <v>91</v>
      </c>
      <c r="Q239" s="7">
        <v>0</v>
      </c>
      <c r="R239" s="8">
        <v>44956</v>
      </c>
      <c r="S239" s="8">
        <v>44946</v>
      </c>
      <c r="T239" s="3" t="s">
        <v>54</v>
      </c>
      <c r="U239" s="3" t="s">
        <v>55</v>
      </c>
      <c r="V239" s="9"/>
      <c r="W239" s="10">
        <v>44963</v>
      </c>
      <c r="X239" s="7">
        <v>7</v>
      </c>
      <c r="Y239" s="7">
        <v>10</v>
      </c>
      <c r="Z239" s="7">
        <v>1</v>
      </c>
      <c r="AA239" s="7">
        <f>INT((S239-DATE(YEAR(S239-WEEKDAY(S239-0)+4),1,4)+WEEKDAY(DATE(YEAR(S239-WEEKDAY(S239-0)+4),1,4))+6)/7)</f>
        <v>3</v>
      </c>
      <c r="AB239" s="3" t="s">
        <v>151</v>
      </c>
      <c r="AC239" s="7">
        <v>22</v>
      </c>
      <c r="AD239" s="7">
        <v>0</v>
      </c>
      <c r="AE239" s="7">
        <v>0</v>
      </c>
      <c r="AF239" s="3" t="s">
        <v>48</v>
      </c>
      <c r="AG239" s="7">
        <v>2023</v>
      </c>
      <c r="AH239" s="3" t="s">
        <v>57</v>
      </c>
      <c r="AI239" s="3" t="s">
        <v>48</v>
      </c>
      <c r="AJ239" s="3" t="s">
        <v>48</v>
      </c>
      <c r="AK239" s="3" t="s">
        <v>152</v>
      </c>
      <c r="AL239" s="3" t="s">
        <v>59</v>
      </c>
      <c r="AM239" s="3" t="s">
        <v>60</v>
      </c>
      <c r="AN239" s="3" t="s">
        <v>61</v>
      </c>
      <c r="AO239" s="3" t="s">
        <v>62</v>
      </c>
      <c r="AP239" s="3" t="s">
        <v>69</v>
      </c>
      <c r="AQ239" s="3" t="s">
        <v>61</v>
      </c>
      <c r="AR239" s="3" t="s">
        <v>48</v>
      </c>
    </row>
    <row r="240" spans="1:44" ht="30" customHeight="1">
      <c r="A240" s="3" t="s">
        <v>44</v>
      </c>
      <c r="B240" s="3" t="s">
        <v>45</v>
      </c>
      <c r="C240" s="3" t="s">
        <v>80</v>
      </c>
      <c r="D240" s="3" t="s">
        <v>81</v>
      </c>
      <c r="E240" s="3" t="s">
        <v>48</v>
      </c>
      <c r="F240" s="3" t="s">
        <v>81</v>
      </c>
      <c r="G240" s="3" t="s">
        <v>158</v>
      </c>
      <c r="H240" s="4">
        <f>IF(DATEDIF(L240,S240,"m")&gt;12,DATEDIF(L240,S240,"y"),(DATEDIF(L240,S240,"m")/12))</f>
        <v>1</v>
      </c>
      <c r="I240" s="7">
        <f>DATEDIF(L240,S240,"M")</f>
        <v>13</v>
      </c>
      <c r="J240" s="7">
        <f>DATEDIF(L240,S240,"D")</f>
        <v>398</v>
      </c>
      <c r="K240" s="3" t="s">
        <v>64</v>
      </c>
      <c r="L240" s="8">
        <v>44554</v>
      </c>
      <c r="M240" s="3" t="s">
        <v>45</v>
      </c>
      <c r="N240" s="3" t="s">
        <v>159</v>
      </c>
      <c r="O240" s="3" t="s">
        <v>52</v>
      </c>
      <c r="P240" s="3" t="s">
        <v>160</v>
      </c>
      <c r="Q240" s="7">
        <v>1</v>
      </c>
      <c r="R240" s="8">
        <v>44958</v>
      </c>
      <c r="S240" s="8">
        <v>44952</v>
      </c>
      <c r="T240" s="3" t="s">
        <v>54</v>
      </c>
      <c r="U240" s="3" t="s">
        <v>55</v>
      </c>
      <c r="V240" s="9"/>
      <c r="W240" s="10">
        <v>44963</v>
      </c>
      <c r="X240" s="7">
        <v>5</v>
      </c>
      <c r="Y240" s="7">
        <v>6</v>
      </c>
      <c r="Z240" s="7">
        <v>1</v>
      </c>
      <c r="AA240" s="7">
        <f>INT((S240-DATE(YEAR(S240-WEEKDAY(S240-0)+4),1,4)+WEEKDAY(DATE(YEAR(S240-WEEKDAY(S240-0)+4),1,4))+6)/7)</f>
        <v>4</v>
      </c>
      <c r="AB240" s="3" t="s">
        <v>161</v>
      </c>
      <c r="AC240" s="7">
        <v>13917</v>
      </c>
      <c r="AD240" s="7">
        <v>0</v>
      </c>
      <c r="AE240" s="7">
        <v>0</v>
      </c>
      <c r="AF240" s="3" t="s">
        <v>48</v>
      </c>
      <c r="AG240" s="7">
        <v>2023</v>
      </c>
      <c r="AH240" s="3" t="s">
        <v>86</v>
      </c>
      <c r="AI240" s="3" t="s">
        <v>48</v>
      </c>
      <c r="AJ240" s="3" t="s">
        <v>48</v>
      </c>
      <c r="AK240" s="3" t="s">
        <v>162</v>
      </c>
      <c r="AL240" s="3" t="s">
        <v>59</v>
      </c>
      <c r="AM240" s="3" t="s">
        <v>60</v>
      </c>
      <c r="AN240" s="3" t="s">
        <v>69</v>
      </c>
      <c r="AO240" s="3" t="s">
        <v>88</v>
      </c>
      <c r="AP240" s="3" t="s">
        <v>69</v>
      </c>
      <c r="AQ240" s="3" t="s">
        <v>61</v>
      </c>
      <c r="AR240" s="3" t="s">
        <v>48</v>
      </c>
    </row>
    <row r="241" spans="1:44" ht="30" customHeight="1">
      <c r="A241" s="3" t="s">
        <v>44</v>
      </c>
      <c r="B241" s="3" t="s">
        <v>45</v>
      </c>
      <c r="C241" s="3" t="s">
        <v>46</v>
      </c>
      <c r="D241" s="3" t="s">
        <v>108</v>
      </c>
      <c r="E241" s="3" t="s">
        <v>48</v>
      </c>
      <c r="F241" s="3" t="s">
        <v>108</v>
      </c>
      <c r="G241" s="3" t="s">
        <v>1730</v>
      </c>
      <c r="H241" s="4">
        <f>IF(DATEDIF(L241,S241,"m")&gt;12,DATEDIF(L241,S241,"y"),(DATEDIF(L241,S241,"m")/12))</f>
        <v>1</v>
      </c>
      <c r="I241" s="7">
        <f>DATEDIF(L241,S241,"M")</f>
        <v>15</v>
      </c>
      <c r="J241" s="7">
        <f>DATEDIF(L241,S241,"D")</f>
        <v>461</v>
      </c>
      <c r="K241" s="3" t="s">
        <v>51</v>
      </c>
      <c r="L241" s="8">
        <v>44523</v>
      </c>
      <c r="M241" s="3" t="s">
        <v>45</v>
      </c>
      <c r="N241" s="3" t="s">
        <v>73</v>
      </c>
      <c r="O241" s="3" t="s">
        <v>52</v>
      </c>
      <c r="P241" s="3" t="s">
        <v>1331</v>
      </c>
      <c r="Q241" s="7">
        <v>0</v>
      </c>
      <c r="R241" s="8">
        <v>44988</v>
      </c>
      <c r="S241" s="8">
        <v>44984</v>
      </c>
      <c r="T241" s="3" t="s">
        <v>54</v>
      </c>
      <c r="U241" s="3" t="s">
        <v>55</v>
      </c>
      <c r="V241" s="9"/>
      <c r="W241" s="10">
        <v>44991</v>
      </c>
      <c r="X241" s="7">
        <v>3</v>
      </c>
      <c r="Y241" s="7">
        <v>4</v>
      </c>
      <c r="Z241" s="7">
        <v>2</v>
      </c>
      <c r="AA241" s="7">
        <f>INT((S241-DATE(YEAR(S241-WEEKDAY(S241-0)+4),1,4)+WEEKDAY(DATE(YEAR(S241-WEEKDAY(S241-0)+4),1,4))+6)/7)</f>
        <v>9</v>
      </c>
      <c r="AB241" s="3" t="s">
        <v>1731</v>
      </c>
      <c r="AC241" s="7">
        <v>323</v>
      </c>
      <c r="AD241" s="7">
        <v>0</v>
      </c>
      <c r="AE241" s="7">
        <v>0</v>
      </c>
      <c r="AF241" s="3" t="s">
        <v>48</v>
      </c>
      <c r="AG241" s="7">
        <v>2023</v>
      </c>
      <c r="AH241" s="3" t="s">
        <v>112</v>
      </c>
      <c r="AI241" s="3" t="s">
        <v>113</v>
      </c>
      <c r="AJ241" s="3" t="s">
        <v>48</v>
      </c>
      <c r="AK241" s="3" t="s">
        <v>212</v>
      </c>
      <c r="AL241" s="3" t="s">
        <v>59</v>
      </c>
      <c r="AM241" s="3" t="s">
        <v>115</v>
      </c>
      <c r="AN241" s="3" t="s">
        <v>61</v>
      </c>
      <c r="AO241" s="3" t="s">
        <v>62</v>
      </c>
      <c r="AP241" s="3" t="s">
        <v>69</v>
      </c>
      <c r="AQ241" s="3" t="s">
        <v>61</v>
      </c>
      <c r="AR241" s="3" t="s">
        <v>48</v>
      </c>
    </row>
    <row r="242" spans="1:44" ht="30" customHeight="1">
      <c r="A242" s="3" t="s">
        <v>44</v>
      </c>
      <c r="B242" s="3" t="s">
        <v>45</v>
      </c>
      <c r="C242" s="3" t="s">
        <v>46</v>
      </c>
      <c r="D242" s="3" t="s">
        <v>108</v>
      </c>
      <c r="E242" s="3" t="s">
        <v>48</v>
      </c>
      <c r="F242" s="3" t="s">
        <v>108</v>
      </c>
      <c r="G242" s="3" t="s">
        <v>1366</v>
      </c>
      <c r="H242" s="4">
        <f>IF(DATEDIF(L242,S242,"m")&gt;12,DATEDIF(L242,S242,"y"),(DATEDIF(L242,S242,"m")/12))</f>
        <v>2</v>
      </c>
      <c r="I242" s="7">
        <f>DATEDIF(L242,S242,"M")</f>
        <v>32</v>
      </c>
      <c r="J242" s="7">
        <f>DATEDIF(L242,S242,"D")</f>
        <v>974</v>
      </c>
      <c r="K242" s="3" t="s">
        <v>64</v>
      </c>
      <c r="L242" s="8">
        <v>44019</v>
      </c>
      <c r="M242" s="3" t="s">
        <v>45</v>
      </c>
      <c r="N242" s="3" t="s">
        <v>73</v>
      </c>
      <c r="O242" s="3" t="s">
        <v>52</v>
      </c>
      <c r="P242" s="3" t="s">
        <v>322</v>
      </c>
      <c r="Q242" s="7">
        <v>0</v>
      </c>
      <c r="R242" s="8">
        <v>44995</v>
      </c>
      <c r="S242" s="8">
        <v>44993</v>
      </c>
      <c r="T242" s="3" t="s">
        <v>54</v>
      </c>
      <c r="U242" s="3" t="s">
        <v>55</v>
      </c>
      <c r="V242" s="9"/>
      <c r="W242" s="10">
        <v>44998</v>
      </c>
      <c r="X242" s="7">
        <v>3</v>
      </c>
      <c r="Y242" s="7">
        <v>2</v>
      </c>
      <c r="Z242" s="7">
        <v>3</v>
      </c>
      <c r="AA242" s="7">
        <f>INT((S242-DATE(YEAR(S242-WEEKDAY(S242-0)+4),1,4)+WEEKDAY(DATE(YEAR(S242-WEEKDAY(S242-0)+4),1,4))+6)/7)</f>
        <v>10</v>
      </c>
      <c r="AB242" s="3" t="s">
        <v>1367</v>
      </c>
      <c r="AC242" s="7">
        <v>353</v>
      </c>
      <c r="AD242" s="7">
        <v>0</v>
      </c>
      <c r="AE242" s="7">
        <v>0</v>
      </c>
      <c r="AF242" s="3" t="s">
        <v>48</v>
      </c>
      <c r="AG242" s="7">
        <v>2023</v>
      </c>
      <c r="AH242" s="3" t="s">
        <v>112</v>
      </c>
      <c r="AI242" s="3" t="s">
        <v>113</v>
      </c>
      <c r="AJ242" s="3" t="s">
        <v>48</v>
      </c>
      <c r="AK242" s="3" t="s">
        <v>212</v>
      </c>
      <c r="AL242" s="3" t="s">
        <v>59</v>
      </c>
      <c r="AM242" s="3" t="s">
        <v>115</v>
      </c>
      <c r="AN242" s="3" t="s">
        <v>61</v>
      </c>
      <c r="AO242" s="3" t="s">
        <v>62</v>
      </c>
      <c r="AP242" s="3" t="s">
        <v>69</v>
      </c>
      <c r="AQ242" s="3" t="s">
        <v>61</v>
      </c>
      <c r="AR242" s="3" t="s">
        <v>48</v>
      </c>
    </row>
    <row r="243" spans="1:44" ht="30" customHeight="1">
      <c r="A243" s="3" t="s">
        <v>44</v>
      </c>
      <c r="B243" s="3" t="s">
        <v>45</v>
      </c>
      <c r="C243" s="3" t="s">
        <v>46</v>
      </c>
      <c r="D243" s="3" t="s">
        <v>108</v>
      </c>
      <c r="E243" s="3" t="s">
        <v>48</v>
      </c>
      <c r="F243" s="3" t="s">
        <v>108</v>
      </c>
      <c r="G243" s="3" t="s">
        <v>2316</v>
      </c>
      <c r="H243" s="4">
        <f>IF(DATEDIF(L243,S243,"m")&gt;12,DATEDIF(L243,S243,"y"),(DATEDIF(L243,S243,"m")/12))</f>
        <v>5</v>
      </c>
      <c r="I243" s="7">
        <f>DATEDIF(L243,S243,"M")</f>
        <v>65</v>
      </c>
      <c r="J243" s="7">
        <f>DATEDIF(L243,S243,"D")</f>
        <v>2005</v>
      </c>
      <c r="K243" s="3" t="s">
        <v>51</v>
      </c>
      <c r="L243" s="8">
        <v>42989</v>
      </c>
      <c r="M243" s="3" t="s">
        <v>45</v>
      </c>
      <c r="N243" s="3" t="s">
        <v>73</v>
      </c>
      <c r="O243" s="3" t="s">
        <v>52</v>
      </c>
      <c r="P243" s="3" t="s">
        <v>322</v>
      </c>
      <c r="Q243" s="7">
        <v>0</v>
      </c>
      <c r="R243" s="8">
        <v>44995</v>
      </c>
      <c r="S243" s="8">
        <v>44994</v>
      </c>
      <c r="T243" s="3" t="s">
        <v>54</v>
      </c>
      <c r="U243" s="3" t="s">
        <v>55</v>
      </c>
      <c r="V243" s="9"/>
      <c r="W243" s="10">
        <v>44998</v>
      </c>
      <c r="X243" s="7">
        <v>3</v>
      </c>
      <c r="Y243" s="7">
        <v>1</v>
      </c>
      <c r="Z243" s="7">
        <v>3</v>
      </c>
      <c r="AA243" s="7">
        <f>INT((S243-DATE(YEAR(S243-WEEKDAY(S243-0)+4),1,4)+WEEKDAY(DATE(YEAR(S243-WEEKDAY(S243-0)+4),1,4))+6)/7)</f>
        <v>10</v>
      </c>
      <c r="AB243" s="3" t="s">
        <v>2317</v>
      </c>
      <c r="AC243" s="7">
        <v>354</v>
      </c>
      <c r="AD243" s="7">
        <v>0</v>
      </c>
      <c r="AE243" s="7">
        <v>0</v>
      </c>
      <c r="AF243" s="3" t="s">
        <v>48</v>
      </c>
      <c r="AG243" s="7">
        <v>2023</v>
      </c>
      <c r="AH243" s="3" t="s">
        <v>112</v>
      </c>
      <c r="AI243" s="3" t="s">
        <v>113</v>
      </c>
      <c r="AJ243" s="3" t="s">
        <v>48</v>
      </c>
      <c r="AK243" s="3" t="s">
        <v>212</v>
      </c>
      <c r="AL243" s="3" t="s">
        <v>59</v>
      </c>
      <c r="AM243" s="3" t="s">
        <v>115</v>
      </c>
      <c r="AN243" s="3" t="s">
        <v>61</v>
      </c>
      <c r="AO243" s="3" t="s">
        <v>62</v>
      </c>
      <c r="AP243" s="3" t="s">
        <v>69</v>
      </c>
      <c r="AQ243" s="3" t="s">
        <v>61</v>
      </c>
      <c r="AR243" s="3" t="s">
        <v>48</v>
      </c>
    </row>
    <row r="244" spans="1:44" ht="30" customHeight="1">
      <c r="A244" s="3" t="s">
        <v>44</v>
      </c>
      <c r="B244" s="3" t="s">
        <v>45</v>
      </c>
      <c r="C244" s="3" t="s">
        <v>46</v>
      </c>
      <c r="D244" s="3" t="s">
        <v>108</v>
      </c>
      <c r="E244" s="3" t="s">
        <v>48</v>
      </c>
      <c r="F244" s="3" t="s">
        <v>108</v>
      </c>
      <c r="G244" s="3" t="s">
        <v>1383</v>
      </c>
      <c r="H244" s="4">
        <f>IF(DATEDIF(L244,S244,"m")&gt;12,DATEDIF(L244,S244,"y"),(DATEDIF(L244,S244,"m")/12))</f>
        <v>3</v>
      </c>
      <c r="I244" s="7">
        <f>DATEDIF(L244,S244,"M")</f>
        <v>44</v>
      </c>
      <c r="J244" s="7">
        <f>DATEDIF(L244,S244,"D")</f>
        <v>1363</v>
      </c>
      <c r="K244" s="3" t="s">
        <v>51</v>
      </c>
      <c r="L244" s="8">
        <v>43634</v>
      </c>
      <c r="M244" s="3" t="s">
        <v>45</v>
      </c>
      <c r="N244" s="3" t="s">
        <v>73</v>
      </c>
      <c r="O244" s="3" t="s">
        <v>52</v>
      </c>
      <c r="P244" s="3" t="s">
        <v>1331</v>
      </c>
      <c r="Q244" s="7">
        <v>0</v>
      </c>
      <c r="R244" s="8">
        <v>45001</v>
      </c>
      <c r="S244" s="8">
        <v>44997</v>
      </c>
      <c r="T244" s="3" t="s">
        <v>54</v>
      </c>
      <c r="U244" s="3" t="s">
        <v>55</v>
      </c>
      <c r="V244" s="9"/>
      <c r="W244" s="10">
        <v>45005</v>
      </c>
      <c r="X244" s="7">
        <v>4</v>
      </c>
      <c r="Y244" s="7">
        <v>4</v>
      </c>
      <c r="Z244" s="7">
        <v>3</v>
      </c>
      <c r="AA244" s="7">
        <f>INT((S244-DATE(YEAR(S244-WEEKDAY(S244-0)+4),1,4)+WEEKDAY(DATE(YEAR(S244-WEEKDAY(S244-0)+4),1,4))+6)/7)</f>
        <v>11</v>
      </c>
      <c r="AB244" s="3" t="s">
        <v>1384</v>
      </c>
      <c r="AC244" s="7">
        <v>373</v>
      </c>
      <c r="AD244" s="7">
        <v>0</v>
      </c>
      <c r="AE244" s="7">
        <v>0</v>
      </c>
      <c r="AF244" s="3" t="s">
        <v>48</v>
      </c>
      <c r="AG244" s="7">
        <v>2023</v>
      </c>
      <c r="AH244" s="3" t="s">
        <v>112</v>
      </c>
      <c r="AI244" s="3" t="s">
        <v>113</v>
      </c>
      <c r="AJ244" s="3" t="s">
        <v>48</v>
      </c>
      <c r="AK244" s="3" t="s">
        <v>212</v>
      </c>
      <c r="AL244" s="3" t="s">
        <v>59</v>
      </c>
      <c r="AM244" s="3" t="s">
        <v>115</v>
      </c>
      <c r="AN244" s="3" t="s">
        <v>61</v>
      </c>
      <c r="AO244" s="3" t="s">
        <v>62</v>
      </c>
      <c r="AP244" s="3" t="s">
        <v>69</v>
      </c>
      <c r="AQ244" s="3" t="s">
        <v>61</v>
      </c>
      <c r="AR244" s="3" t="s">
        <v>48</v>
      </c>
    </row>
    <row r="245" spans="1:44" ht="30" customHeight="1">
      <c r="A245" s="3" t="s">
        <v>44</v>
      </c>
      <c r="B245" s="3" t="s">
        <v>45</v>
      </c>
      <c r="C245" s="3" t="s">
        <v>46</v>
      </c>
      <c r="D245" s="3" t="s">
        <v>70</v>
      </c>
      <c r="E245" s="3" t="s">
        <v>48</v>
      </c>
      <c r="F245" s="3" t="s">
        <v>71</v>
      </c>
      <c r="G245" s="3" t="s">
        <v>544</v>
      </c>
      <c r="H245" s="4">
        <f>IF(DATEDIF(L245,S245,"m")&gt;12,DATEDIF(L245,S245,"y"),(DATEDIF(L245,S245,"m")/12))</f>
        <v>14</v>
      </c>
      <c r="I245" s="7">
        <f>DATEDIF(L245,S245,"M")</f>
        <v>170</v>
      </c>
      <c r="J245" s="7">
        <f>DATEDIF(L245,S245,"D")</f>
        <v>5193</v>
      </c>
      <c r="K245" s="3" t="s">
        <v>51</v>
      </c>
      <c r="L245" s="8">
        <v>39764</v>
      </c>
      <c r="M245" s="3" t="s">
        <v>45</v>
      </c>
      <c r="N245" s="3" t="s">
        <v>329</v>
      </c>
      <c r="O245" s="3" t="s">
        <v>52</v>
      </c>
      <c r="P245" s="3" t="s">
        <v>545</v>
      </c>
      <c r="Q245" s="7">
        <v>1</v>
      </c>
      <c r="R245" s="8">
        <v>44958</v>
      </c>
      <c r="S245" s="8">
        <v>44957</v>
      </c>
      <c r="T245" s="3" t="s">
        <v>54</v>
      </c>
      <c r="U245" s="3" t="s">
        <v>55</v>
      </c>
      <c r="V245" s="9"/>
      <c r="W245" s="10">
        <v>44963</v>
      </c>
      <c r="X245" s="7">
        <v>5</v>
      </c>
      <c r="Y245" s="7">
        <v>1</v>
      </c>
      <c r="Z245" s="7">
        <v>1</v>
      </c>
      <c r="AA245" s="7">
        <f>INT((S245-DATE(YEAR(S245-WEEKDAY(S245-0)+4),1,4)+WEEKDAY(DATE(YEAR(S245-WEEKDAY(S245-0)+4),1,4))+6)/7)</f>
        <v>5</v>
      </c>
      <c r="AB245" s="3" t="s">
        <v>546</v>
      </c>
      <c r="AC245" s="7">
        <v>652</v>
      </c>
      <c r="AD245" s="7">
        <v>0</v>
      </c>
      <c r="AE245" s="7">
        <v>1</v>
      </c>
      <c r="AF245" s="3" t="s">
        <v>48</v>
      </c>
      <c r="AG245" s="7">
        <v>2023</v>
      </c>
      <c r="AH245" s="18" t="s">
        <v>76</v>
      </c>
      <c r="AI245" s="3" t="s">
        <v>166</v>
      </c>
      <c r="AJ245" s="3" t="s">
        <v>78</v>
      </c>
      <c r="AK245" s="3" t="s">
        <v>547</v>
      </c>
      <c r="AL245" s="3" t="s">
        <v>59</v>
      </c>
      <c r="AM245" s="3" t="s">
        <v>60</v>
      </c>
      <c r="AN245" s="3" t="s">
        <v>61</v>
      </c>
      <c r="AO245" s="3" t="s">
        <v>62</v>
      </c>
      <c r="AP245" s="3" t="s">
        <v>69</v>
      </c>
      <c r="AQ245" s="3" t="s">
        <v>61</v>
      </c>
      <c r="AR245" s="3" t="s">
        <v>48</v>
      </c>
    </row>
    <row r="246" spans="1:44" ht="30" customHeight="1">
      <c r="A246" s="3" t="s">
        <v>44</v>
      </c>
      <c r="B246" s="3" t="s">
        <v>45</v>
      </c>
      <c r="C246" s="3" t="s">
        <v>46</v>
      </c>
      <c r="D246" s="3" t="s">
        <v>108</v>
      </c>
      <c r="E246" s="3" t="s">
        <v>48</v>
      </c>
      <c r="F246" s="3" t="s">
        <v>108</v>
      </c>
      <c r="G246" s="3" t="s">
        <v>1387</v>
      </c>
      <c r="H246" s="4">
        <f>IF(DATEDIF(L246,S246,"m")&gt;12,DATEDIF(L246,S246,"y"),(DATEDIF(L246,S246,"m")/12))</f>
        <v>10</v>
      </c>
      <c r="I246" s="7">
        <f>DATEDIF(L246,S246,"M")</f>
        <v>131</v>
      </c>
      <c r="J246" s="7">
        <f>DATEDIF(L246,S246,"D")</f>
        <v>4005</v>
      </c>
      <c r="K246" s="3" t="s">
        <v>51</v>
      </c>
      <c r="L246" s="8">
        <v>40992</v>
      </c>
      <c r="M246" s="3" t="s">
        <v>45</v>
      </c>
      <c r="N246" s="3" t="s">
        <v>73</v>
      </c>
      <c r="O246" s="3" t="s">
        <v>52</v>
      </c>
      <c r="P246" s="3" t="s">
        <v>1331</v>
      </c>
      <c r="Q246" s="7">
        <v>0</v>
      </c>
      <c r="R246" s="8">
        <v>45001</v>
      </c>
      <c r="S246" s="8">
        <v>44997</v>
      </c>
      <c r="T246" s="3" t="s">
        <v>54</v>
      </c>
      <c r="U246" s="3" t="s">
        <v>55</v>
      </c>
      <c r="V246" s="9"/>
      <c r="W246" s="10">
        <v>45005</v>
      </c>
      <c r="X246" s="7">
        <v>4</v>
      </c>
      <c r="Y246" s="7">
        <v>4</v>
      </c>
      <c r="Z246" s="7">
        <v>3</v>
      </c>
      <c r="AA246" s="7">
        <f>INT((S246-DATE(YEAR(S246-WEEKDAY(S246-0)+4),1,4)+WEEKDAY(DATE(YEAR(S246-WEEKDAY(S246-0)+4),1,4))+6)/7)</f>
        <v>11</v>
      </c>
      <c r="AB246" s="3" t="s">
        <v>1388</v>
      </c>
      <c r="AC246" s="7">
        <v>374</v>
      </c>
      <c r="AD246" s="7">
        <v>0</v>
      </c>
      <c r="AE246" s="7">
        <v>0</v>
      </c>
      <c r="AF246" s="3" t="s">
        <v>48</v>
      </c>
      <c r="AG246" s="7">
        <v>2023</v>
      </c>
      <c r="AH246" s="26" t="s">
        <v>112</v>
      </c>
      <c r="AI246" s="3" t="s">
        <v>113</v>
      </c>
      <c r="AJ246" s="3" t="s">
        <v>48</v>
      </c>
      <c r="AK246" s="3" t="s">
        <v>212</v>
      </c>
      <c r="AL246" s="3" t="s">
        <v>59</v>
      </c>
      <c r="AM246" s="3" t="s">
        <v>115</v>
      </c>
      <c r="AN246" s="3" t="s">
        <v>61</v>
      </c>
      <c r="AO246" s="3" t="s">
        <v>62</v>
      </c>
      <c r="AP246" s="3" t="s">
        <v>69</v>
      </c>
      <c r="AQ246" s="3" t="s">
        <v>61</v>
      </c>
      <c r="AR246" s="3" t="s">
        <v>48</v>
      </c>
    </row>
    <row r="247" spans="1:44" ht="30" customHeight="1">
      <c r="A247" s="3" t="s">
        <v>44</v>
      </c>
      <c r="B247" s="3" t="s">
        <v>45</v>
      </c>
      <c r="C247" s="3" t="s">
        <v>46</v>
      </c>
      <c r="D247" s="3" t="s">
        <v>108</v>
      </c>
      <c r="E247" s="3" t="s">
        <v>48</v>
      </c>
      <c r="F247" s="3" t="s">
        <v>108</v>
      </c>
      <c r="G247" s="3" t="s">
        <v>1667</v>
      </c>
      <c r="H247" s="4">
        <f>IF(DATEDIF(L247,S247,"m")&gt;12,DATEDIF(L247,S247,"y"),(DATEDIF(L247,S247,"m")/12))</f>
        <v>33</v>
      </c>
      <c r="I247" s="7">
        <f>DATEDIF(L247,S247,"M")</f>
        <v>400</v>
      </c>
      <c r="J247" s="7">
        <f>DATEDIF(L247,S247,"D")</f>
        <v>12202</v>
      </c>
      <c r="K247" s="3" t="s">
        <v>64</v>
      </c>
      <c r="L247" s="8">
        <v>32795</v>
      </c>
      <c r="M247" s="3" t="s">
        <v>45</v>
      </c>
      <c r="N247" s="3" t="s">
        <v>73</v>
      </c>
      <c r="O247" s="3" t="s">
        <v>52</v>
      </c>
      <c r="P247" s="3" t="s">
        <v>1331</v>
      </c>
      <c r="Q247" s="7">
        <v>0</v>
      </c>
      <c r="R247" s="8">
        <v>45001</v>
      </c>
      <c r="S247" s="8">
        <v>44997</v>
      </c>
      <c r="T247" s="3" t="s">
        <v>54</v>
      </c>
      <c r="U247" s="3" t="s">
        <v>55</v>
      </c>
      <c r="V247" s="9"/>
      <c r="W247" s="10">
        <v>45005</v>
      </c>
      <c r="X247" s="7">
        <v>4</v>
      </c>
      <c r="Y247" s="7">
        <v>4</v>
      </c>
      <c r="Z247" s="7">
        <v>3</v>
      </c>
      <c r="AA247" s="7">
        <f>INT((S247-DATE(YEAR(S247-WEEKDAY(S247-0)+4),1,4)+WEEKDAY(DATE(YEAR(S247-WEEKDAY(S247-0)+4),1,4))+6)/7)</f>
        <v>11</v>
      </c>
      <c r="AB247" s="3" t="s">
        <v>1668</v>
      </c>
      <c r="AC247" s="7">
        <v>375</v>
      </c>
      <c r="AD247" s="7">
        <v>0</v>
      </c>
      <c r="AE247" s="7">
        <v>0</v>
      </c>
      <c r="AF247" s="3" t="s">
        <v>48</v>
      </c>
      <c r="AG247" s="7">
        <v>2023</v>
      </c>
      <c r="AH247" s="3" t="s">
        <v>112</v>
      </c>
      <c r="AI247" s="3" t="s">
        <v>113</v>
      </c>
      <c r="AJ247" s="3" t="s">
        <v>48</v>
      </c>
      <c r="AK247" s="3" t="s">
        <v>212</v>
      </c>
      <c r="AL247" s="3" t="s">
        <v>59</v>
      </c>
      <c r="AM247" s="3" t="s">
        <v>115</v>
      </c>
      <c r="AN247" s="3" t="s">
        <v>61</v>
      </c>
      <c r="AO247" s="3" t="s">
        <v>62</v>
      </c>
      <c r="AP247" s="3" t="s">
        <v>69</v>
      </c>
      <c r="AQ247" s="3" t="s">
        <v>61</v>
      </c>
      <c r="AR247" s="3" t="s">
        <v>48</v>
      </c>
    </row>
    <row r="248" spans="1:44" ht="30" customHeight="1">
      <c r="A248" s="3" t="s">
        <v>44</v>
      </c>
      <c r="B248" s="3" t="s">
        <v>45</v>
      </c>
      <c r="C248" s="3" t="s">
        <v>46</v>
      </c>
      <c r="D248" s="3" t="s">
        <v>108</v>
      </c>
      <c r="E248" s="3" t="s">
        <v>48</v>
      </c>
      <c r="F248" s="3" t="s">
        <v>108</v>
      </c>
      <c r="G248" s="3" t="s">
        <v>726</v>
      </c>
      <c r="H248" s="4">
        <f>IF(DATEDIF(L248,S248,"m")&gt;12,DATEDIF(L248,S248,"y"),(DATEDIF(L248,S248,"m")/12))</f>
        <v>4</v>
      </c>
      <c r="I248" s="7">
        <f>DATEDIF(L248,S248,"M")</f>
        <v>58</v>
      </c>
      <c r="J248" s="7">
        <f>DATEDIF(L248,S248,"D")</f>
        <v>1766</v>
      </c>
      <c r="K248" s="3" t="s">
        <v>51</v>
      </c>
      <c r="L248" s="8">
        <v>43235</v>
      </c>
      <c r="M248" s="3" t="s">
        <v>45</v>
      </c>
      <c r="N248" s="3" t="s">
        <v>73</v>
      </c>
      <c r="O248" s="3" t="s">
        <v>52</v>
      </c>
      <c r="P248" s="3" t="s">
        <v>727</v>
      </c>
      <c r="Q248" s="7">
        <v>0</v>
      </c>
      <c r="R248" s="8">
        <v>45008</v>
      </c>
      <c r="S248" s="8">
        <v>45001</v>
      </c>
      <c r="T248" s="3" t="s">
        <v>54</v>
      </c>
      <c r="U248" s="3" t="s">
        <v>55</v>
      </c>
      <c r="V248" s="9"/>
      <c r="W248" s="10">
        <v>45012</v>
      </c>
      <c r="X248" s="7">
        <v>4</v>
      </c>
      <c r="Y248" s="7">
        <v>7</v>
      </c>
      <c r="Z248" s="7">
        <v>3</v>
      </c>
      <c r="AA248" s="7">
        <f>INT((S248-DATE(YEAR(S248-WEEKDAY(S248-0)+4),1,4)+WEEKDAY(DATE(YEAR(S248-WEEKDAY(S248-0)+4),1,4))+6)/7)</f>
        <v>11</v>
      </c>
      <c r="AB248" s="3" t="s">
        <v>728</v>
      </c>
      <c r="AC248" s="7">
        <v>384</v>
      </c>
      <c r="AD248" s="7">
        <v>0</v>
      </c>
      <c r="AE248" s="7">
        <v>0</v>
      </c>
      <c r="AF248" s="3" t="s">
        <v>48</v>
      </c>
      <c r="AG248" s="7">
        <v>2023</v>
      </c>
      <c r="AH248" s="3" t="s">
        <v>112</v>
      </c>
      <c r="AI248" s="3" t="s">
        <v>113</v>
      </c>
      <c r="AJ248" s="3" t="s">
        <v>48</v>
      </c>
      <c r="AK248" s="3" t="s">
        <v>212</v>
      </c>
      <c r="AL248" s="3" t="s">
        <v>59</v>
      </c>
      <c r="AM248" s="3" t="s">
        <v>115</v>
      </c>
      <c r="AN248" s="3" t="s">
        <v>61</v>
      </c>
      <c r="AO248" s="3" t="s">
        <v>62</v>
      </c>
      <c r="AP248" s="3" t="s">
        <v>69</v>
      </c>
      <c r="AQ248" s="3" t="s">
        <v>61</v>
      </c>
      <c r="AR248" s="3" t="s">
        <v>48</v>
      </c>
    </row>
    <row r="249" spans="1:44" ht="30" customHeight="1">
      <c r="A249" s="3" t="s">
        <v>44</v>
      </c>
      <c r="B249" s="3" t="s">
        <v>45</v>
      </c>
      <c r="C249" s="3" t="s">
        <v>46</v>
      </c>
      <c r="D249" s="3" t="s">
        <v>108</v>
      </c>
      <c r="E249" s="3" t="s">
        <v>48</v>
      </c>
      <c r="F249" s="3" t="s">
        <v>108</v>
      </c>
      <c r="G249" s="3" t="s">
        <v>1617</v>
      </c>
      <c r="H249" s="4">
        <f>IF(DATEDIF(L249,S249,"m")&gt;12,DATEDIF(L249,S249,"y"),(DATEDIF(L249,S249,"m")/12))</f>
        <v>10</v>
      </c>
      <c r="I249" s="7">
        <f>DATEDIF(L249,S249,"M")</f>
        <v>129</v>
      </c>
      <c r="J249" s="7">
        <f>DATEDIF(L249,S249,"D")</f>
        <v>3937</v>
      </c>
      <c r="K249" s="3" t="s">
        <v>51</v>
      </c>
      <c r="L249" s="8">
        <v>41080</v>
      </c>
      <c r="M249" s="3" t="s">
        <v>45</v>
      </c>
      <c r="N249" s="3" t="s">
        <v>73</v>
      </c>
      <c r="O249" s="3" t="s">
        <v>52</v>
      </c>
      <c r="P249" s="3" t="s">
        <v>1618</v>
      </c>
      <c r="Q249" s="7">
        <v>0</v>
      </c>
      <c r="R249" s="8">
        <v>45021</v>
      </c>
      <c r="S249" s="8">
        <v>45017</v>
      </c>
      <c r="T249" s="3" t="s">
        <v>54</v>
      </c>
      <c r="U249" s="3" t="s">
        <v>55</v>
      </c>
      <c r="V249" s="9"/>
      <c r="W249" s="10">
        <v>45021</v>
      </c>
      <c r="X249" s="7">
        <v>0</v>
      </c>
      <c r="Y249" s="7">
        <v>4</v>
      </c>
      <c r="Z249" s="7">
        <v>4</v>
      </c>
      <c r="AA249" s="7">
        <f>INT((S249-DATE(YEAR(S249-WEEKDAY(S249-0)+4),1,4)+WEEKDAY(DATE(YEAR(S249-WEEKDAY(S249-0)+4),1,4))+6)/7)</f>
        <v>13</v>
      </c>
      <c r="AB249" s="3" t="s">
        <v>1619</v>
      </c>
      <c r="AC249" s="7">
        <v>447</v>
      </c>
      <c r="AD249" s="7">
        <v>0</v>
      </c>
      <c r="AE249" s="7">
        <v>0</v>
      </c>
      <c r="AF249" s="3" t="s">
        <v>48</v>
      </c>
      <c r="AG249" s="7">
        <v>2023</v>
      </c>
      <c r="AH249" s="3" t="s">
        <v>112</v>
      </c>
      <c r="AI249" s="3" t="s">
        <v>113</v>
      </c>
      <c r="AJ249" s="3" t="s">
        <v>48</v>
      </c>
      <c r="AK249" s="3" t="s">
        <v>212</v>
      </c>
      <c r="AL249" s="3" t="s">
        <v>59</v>
      </c>
      <c r="AM249" s="3" t="s">
        <v>115</v>
      </c>
      <c r="AN249" s="3" t="s">
        <v>61</v>
      </c>
      <c r="AO249" s="3" t="s">
        <v>62</v>
      </c>
      <c r="AP249" s="3" t="s">
        <v>61</v>
      </c>
      <c r="AQ249" s="3" t="s">
        <v>61</v>
      </c>
      <c r="AR249" s="3" t="s">
        <v>48</v>
      </c>
    </row>
    <row r="250" spans="1:44" ht="30" customHeight="1">
      <c r="A250" s="3" t="s">
        <v>44</v>
      </c>
      <c r="B250" s="3" t="s">
        <v>45</v>
      </c>
      <c r="C250" s="3" t="s">
        <v>46</v>
      </c>
      <c r="D250" s="3" t="s">
        <v>108</v>
      </c>
      <c r="E250" s="3" t="s">
        <v>48</v>
      </c>
      <c r="F250" s="3" t="s">
        <v>108</v>
      </c>
      <c r="G250" s="3" t="s">
        <v>1674</v>
      </c>
      <c r="H250" s="5">
        <f>IF(DATEDIF(L250,S250,"m")&gt;12,DATEDIF(L250,S250,"y"),(DATEDIF(L250,S250,"m")/12))</f>
        <v>0.16666666666666666</v>
      </c>
      <c r="I250" s="7">
        <f>DATEDIF(L250,S250,"M")</f>
        <v>2</v>
      </c>
      <c r="J250" s="7">
        <f>DATEDIF(L250,S250,"D")</f>
        <v>80</v>
      </c>
      <c r="K250" s="3" t="s">
        <v>64</v>
      </c>
      <c r="L250" s="8">
        <v>44935</v>
      </c>
      <c r="M250" s="3" t="s">
        <v>45</v>
      </c>
      <c r="N250" s="3" t="s">
        <v>73</v>
      </c>
      <c r="O250" s="3" t="s">
        <v>52</v>
      </c>
      <c r="P250" s="3" t="s">
        <v>1675</v>
      </c>
      <c r="Q250" s="7">
        <v>0</v>
      </c>
      <c r="R250" s="8">
        <v>45019</v>
      </c>
      <c r="S250" s="8">
        <v>45015</v>
      </c>
      <c r="T250" s="3" t="s">
        <v>54</v>
      </c>
      <c r="U250" s="3" t="s">
        <v>55</v>
      </c>
      <c r="V250" s="9"/>
      <c r="W250" s="10">
        <v>45021</v>
      </c>
      <c r="X250" s="7">
        <v>2</v>
      </c>
      <c r="Y250" s="7">
        <v>4</v>
      </c>
      <c r="Z250" s="7">
        <v>3</v>
      </c>
      <c r="AA250" s="7">
        <f>INT((S250-DATE(YEAR(S250-WEEKDAY(S250-0)+4),1,4)+WEEKDAY(DATE(YEAR(S250-WEEKDAY(S250-0)+4),1,4))+6)/7)</f>
        <v>13</v>
      </c>
      <c r="AB250" s="3" t="s">
        <v>1676</v>
      </c>
      <c r="AC250" s="7">
        <v>434</v>
      </c>
      <c r="AD250" s="7">
        <v>0</v>
      </c>
      <c r="AE250" s="7">
        <v>0</v>
      </c>
      <c r="AF250" s="3" t="s">
        <v>48</v>
      </c>
      <c r="AG250" s="7">
        <v>2023</v>
      </c>
      <c r="AH250" s="3" t="s">
        <v>112</v>
      </c>
      <c r="AI250" s="3" t="s">
        <v>113</v>
      </c>
      <c r="AJ250" s="3" t="s">
        <v>48</v>
      </c>
      <c r="AK250" s="3" t="s">
        <v>212</v>
      </c>
      <c r="AL250" s="3" t="s">
        <v>59</v>
      </c>
      <c r="AM250" s="3" t="s">
        <v>115</v>
      </c>
      <c r="AN250" s="3" t="s">
        <v>61</v>
      </c>
      <c r="AO250" s="3" t="s">
        <v>62</v>
      </c>
      <c r="AP250" s="3" t="s">
        <v>61</v>
      </c>
      <c r="AQ250" s="3" t="s">
        <v>61</v>
      </c>
      <c r="AR250" s="3" t="s">
        <v>48</v>
      </c>
    </row>
    <row r="251" spans="1:44" ht="30" customHeight="1">
      <c r="A251" s="3" t="s">
        <v>44</v>
      </c>
      <c r="B251" s="3" t="s">
        <v>45</v>
      </c>
      <c r="C251" s="3" t="s">
        <v>80</v>
      </c>
      <c r="D251" s="3" t="s">
        <v>416</v>
      </c>
      <c r="E251" s="3" t="s">
        <v>48</v>
      </c>
      <c r="F251" s="3" t="s">
        <v>848</v>
      </c>
      <c r="G251" s="3" t="s">
        <v>849</v>
      </c>
      <c r="H251" s="4">
        <f>IF(DATEDIF(L251,S251,"m")&gt;12,DATEDIF(L251,S251,"y"),(DATEDIF(L251,S251,"m")/12))</f>
        <v>1</v>
      </c>
      <c r="I251" s="7">
        <f>DATEDIF(L251,S251,"M")</f>
        <v>15</v>
      </c>
      <c r="J251" s="7">
        <f>DATEDIF(L251,S251,"D")</f>
        <v>478</v>
      </c>
      <c r="K251" s="3" t="s">
        <v>64</v>
      </c>
      <c r="L251" s="8">
        <v>44477</v>
      </c>
      <c r="M251" s="3" t="s">
        <v>45</v>
      </c>
      <c r="N251" s="3" t="s">
        <v>83</v>
      </c>
      <c r="O251" s="3" t="s">
        <v>52</v>
      </c>
      <c r="P251" s="3" t="s">
        <v>137</v>
      </c>
      <c r="Q251" s="7">
        <v>1</v>
      </c>
      <c r="R251" s="8">
        <v>44958</v>
      </c>
      <c r="S251" s="8">
        <v>44955</v>
      </c>
      <c r="T251" s="3" t="s">
        <v>54</v>
      </c>
      <c r="U251" s="3" t="s">
        <v>55</v>
      </c>
      <c r="V251" s="9"/>
      <c r="W251" s="10">
        <v>44963</v>
      </c>
      <c r="X251" s="7">
        <v>5</v>
      </c>
      <c r="Y251" s="7">
        <v>3</v>
      </c>
      <c r="Z251" s="7">
        <v>1</v>
      </c>
      <c r="AA251" s="7">
        <f>INT((S251-DATE(YEAR(S251-WEEKDAY(S251-0)+4),1,4)+WEEKDAY(DATE(YEAR(S251-WEEKDAY(S251-0)+4),1,4))+6)/7)</f>
        <v>5</v>
      </c>
      <c r="AB251" s="3" t="s">
        <v>850</v>
      </c>
      <c r="AC251" s="7">
        <v>344</v>
      </c>
      <c r="AD251" s="7">
        <v>0</v>
      </c>
      <c r="AE251" s="7">
        <v>0</v>
      </c>
      <c r="AF251" s="3" t="s">
        <v>48</v>
      </c>
      <c r="AG251" s="7">
        <v>2023</v>
      </c>
      <c r="AH251" s="3" t="s">
        <v>851</v>
      </c>
      <c r="AI251" s="3" t="s">
        <v>48</v>
      </c>
      <c r="AJ251" s="3" t="s">
        <v>48</v>
      </c>
      <c r="AK251" s="3" t="s">
        <v>852</v>
      </c>
      <c r="AL251" s="3" t="s">
        <v>59</v>
      </c>
      <c r="AM251" s="3" t="s">
        <v>99</v>
      </c>
      <c r="AN251" s="3" t="s">
        <v>61</v>
      </c>
      <c r="AO251" s="3" t="s">
        <v>62</v>
      </c>
      <c r="AP251" s="3" t="s">
        <v>69</v>
      </c>
      <c r="AQ251" s="3" t="s">
        <v>61</v>
      </c>
      <c r="AR251" s="3" t="s">
        <v>48</v>
      </c>
    </row>
    <row r="252" spans="1:44" ht="30" customHeight="1">
      <c r="A252" s="3" t="s">
        <v>44</v>
      </c>
      <c r="B252" s="3" t="s">
        <v>45</v>
      </c>
      <c r="C252" s="3" t="s">
        <v>46</v>
      </c>
      <c r="D252" s="3" t="s">
        <v>108</v>
      </c>
      <c r="E252" s="3" t="s">
        <v>48</v>
      </c>
      <c r="F252" s="3" t="s">
        <v>108</v>
      </c>
      <c r="G252" s="3" t="s">
        <v>2330</v>
      </c>
      <c r="H252" s="4">
        <f>IF(DATEDIF(L252,S252,"m")&gt;12,DATEDIF(L252,S252,"y"),(DATEDIF(L252,S252,"m")/12))</f>
        <v>7</v>
      </c>
      <c r="I252" s="7">
        <f>DATEDIF(L252,S252,"M")</f>
        <v>90</v>
      </c>
      <c r="J252" s="7">
        <f>DATEDIF(L252,S252,"D")</f>
        <v>2763</v>
      </c>
      <c r="K252" s="3" t="s">
        <v>51</v>
      </c>
      <c r="L252" s="8">
        <v>42255</v>
      </c>
      <c r="M252" s="3" t="s">
        <v>45</v>
      </c>
      <c r="N252" s="3" t="s">
        <v>73</v>
      </c>
      <c r="O252" s="3" t="s">
        <v>52</v>
      </c>
      <c r="P252" s="3" t="s">
        <v>2331</v>
      </c>
      <c r="Q252" s="7">
        <v>0</v>
      </c>
      <c r="R252" s="8">
        <v>45021</v>
      </c>
      <c r="S252" s="8">
        <v>45018</v>
      </c>
      <c r="T252" s="3" t="s">
        <v>54</v>
      </c>
      <c r="U252" s="3" t="s">
        <v>55</v>
      </c>
      <c r="V252" s="9"/>
      <c r="W252" s="10">
        <v>45021</v>
      </c>
      <c r="X252" s="7">
        <v>0</v>
      </c>
      <c r="Y252" s="7">
        <v>3</v>
      </c>
      <c r="Z252" s="7">
        <v>4</v>
      </c>
      <c r="AA252" s="7">
        <f>INT((S252-DATE(YEAR(S252-WEEKDAY(S252-0)+4),1,4)+WEEKDAY(DATE(YEAR(S252-WEEKDAY(S252-0)+4),1,4))+6)/7)</f>
        <v>14</v>
      </c>
      <c r="AB252" s="3" t="s">
        <v>2332</v>
      </c>
      <c r="AC252" s="7">
        <v>454</v>
      </c>
      <c r="AD252" s="7">
        <v>0</v>
      </c>
      <c r="AE252" s="7">
        <v>0</v>
      </c>
      <c r="AF252" s="3" t="s">
        <v>48</v>
      </c>
      <c r="AG252" s="7">
        <v>2023</v>
      </c>
      <c r="AH252" s="3" t="s">
        <v>112</v>
      </c>
      <c r="AI252" s="3" t="s">
        <v>113</v>
      </c>
      <c r="AJ252" s="3" t="s">
        <v>48</v>
      </c>
      <c r="AK252" s="3" t="s">
        <v>212</v>
      </c>
      <c r="AL252" s="3" t="s">
        <v>59</v>
      </c>
      <c r="AM252" s="3" t="s">
        <v>115</v>
      </c>
      <c r="AN252" s="3" t="s">
        <v>61</v>
      </c>
      <c r="AO252" s="3" t="s">
        <v>62</v>
      </c>
      <c r="AP252" s="3" t="s">
        <v>61</v>
      </c>
      <c r="AQ252" s="3" t="s">
        <v>61</v>
      </c>
      <c r="AR252" s="3" t="s">
        <v>48</v>
      </c>
    </row>
    <row r="253" spans="1:44" ht="30" customHeight="1">
      <c r="A253" s="3" t="s">
        <v>44</v>
      </c>
      <c r="B253" s="3" t="s">
        <v>45</v>
      </c>
      <c r="C253" s="3" t="s">
        <v>46</v>
      </c>
      <c r="D253" s="3" t="s">
        <v>47</v>
      </c>
      <c r="E253" s="3" t="s">
        <v>48</v>
      </c>
      <c r="F253" s="3" t="s">
        <v>49</v>
      </c>
      <c r="G253" s="3" t="s">
        <v>922</v>
      </c>
      <c r="H253" s="4">
        <f>IF(DATEDIF(L253,S253,"m")&gt;12,DATEDIF(L253,S253,"y"),(DATEDIF(L253,S253,"m")/12))</f>
        <v>1</v>
      </c>
      <c r="I253" s="7">
        <f>DATEDIF(L253,S253,"M")</f>
        <v>21</v>
      </c>
      <c r="J253" s="7">
        <f>DATEDIF(L253,S253,"D")</f>
        <v>660</v>
      </c>
      <c r="K253" s="3" t="s">
        <v>51</v>
      </c>
      <c r="L253" s="8">
        <v>44292</v>
      </c>
      <c r="M253" s="3" t="s">
        <v>45</v>
      </c>
      <c r="N253" s="3" t="s">
        <v>49</v>
      </c>
      <c r="O253" s="3" t="s">
        <v>52</v>
      </c>
      <c r="P253" s="3" t="s">
        <v>923</v>
      </c>
      <c r="Q253" s="7">
        <v>0</v>
      </c>
      <c r="R253" s="8">
        <v>44959</v>
      </c>
      <c r="S253" s="8">
        <v>44952</v>
      </c>
      <c r="T253" s="3" t="s">
        <v>54</v>
      </c>
      <c r="U253" s="3" t="s">
        <v>55</v>
      </c>
      <c r="V253" s="9"/>
      <c r="W253" s="10">
        <v>44963</v>
      </c>
      <c r="X253" s="7">
        <v>4</v>
      </c>
      <c r="Y253" s="7">
        <v>7</v>
      </c>
      <c r="Z253" s="7">
        <v>1</v>
      </c>
      <c r="AA253" s="7">
        <f>INT((S253-DATE(YEAR(S253-WEEKDAY(S253-0)+4),1,4)+WEEKDAY(DATE(YEAR(S253-WEEKDAY(S253-0)+4),1,4))+6)/7)</f>
        <v>4</v>
      </c>
      <c r="AB253" s="3" t="s">
        <v>924</v>
      </c>
      <c r="AC253" s="7">
        <v>27</v>
      </c>
      <c r="AD253" s="7">
        <v>0</v>
      </c>
      <c r="AE253" s="7">
        <v>0</v>
      </c>
      <c r="AF253" s="3" t="s">
        <v>48</v>
      </c>
      <c r="AG253" s="7">
        <v>2023</v>
      </c>
      <c r="AH253" s="3" t="s">
        <v>57</v>
      </c>
      <c r="AI253" s="3" t="s">
        <v>48</v>
      </c>
      <c r="AJ253" s="3" t="s">
        <v>48</v>
      </c>
      <c r="AK253" s="3" t="s">
        <v>58</v>
      </c>
      <c r="AL253" s="3" t="s">
        <v>59</v>
      </c>
      <c r="AM253" s="3" t="s">
        <v>60</v>
      </c>
      <c r="AN253" s="3" t="s">
        <v>69</v>
      </c>
      <c r="AO253" s="3" t="s">
        <v>62</v>
      </c>
      <c r="AP253" s="3" t="s">
        <v>69</v>
      </c>
      <c r="AQ253" s="3" t="s">
        <v>61</v>
      </c>
      <c r="AR253" s="3" t="s">
        <v>48</v>
      </c>
    </row>
    <row r="254" spans="1:44" ht="30" customHeight="1">
      <c r="A254" s="3" t="s">
        <v>44</v>
      </c>
      <c r="B254" s="3" t="s">
        <v>45</v>
      </c>
      <c r="C254" s="3" t="s">
        <v>46</v>
      </c>
      <c r="D254" s="3" t="s">
        <v>108</v>
      </c>
      <c r="E254" s="3" t="s">
        <v>48</v>
      </c>
      <c r="F254" s="3" t="s">
        <v>108</v>
      </c>
      <c r="G254" s="3" t="s">
        <v>660</v>
      </c>
      <c r="H254" s="4">
        <f>IF(DATEDIF(L254,S254,"m")&gt;12,DATEDIF(L254,S254,"y"),(DATEDIF(L254,S254,"m")/12))</f>
        <v>51</v>
      </c>
      <c r="I254" s="7">
        <f>DATEDIF(L254,S254,"M")</f>
        <v>622</v>
      </c>
      <c r="J254" s="7">
        <f>DATEDIF(L254,S254,"D")</f>
        <v>18949</v>
      </c>
      <c r="K254" s="3" t="s">
        <v>64</v>
      </c>
      <c r="L254" s="8">
        <v>26081</v>
      </c>
      <c r="M254" s="3" t="s">
        <v>45</v>
      </c>
      <c r="N254" s="3" t="s">
        <v>73</v>
      </c>
      <c r="O254" s="3" t="s">
        <v>52</v>
      </c>
      <c r="P254" s="3" t="s">
        <v>661</v>
      </c>
      <c r="Q254" s="7">
        <v>0</v>
      </c>
      <c r="R254" s="8">
        <v>45035</v>
      </c>
      <c r="S254" s="8">
        <v>45030</v>
      </c>
      <c r="T254" s="3" t="s">
        <v>54</v>
      </c>
      <c r="U254" s="3" t="s">
        <v>55</v>
      </c>
      <c r="V254" s="9"/>
      <c r="W254" s="10">
        <v>45036</v>
      </c>
      <c r="X254" s="7">
        <v>1</v>
      </c>
      <c r="Y254" s="7">
        <v>5</v>
      </c>
      <c r="Z254" s="7">
        <v>4</v>
      </c>
      <c r="AA254" s="7">
        <f>INT((S254-DATE(YEAR(S254-WEEKDAY(S254-0)+4),1,4)+WEEKDAY(DATE(YEAR(S254-WEEKDAY(S254-0)+4),1,4))+6)/7)</f>
        <v>15</v>
      </c>
      <c r="AB254" s="3" t="s">
        <v>662</v>
      </c>
      <c r="AC254" s="7">
        <v>490</v>
      </c>
      <c r="AD254" s="7">
        <v>0</v>
      </c>
      <c r="AE254" s="7">
        <v>0</v>
      </c>
      <c r="AF254" s="3" t="s">
        <v>48</v>
      </c>
      <c r="AG254" s="7">
        <v>2023</v>
      </c>
      <c r="AH254" s="3" t="s">
        <v>112</v>
      </c>
      <c r="AI254" s="3" t="s">
        <v>48</v>
      </c>
      <c r="AJ254" s="3" t="s">
        <v>48</v>
      </c>
      <c r="AK254" s="3" t="s">
        <v>212</v>
      </c>
      <c r="AL254" s="3" t="s">
        <v>59</v>
      </c>
      <c r="AM254" s="3" t="s">
        <v>115</v>
      </c>
      <c r="AN254" s="3" t="s">
        <v>61</v>
      </c>
      <c r="AO254" s="3" t="s">
        <v>62</v>
      </c>
      <c r="AP254" s="3" t="s">
        <v>61</v>
      </c>
      <c r="AQ254" s="3" t="s">
        <v>61</v>
      </c>
      <c r="AR254" s="3" t="s">
        <v>48</v>
      </c>
    </row>
    <row r="255" spans="1:44" ht="30" customHeight="1">
      <c r="A255" s="3" t="s">
        <v>44</v>
      </c>
      <c r="B255" s="3" t="s">
        <v>45</v>
      </c>
      <c r="C255" s="3" t="s">
        <v>46</v>
      </c>
      <c r="D255" s="3" t="s">
        <v>108</v>
      </c>
      <c r="E255" s="3" t="s">
        <v>48</v>
      </c>
      <c r="F255" s="3" t="s">
        <v>108</v>
      </c>
      <c r="G255" s="3" t="s">
        <v>1091</v>
      </c>
      <c r="H255" s="4">
        <f>IF(DATEDIF(L255,S255,"m")&gt;12,DATEDIF(L255,S255,"y"),(DATEDIF(L255,S255,"m")/12))</f>
        <v>3</v>
      </c>
      <c r="I255" s="7">
        <f>DATEDIF(L255,S255,"M")</f>
        <v>39</v>
      </c>
      <c r="J255" s="7">
        <f>DATEDIF(L255,S255,"D")</f>
        <v>1189</v>
      </c>
      <c r="K255" s="3" t="s">
        <v>64</v>
      </c>
      <c r="L255" s="8">
        <v>43842</v>
      </c>
      <c r="M255" s="3" t="s">
        <v>45</v>
      </c>
      <c r="N255" s="3" t="s">
        <v>73</v>
      </c>
      <c r="O255" s="3" t="s">
        <v>52</v>
      </c>
      <c r="P255" s="3" t="s">
        <v>661</v>
      </c>
      <c r="Q255" s="7">
        <v>0</v>
      </c>
      <c r="R255" s="8">
        <v>45035</v>
      </c>
      <c r="S255" s="8">
        <v>45031</v>
      </c>
      <c r="T255" s="3" t="s">
        <v>54</v>
      </c>
      <c r="U255" s="3" t="s">
        <v>55</v>
      </c>
      <c r="V255" s="9"/>
      <c r="W255" s="10">
        <v>45036</v>
      </c>
      <c r="X255" s="7">
        <v>1</v>
      </c>
      <c r="Y255" s="7">
        <v>4</v>
      </c>
      <c r="Z255" s="7">
        <v>4</v>
      </c>
      <c r="AA255" s="7">
        <f>INT((S255-DATE(YEAR(S255-WEEKDAY(S255-0)+4),1,4)+WEEKDAY(DATE(YEAR(S255-WEEKDAY(S255-0)+4),1,4))+6)/7)</f>
        <v>15</v>
      </c>
      <c r="AB255" s="3" t="s">
        <v>1092</v>
      </c>
      <c r="AC255" s="7">
        <v>491</v>
      </c>
      <c r="AD255" s="7">
        <v>0</v>
      </c>
      <c r="AE255" s="7">
        <v>0</v>
      </c>
      <c r="AF255" s="3" t="s">
        <v>48</v>
      </c>
      <c r="AG255" s="7">
        <v>2023</v>
      </c>
      <c r="AH255" s="3" t="s">
        <v>112</v>
      </c>
      <c r="AI255" s="3" t="s">
        <v>48</v>
      </c>
      <c r="AJ255" s="3" t="s">
        <v>48</v>
      </c>
      <c r="AK255" s="3" t="s">
        <v>212</v>
      </c>
      <c r="AL255" s="3" t="s">
        <v>59</v>
      </c>
      <c r="AM255" s="3" t="s">
        <v>115</v>
      </c>
      <c r="AN255" s="3" t="s">
        <v>61</v>
      </c>
      <c r="AO255" s="3" t="s">
        <v>62</v>
      </c>
      <c r="AP255" s="3" t="s">
        <v>61</v>
      </c>
      <c r="AQ255" s="3" t="s">
        <v>61</v>
      </c>
      <c r="AR255" s="3" t="s">
        <v>48</v>
      </c>
    </row>
    <row r="256" spans="1:44" ht="30" customHeight="1">
      <c r="A256" s="3" t="s">
        <v>44</v>
      </c>
      <c r="B256" s="3" t="s">
        <v>45</v>
      </c>
      <c r="C256" s="3" t="s">
        <v>46</v>
      </c>
      <c r="D256" s="3" t="s">
        <v>108</v>
      </c>
      <c r="E256" s="3" t="s">
        <v>48</v>
      </c>
      <c r="F256" s="3" t="s">
        <v>108</v>
      </c>
      <c r="G256" s="3" t="s">
        <v>2170</v>
      </c>
      <c r="H256" s="5">
        <f>IF(DATEDIF(L256,S256,"m")&gt;12,DATEDIF(L256,S256,"y"),(DATEDIF(L256,S256,"m")/12))</f>
        <v>0.33333333333333331</v>
      </c>
      <c r="I256" s="7">
        <f>DATEDIF(L256,S256,"M")</f>
        <v>4</v>
      </c>
      <c r="J256" s="7">
        <f>DATEDIF(L256,S256,"D")</f>
        <v>129</v>
      </c>
      <c r="K256" s="3" t="s">
        <v>51</v>
      </c>
      <c r="L256" s="8">
        <v>44900</v>
      </c>
      <c r="M256" s="3" t="s">
        <v>45</v>
      </c>
      <c r="N256" s="3" t="s">
        <v>73</v>
      </c>
      <c r="O256" s="3" t="s">
        <v>52</v>
      </c>
      <c r="P256" s="3" t="s">
        <v>2171</v>
      </c>
      <c r="Q256" s="7">
        <v>0</v>
      </c>
      <c r="R256" s="8">
        <v>45033</v>
      </c>
      <c r="S256" s="8">
        <v>45029</v>
      </c>
      <c r="T256" s="3" t="s">
        <v>54</v>
      </c>
      <c r="U256" s="3" t="s">
        <v>55</v>
      </c>
      <c r="V256" s="9"/>
      <c r="W256" s="10">
        <v>45036</v>
      </c>
      <c r="X256" s="7">
        <v>3</v>
      </c>
      <c r="Y256" s="7">
        <v>4</v>
      </c>
      <c r="Z256" s="7">
        <v>4</v>
      </c>
      <c r="AA256" s="7">
        <f>INT((S256-DATE(YEAR(S256-WEEKDAY(S256-0)+4),1,4)+WEEKDAY(DATE(YEAR(S256-WEEKDAY(S256-0)+4),1,4))+6)/7)</f>
        <v>15</v>
      </c>
      <c r="AB256" s="3" t="s">
        <v>2172</v>
      </c>
      <c r="AC256" s="7">
        <v>478</v>
      </c>
      <c r="AD256" s="7">
        <v>0</v>
      </c>
      <c r="AE256" s="7">
        <v>0</v>
      </c>
      <c r="AF256" s="3" t="s">
        <v>48</v>
      </c>
      <c r="AG256" s="7">
        <v>2023</v>
      </c>
      <c r="AH256" s="3" t="s">
        <v>112</v>
      </c>
      <c r="AI256" s="3" t="s">
        <v>48</v>
      </c>
      <c r="AJ256" s="3" t="s">
        <v>48</v>
      </c>
      <c r="AK256" s="3" t="s">
        <v>212</v>
      </c>
      <c r="AL256" s="3" t="s">
        <v>59</v>
      </c>
      <c r="AM256" s="3" t="s">
        <v>115</v>
      </c>
      <c r="AN256" s="3" t="s">
        <v>61</v>
      </c>
      <c r="AO256" s="3" t="s">
        <v>62</v>
      </c>
      <c r="AP256" s="3" t="s">
        <v>61</v>
      </c>
      <c r="AQ256" s="3" t="s">
        <v>61</v>
      </c>
      <c r="AR256" s="3" t="s">
        <v>48</v>
      </c>
    </row>
    <row r="257" spans="1:44" ht="30" customHeight="1">
      <c r="A257" s="3" t="s">
        <v>44</v>
      </c>
      <c r="B257" s="3" t="s">
        <v>45</v>
      </c>
      <c r="C257" s="3" t="s">
        <v>46</v>
      </c>
      <c r="D257" s="3" t="s">
        <v>108</v>
      </c>
      <c r="E257" s="3" t="s">
        <v>48</v>
      </c>
      <c r="F257" s="3" t="s">
        <v>108</v>
      </c>
      <c r="G257" s="3" t="s">
        <v>1234</v>
      </c>
      <c r="H257" s="5">
        <f>IF(DATEDIF(L257,S257,"m")&gt;12,DATEDIF(L257,S257,"y"),(DATEDIF(L257,S257,"m")/12))</f>
        <v>0.58333333333333337</v>
      </c>
      <c r="I257" s="7">
        <f>DATEDIF(L257,S257,"M")</f>
        <v>7</v>
      </c>
      <c r="J257" s="7">
        <f>DATEDIF(L257,S257,"D")</f>
        <v>243</v>
      </c>
      <c r="K257" s="3" t="s">
        <v>64</v>
      </c>
      <c r="L257" s="8">
        <v>44698</v>
      </c>
      <c r="M257" s="3" t="s">
        <v>45</v>
      </c>
      <c r="N257" s="3" t="s">
        <v>73</v>
      </c>
      <c r="O257" s="3" t="s">
        <v>52</v>
      </c>
      <c r="P257" s="3" t="s">
        <v>322</v>
      </c>
      <c r="Q257" s="7">
        <v>0</v>
      </c>
      <c r="R257" s="8">
        <v>44943</v>
      </c>
      <c r="S257" s="8">
        <v>44941</v>
      </c>
      <c r="T257" s="3" t="s">
        <v>54</v>
      </c>
      <c r="U257" s="3" t="s">
        <v>55</v>
      </c>
      <c r="V257" s="9"/>
      <c r="W257" s="13">
        <v>45112</v>
      </c>
      <c r="X257" s="7">
        <v>7</v>
      </c>
      <c r="Y257" s="7">
        <v>2</v>
      </c>
      <c r="Z257" s="7">
        <v>1</v>
      </c>
      <c r="AA257" s="7">
        <f>INT((S257-DATE(YEAR(S257-WEEKDAY(S257-0)+4),1,4)+WEEKDAY(DATE(YEAR(S257-WEEKDAY(S257-0)+4),1,4))+6)/7)</f>
        <v>3</v>
      </c>
      <c r="AB257" s="3" t="s">
        <v>1235</v>
      </c>
      <c r="AC257" s="7">
        <v>154</v>
      </c>
      <c r="AD257" s="7">
        <v>0</v>
      </c>
      <c r="AE257" s="7">
        <v>0</v>
      </c>
      <c r="AF257" s="3" t="s">
        <v>48</v>
      </c>
      <c r="AG257" s="7">
        <v>2023</v>
      </c>
      <c r="AH257" s="3" t="s">
        <v>112</v>
      </c>
      <c r="AI257" s="3" t="s">
        <v>113</v>
      </c>
      <c r="AJ257" s="3" t="s">
        <v>48</v>
      </c>
      <c r="AK257" s="3" t="s">
        <v>212</v>
      </c>
      <c r="AL257" s="3" t="s">
        <v>59</v>
      </c>
      <c r="AM257" s="3" t="s">
        <v>115</v>
      </c>
      <c r="AN257" s="3" t="s">
        <v>61</v>
      </c>
      <c r="AO257" s="3" t="s">
        <v>62</v>
      </c>
      <c r="AP257" s="3" t="s">
        <v>69</v>
      </c>
      <c r="AQ257" s="3" t="s">
        <v>61</v>
      </c>
      <c r="AR257" s="3" t="s">
        <v>48</v>
      </c>
    </row>
    <row r="258" spans="1:44" ht="30" customHeight="1">
      <c r="A258" s="3" t="s">
        <v>44</v>
      </c>
      <c r="B258" s="3" t="s">
        <v>45</v>
      </c>
      <c r="C258" s="3" t="s">
        <v>46</v>
      </c>
      <c r="D258" s="3" t="s">
        <v>70</v>
      </c>
      <c r="E258" s="3" t="s">
        <v>48</v>
      </c>
      <c r="F258" s="3" t="s">
        <v>71</v>
      </c>
      <c r="G258" s="3" t="s">
        <v>1064</v>
      </c>
      <c r="H258" s="4">
        <f>IF(DATEDIF(L258,S258,"m")&gt;12,DATEDIF(L258,S258,"y"),(DATEDIF(L258,S258,"m")/12))</f>
        <v>10</v>
      </c>
      <c r="I258" s="7">
        <f>DATEDIF(L258,S258,"M")</f>
        <v>126</v>
      </c>
      <c r="J258" s="7">
        <f>DATEDIF(L258,S258,"D")</f>
        <v>3865</v>
      </c>
      <c r="K258" s="3" t="s">
        <v>64</v>
      </c>
      <c r="L258" s="8">
        <v>41095</v>
      </c>
      <c r="M258" s="3" t="s">
        <v>45</v>
      </c>
      <c r="N258" s="3" t="s">
        <v>164</v>
      </c>
      <c r="O258" s="3" t="s">
        <v>52</v>
      </c>
      <c r="P258" s="3" t="s">
        <v>91</v>
      </c>
      <c r="Q258" s="7">
        <v>1</v>
      </c>
      <c r="R258" s="8">
        <v>44961</v>
      </c>
      <c r="S258" s="8">
        <v>44960</v>
      </c>
      <c r="T258" s="3" t="s">
        <v>54</v>
      </c>
      <c r="U258" s="3" t="s">
        <v>55</v>
      </c>
      <c r="V258" s="9"/>
      <c r="W258" s="10">
        <v>44963</v>
      </c>
      <c r="X258" s="7">
        <v>2</v>
      </c>
      <c r="Y258" s="7">
        <v>1</v>
      </c>
      <c r="Z258" s="7">
        <v>2</v>
      </c>
      <c r="AA258" s="7">
        <f>INT((S258-DATE(YEAR(S258-WEEKDAY(S258-0)+4),1,4)+WEEKDAY(DATE(YEAR(S258-WEEKDAY(S258-0)+4),1,4))+6)/7)</f>
        <v>5</v>
      </c>
      <c r="AB258" s="3" t="s">
        <v>1065</v>
      </c>
      <c r="AC258" s="7">
        <v>654</v>
      </c>
      <c r="AD258" s="7">
        <v>0</v>
      </c>
      <c r="AE258" s="7">
        <v>1</v>
      </c>
      <c r="AF258" s="3" t="s">
        <v>48</v>
      </c>
      <c r="AG258" s="7">
        <v>2023</v>
      </c>
      <c r="AH258" s="3" t="s">
        <v>76</v>
      </c>
      <c r="AI258" s="3" t="s">
        <v>166</v>
      </c>
      <c r="AJ258" s="3" t="s">
        <v>78</v>
      </c>
      <c r="AK258" s="18" t="s">
        <v>572</v>
      </c>
      <c r="AL258" s="3" t="s">
        <v>59</v>
      </c>
      <c r="AM258" s="3" t="s">
        <v>60</v>
      </c>
      <c r="AN258" s="3" t="s">
        <v>61</v>
      </c>
      <c r="AO258" s="3" t="s">
        <v>62</v>
      </c>
      <c r="AP258" s="3" t="s">
        <v>69</v>
      </c>
      <c r="AQ258" s="3" t="s">
        <v>61</v>
      </c>
      <c r="AR258" s="3" t="s">
        <v>48</v>
      </c>
    </row>
    <row r="259" spans="1:44" ht="30" customHeight="1">
      <c r="A259" s="3" t="s">
        <v>44</v>
      </c>
      <c r="B259" s="3" t="s">
        <v>45</v>
      </c>
      <c r="C259" s="12"/>
      <c r="D259" s="12"/>
      <c r="E259" s="12"/>
      <c r="F259" s="12"/>
      <c r="G259" s="12" t="s">
        <v>2712</v>
      </c>
      <c r="H259" s="5">
        <f>IF(DATEDIF(L259,S259,"m")&gt;12,DATEDIF(L259,S259,"y"),(DATEDIF(L259,S259,"m")/12))</f>
        <v>0.25</v>
      </c>
      <c r="I259" s="7">
        <f>DATEDIF(L259,S259,"M")</f>
        <v>3</v>
      </c>
      <c r="J259" s="7">
        <f>DATEDIF(L259,S259,"D")</f>
        <v>119</v>
      </c>
      <c r="K259" s="12" t="s">
        <v>51</v>
      </c>
      <c r="L259" s="13">
        <v>44998</v>
      </c>
      <c r="M259" s="16" t="s">
        <v>45</v>
      </c>
      <c r="N259" s="12" t="s">
        <v>73</v>
      </c>
      <c r="O259" s="12" t="s">
        <v>52</v>
      </c>
      <c r="P259" s="12" t="s">
        <v>2168</v>
      </c>
      <c r="Q259" s="12">
        <v>1</v>
      </c>
      <c r="R259" s="13">
        <v>45124</v>
      </c>
      <c r="S259" s="13">
        <v>45117</v>
      </c>
      <c r="T259" s="3" t="s">
        <v>54</v>
      </c>
      <c r="U259" s="12" t="s">
        <v>55</v>
      </c>
      <c r="W259" s="13">
        <v>45130</v>
      </c>
      <c r="X259" s="12"/>
      <c r="Y259" s="12"/>
      <c r="Z259" s="12">
        <v>7</v>
      </c>
      <c r="AA259" s="7">
        <f>INT((S259-DATE(YEAR(S259-WEEKDAY(S259-0)+4),1,4)+WEEKDAY(DATE(YEAR(S259-WEEKDAY(S259-0)+4),1,4))+6)/7)</f>
        <v>28</v>
      </c>
      <c r="AB259" s="12" t="s">
        <v>2713</v>
      </c>
      <c r="AC259" s="12"/>
      <c r="AD259" s="12"/>
      <c r="AE259" s="12"/>
      <c r="AF259" s="12"/>
      <c r="AG259" s="7">
        <v>2023</v>
      </c>
      <c r="AH259" s="12" t="s">
        <v>2710</v>
      </c>
      <c r="AI259" s="12"/>
      <c r="AJ259" s="12"/>
      <c r="AK259" s="12" t="s">
        <v>2714</v>
      </c>
      <c r="AL259" s="3" t="s">
        <v>59</v>
      </c>
      <c r="AM259" s="12"/>
      <c r="AN259" s="12"/>
      <c r="AO259" s="12"/>
      <c r="AP259" s="12"/>
      <c r="AQ259" s="12"/>
      <c r="AR259" s="12"/>
    </row>
    <row r="260" spans="1:44" ht="30" customHeight="1">
      <c r="A260" s="3" t="s">
        <v>44</v>
      </c>
      <c r="B260" s="3" t="s">
        <v>45</v>
      </c>
      <c r="C260" s="3" t="s">
        <v>46</v>
      </c>
      <c r="D260" s="3" t="s">
        <v>186</v>
      </c>
      <c r="E260" s="3" t="s">
        <v>48</v>
      </c>
      <c r="F260" s="3" t="s">
        <v>271</v>
      </c>
      <c r="G260" s="3" t="s">
        <v>1123</v>
      </c>
      <c r="H260" s="4">
        <f>IF(DATEDIF(L260,S260,"m")&gt;12,DATEDIF(L260,S260,"y"),(DATEDIF(L260,S260,"m")/12))</f>
        <v>23</v>
      </c>
      <c r="I260" s="7">
        <f>DATEDIF(L260,S260,"M")</f>
        <v>277</v>
      </c>
      <c r="J260" s="7">
        <f>DATEDIF(L260,S260,"D")</f>
        <v>8432</v>
      </c>
      <c r="K260" s="3" t="s">
        <v>51</v>
      </c>
      <c r="L260" s="8">
        <v>36527</v>
      </c>
      <c r="M260" s="3" t="s">
        <v>45</v>
      </c>
      <c r="N260" s="3" t="s">
        <v>187</v>
      </c>
      <c r="O260" s="3" t="s">
        <v>52</v>
      </c>
      <c r="P260" s="3" t="s">
        <v>1034</v>
      </c>
      <c r="Q260" s="7">
        <v>0</v>
      </c>
      <c r="R260" s="8">
        <v>44960</v>
      </c>
      <c r="S260" s="8">
        <v>44959</v>
      </c>
      <c r="T260" s="3" t="s">
        <v>54</v>
      </c>
      <c r="U260" s="3" t="s">
        <v>55</v>
      </c>
      <c r="V260" s="9"/>
      <c r="W260" s="10">
        <v>44963</v>
      </c>
      <c r="X260" s="7">
        <v>3</v>
      </c>
      <c r="Y260" s="7">
        <v>1</v>
      </c>
      <c r="Z260" s="7">
        <v>2</v>
      </c>
      <c r="AA260" s="7">
        <f>INT((S260-DATE(YEAR(S260-WEEKDAY(S260-0)+4),1,4)+WEEKDAY(DATE(YEAR(S260-WEEKDAY(S260-0)+4),1,4))+6)/7)</f>
        <v>5</v>
      </c>
      <c r="AB260" s="3" t="s">
        <v>1124</v>
      </c>
      <c r="AC260" s="7">
        <v>102</v>
      </c>
      <c r="AD260" s="7">
        <v>0</v>
      </c>
      <c r="AE260" s="7">
        <v>0</v>
      </c>
      <c r="AF260" s="3" t="s">
        <v>48</v>
      </c>
      <c r="AG260" s="7">
        <v>2023</v>
      </c>
      <c r="AH260" s="3" t="s">
        <v>276</v>
      </c>
      <c r="AI260" s="3" t="s">
        <v>191</v>
      </c>
      <c r="AJ260" s="3" t="s">
        <v>186</v>
      </c>
      <c r="AK260" s="18" t="s">
        <v>192</v>
      </c>
      <c r="AL260" s="3" t="s">
        <v>59</v>
      </c>
      <c r="AM260" s="3" t="s">
        <v>60</v>
      </c>
      <c r="AN260" s="3" t="s">
        <v>61</v>
      </c>
      <c r="AO260" s="3" t="s">
        <v>62</v>
      </c>
      <c r="AP260" s="3" t="s">
        <v>69</v>
      </c>
      <c r="AQ260" s="3" t="s">
        <v>61</v>
      </c>
      <c r="AR260" s="3" t="s">
        <v>48</v>
      </c>
    </row>
    <row r="261" spans="1:44" ht="30" customHeight="1">
      <c r="A261" s="3" t="s">
        <v>44</v>
      </c>
      <c r="B261" s="3" t="s">
        <v>45</v>
      </c>
      <c r="C261" s="3" t="s">
        <v>46</v>
      </c>
      <c r="D261" s="3" t="s">
        <v>186</v>
      </c>
      <c r="E261" s="3" t="s">
        <v>48</v>
      </c>
      <c r="F261" s="3" t="s">
        <v>271</v>
      </c>
      <c r="G261" s="3" t="s">
        <v>1278</v>
      </c>
      <c r="H261" s="4">
        <f>IF(DATEDIF(L261,S261,"m")&gt;12,DATEDIF(L261,S261,"y"),(DATEDIF(L261,S261,"m")/12))</f>
        <v>27</v>
      </c>
      <c r="I261" s="7">
        <f>DATEDIF(L261,S261,"M")</f>
        <v>332</v>
      </c>
      <c r="J261" s="7">
        <f>DATEDIF(L261,S261,"D")</f>
        <v>10129</v>
      </c>
      <c r="K261" s="3" t="s">
        <v>64</v>
      </c>
      <c r="L261" s="8">
        <v>34824</v>
      </c>
      <c r="M261" s="3" t="s">
        <v>45</v>
      </c>
      <c r="N261" s="3" t="s">
        <v>187</v>
      </c>
      <c r="O261" s="3" t="s">
        <v>52</v>
      </c>
      <c r="P261" s="3" t="s">
        <v>837</v>
      </c>
      <c r="Q261" s="7">
        <v>0</v>
      </c>
      <c r="R261" s="8">
        <v>44959</v>
      </c>
      <c r="S261" s="8">
        <v>44953</v>
      </c>
      <c r="T261" s="3" t="s">
        <v>54</v>
      </c>
      <c r="U261" s="3" t="s">
        <v>55</v>
      </c>
      <c r="V261" s="9"/>
      <c r="W261" s="10">
        <v>44963</v>
      </c>
      <c r="X261" s="7">
        <v>4</v>
      </c>
      <c r="Y261" s="7">
        <v>6</v>
      </c>
      <c r="Z261" s="7">
        <v>1</v>
      </c>
      <c r="AA261" s="7">
        <f>INT((S261-DATE(YEAR(S261-WEEKDAY(S261-0)+4),1,4)+WEEKDAY(DATE(YEAR(S261-WEEKDAY(S261-0)+4),1,4))+6)/7)</f>
        <v>4</v>
      </c>
      <c r="AB261" s="3" t="s">
        <v>1279</v>
      </c>
      <c r="AC261" s="7">
        <v>101</v>
      </c>
      <c r="AD261" s="7">
        <v>0</v>
      </c>
      <c r="AE261" s="7">
        <v>0</v>
      </c>
      <c r="AF261" s="3" t="s">
        <v>48</v>
      </c>
      <c r="AG261" s="7">
        <v>2023</v>
      </c>
      <c r="AH261" s="3" t="s">
        <v>276</v>
      </c>
      <c r="AI261" s="3" t="s">
        <v>191</v>
      </c>
      <c r="AJ261" s="3" t="s">
        <v>186</v>
      </c>
      <c r="AK261" s="3" t="s">
        <v>192</v>
      </c>
      <c r="AL261" s="3" t="s">
        <v>59</v>
      </c>
      <c r="AM261" s="3" t="s">
        <v>60</v>
      </c>
      <c r="AN261" s="3" t="s">
        <v>61</v>
      </c>
      <c r="AO261" s="3" t="s">
        <v>62</v>
      </c>
      <c r="AP261" s="3" t="s">
        <v>69</v>
      </c>
      <c r="AQ261" s="3" t="s">
        <v>61</v>
      </c>
      <c r="AR261" s="3" t="s">
        <v>48</v>
      </c>
    </row>
    <row r="262" spans="1:44" ht="30" customHeight="1">
      <c r="A262" s="3" t="s">
        <v>44</v>
      </c>
      <c r="B262" s="3" t="s">
        <v>45</v>
      </c>
      <c r="C262" s="3" t="s">
        <v>46</v>
      </c>
      <c r="D262" s="3" t="s">
        <v>47</v>
      </c>
      <c r="E262" s="3" t="s">
        <v>48</v>
      </c>
      <c r="F262" s="3" t="s">
        <v>49</v>
      </c>
      <c r="G262" s="3" t="s">
        <v>1991</v>
      </c>
      <c r="H262" s="4">
        <f>IF(DATEDIF(L262,S262,"m")&gt;12,DATEDIF(L262,S262,"y"),(DATEDIF(L262,S262,"m")/12))</f>
        <v>2</v>
      </c>
      <c r="I262" s="7">
        <f>DATEDIF(L262,S262,"M")</f>
        <v>25</v>
      </c>
      <c r="J262" s="7">
        <f>DATEDIF(L262,S262,"D")</f>
        <v>773</v>
      </c>
      <c r="K262" s="3" t="s">
        <v>51</v>
      </c>
      <c r="L262" s="8">
        <v>44154</v>
      </c>
      <c r="M262" s="3" t="s">
        <v>45</v>
      </c>
      <c r="N262" s="3" t="s">
        <v>73</v>
      </c>
      <c r="O262" s="3" t="s">
        <v>52</v>
      </c>
      <c r="P262" s="3" t="s">
        <v>556</v>
      </c>
      <c r="Q262" s="7">
        <v>0</v>
      </c>
      <c r="R262" s="8">
        <v>44937</v>
      </c>
      <c r="S262" s="8">
        <v>44927</v>
      </c>
      <c r="T262" s="3" t="s">
        <v>54</v>
      </c>
      <c r="U262" s="3" t="s">
        <v>55</v>
      </c>
      <c r="V262" s="9"/>
      <c r="W262" s="10">
        <v>44943</v>
      </c>
      <c r="X262" s="7">
        <v>6</v>
      </c>
      <c r="Y262" s="7">
        <v>10</v>
      </c>
      <c r="Z262" s="7">
        <v>1</v>
      </c>
      <c r="AA262" s="7">
        <f>INT((S262-DATE(YEAR(S262-WEEKDAY(S262-0)+4),1,4)+WEEKDAY(DATE(YEAR(S262-WEEKDAY(S262-0)+4),1,4))+6)/7)</f>
        <v>1</v>
      </c>
      <c r="AB262" s="3" t="s">
        <v>1992</v>
      </c>
      <c r="AC262" s="7">
        <v>99</v>
      </c>
      <c r="AD262" s="7">
        <v>0</v>
      </c>
      <c r="AE262" s="7">
        <v>0</v>
      </c>
      <c r="AF262" s="3" t="s">
        <v>48</v>
      </c>
      <c r="AG262" s="7">
        <v>2023</v>
      </c>
      <c r="AH262" s="3" t="s">
        <v>57</v>
      </c>
      <c r="AI262" s="3" t="s">
        <v>106</v>
      </c>
      <c r="AJ262" s="3" t="s">
        <v>252</v>
      </c>
      <c r="AK262" s="12" t="s">
        <v>119</v>
      </c>
      <c r="AL262" s="3" t="s">
        <v>59</v>
      </c>
      <c r="AM262" s="3" t="s">
        <v>60</v>
      </c>
      <c r="AN262" s="3" t="s">
        <v>61</v>
      </c>
      <c r="AO262" s="3" t="s">
        <v>62</v>
      </c>
      <c r="AP262" s="3" t="s">
        <v>69</v>
      </c>
      <c r="AQ262" s="3" t="s">
        <v>61</v>
      </c>
      <c r="AR262" s="3" t="s">
        <v>48</v>
      </c>
    </row>
    <row r="263" spans="1:44" ht="30" customHeight="1">
      <c r="A263" s="3" t="s">
        <v>44</v>
      </c>
      <c r="B263" s="3" t="s">
        <v>45</v>
      </c>
      <c r="C263" s="3" t="s">
        <v>46</v>
      </c>
      <c r="D263" s="3" t="s">
        <v>108</v>
      </c>
      <c r="E263" s="3" t="s">
        <v>48</v>
      </c>
      <c r="F263" s="3" t="s">
        <v>108</v>
      </c>
      <c r="G263" s="3" t="s">
        <v>283</v>
      </c>
      <c r="H263" s="4">
        <f>IF(DATEDIF(L263,S263,"m")&gt;12,DATEDIF(L263,S263,"y"),(DATEDIF(L263,S263,"m")/12))</f>
        <v>5</v>
      </c>
      <c r="I263" s="7">
        <f>DATEDIF(L263,S263,"M")</f>
        <v>70</v>
      </c>
      <c r="J263" s="7">
        <f>DATEDIF(L263,S263,"D")</f>
        <v>2153</v>
      </c>
      <c r="K263" s="3" t="s">
        <v>51</v>
      </c>
      <c r="L263" s="8">
        <v>42791</v>
      </c>
      <c r="M263" s="3" t="s">
        <v>45</v>
      </c>
      <c r="N263" s="3" t="s">
        <v>73</v>
      </c>
      <c r="O263" s="3" t="s">
        <v>52</v>
      </c>
      <c r="P263" s="3" t="s">
        <v>284</v>
      </c>
      <c r="Q263" s="7">
        <v>0</v>
      </c>
      <c r="R263" s="8">
        <v>44945</v>
      </c>
      <c r="S263" s="8">
        <v>44944</v>
      </c>
      <c r="T263" s="3" t="s">
        <v>54</v>
      </c>
      <c r="U263" s="3" t="s">
        <v>55</v>
      </c>
      <c r="V263" s="9"/>
      <c r="W263" s="10">
        <v>44950</v>
      </c>
      <c r="X263" s="7">
        <v>5</v>
      </c>
      <c r="Y263" s="7">
        <v>1</v>
      </c>
      <c r="Z263" s="7">
        <v>1</v>
      </c>
      <c r="AA263" s="7">
        <f>INT((S263-DATE(YEAR(S263-WEEKDAY(S263-0)+4),1,4)+WEEKDAY(DATE(YEAR(S263-WEEKDAY(S263-0)+4),1,4))+6)/7)</f>
        <v>3</v>
      </c>
      <c r="AB263" s="3" t="s">
        <v>285</v>
      </c>
      <c r="AC263" s="7">
        <v>161</v>
      </c>
      <c r="AD263" s="7">
        <v>0</v>
      </c>
      <c r="AE263" s="7">
        <v>0</v>
      </c>
      <c r="AF263" s="3" t="s">
        <v>48</v>
      </c>
      <c r="AG263" s="7">
        <v>2023</v>
      </c>
      <c r="AH263" s="3" t="s">
        <v>286</v>
      </c>
      <c r="AI263" s="3" t="s">
        <v>113</v>
      </c>
      <c r="AJ263" s="3" t="s">
        <v>48</v>
      </c>
      <c r="AK263" s="12" t="s">
        <v>119</v>
      </c>
      <c r="AL263" s="3" t="s">
        <v>59</v>
      </c>
      <c r="AM263" s="3" t="s">
        <v>115</v>
      </c>
      <c r="AN263" s="3" t="s">
        <v>61</v>
      </c>
      <c r="AO263" s="3" t="s">
        <v>62</v>
      </c>
      <c r="AP263" s="3" t="s">
        <v>69</v>
      </c>
      <c r="AQ263" s="3" t="s">
        <v>61</v>
      </c>
      <c r="AR263" s="3" t="s">
        <v>48</v>
      </c>
    </row>
    <row r="264" spans="1:44" ht="30" customHeight="1">
      <c r="A264" s="3" t="s">
        <v>44</v>
      </c>
      <c r="B264" s="3" t="s">
        <v>45</v>
      </c>
      <c r="C264" s="3" t="s">
        <v>46</v>
      </c>
      <c r="D264" s="3" t="s">
        <v>47</v>
      </c>
      <c r="E264" s="3" t="s">
        <v>48</v>
      </c>
      <c r="F264" s="3" t="s">
        <v>49</v>
      </c>
      <c r="G264" s="3" t="s">
        <v>1471</v>
      </c>
      <c r="H264" s="4">
        <f>IF(DATEDIF(L264,S264,"m")&gt;12,DATEDIF(L264,S264,"y"),(DATEDIF(L264,S264,"m")/12))</f>
        <v>12</v>
      </c>
      <c r="I264" s="7">
        <f>DATEDIF(L264,S264,"M")</f>
        <v>147</v>
      </c>
      <c r="J264" s="7">
        <f>DATEDIF(L264,S264,"D")</f>
        <v>4481</v>
      </c>
      <c r="K264" s="3" t="s">
        <v>51</v>
      </c>
      <c r="L264" s="8">
        <v>40477</v>
      </c>
      <c r="M264" s="3" t="s">
        <v>45</v>
      </c>
      <c r="N264" s="3" t="s">
        <v>49</v>
      </c>
      <c r="O264" s="3" t="s">
        <v>52</v>
      </c>
      <c r="P264" s="3" t="s">
        <v>1472</v>
      </c>
      <c r="Q264" s="7">
        <v>0</v>
      </c>
      <c r="R264" s="8">
        <v>44961</v>
      </c>
      <c r="S264" s="8">
        <v>44958</v>
      </c>
      <c r="T264" s="3" t="s">
        <v>54</v>
      </c>
      <c r="U264" s="3" t="s">
        <v>55</v>
      </c>
      <c r="V264" s="9"/>
      <c r="W264" s="10">
        <v>44963</v>
      </c>
      <c r="X264" s="7">
        <v>2</v>
      </c>
      <c r="Y264" s="7">
        <v>3</v>
      </c>
      <c r="Z264" s="7">
        <v>2</v>
      </c>
      <c r="AA264" s="7">
        <f>INT((S264-DATE(YEAR(S264-WEEKDAY(S264-0)+4),1,4)+WEEKDAY(DATE(YEAR(S264-WEEKDAY(S264-0)+4),1,4))+6)/7)</f>
        <v>5</v>
      </c>
      <c r="AB264" s="3" t="s">
        <v>1473</v>
      </c>
      <c r="AC264" s="7">
        <v>31</v>
      </c>
      <c r="AD264" s="7">
        <v>0</v>
      </c>
      <c r="AE264" s="7">
        <v>0</v>
      </c>
      <c r="AF264" s="3" t="s">
        <v>48</v>
      </c>
      <c r="AG264" s="7">
        <v>2023</v>
      </c>
      <c r="AH264" s="3" t="s">
        <v>57</v>
      </c>
      <c r="AI264" s="3" t="s">
        <v>48</v>
      </c>
      <c r="AJ264" s="3" t="s">
        <v>48</v>
      </c>
      <c r="AK264" s="3" t="s">
        <v>362</v>
      </c>
      <c r="AL264" s="3" t="s">
        <v>59</v>
      </c>
      <c r="AM264" s="3" t="s">
        <v>60</v>
      </c>
      <c r="AN264" s="3" t="s">
        <v>61</v>
      </c>
      <c r="AO264" s="3" t="s">
        <v>62</v>
      </c>
      <c r="AP264" s="3" t="s">
        <v>69</v>
      </c>
      <c r="AQ264" s="3" t="s">
        <v>61</v>
      </c>
      <c r="AR264" s="3" t="s">
        <v>48</v>
      </c>
    </row>
    <row r="265" spans="1:44" ht="30" customHeight="1">
      <c r="A265" s="3" t="s">
        <v>44</v>
      </c>
      <c r="B265" s="3" t="s">
        <v>45</v>
      </c>
      <c r="C265" s="3" t="s">
        <v>46</v>
      </c>
      <c r="D265" s="3" t="s">
        <v>108</v>
      </c>
      <c r="E265" s="3" t="s">
        <v>48</v>
      </c>
      <c r="F265" s="3" t="s">
        <v>108</v>
      </c>
      <c r="G265" s="3" t="s">
        <v>650</v>
      </c>
      <c r="H265" s="4">
        <f>IF(DATEDIF(L265,S265,"m")&gt;12,DATEDIF(L265,S265,"y"),(DATEDIF(L265,S265,"m")/12))</f>
        <v>4</v>
      </c>
      <c r="I265" s="7">
        <f>DATEDIF(L265,S265,"M")</f>
        <v>55</v>
      </c>
      <c r="J265" s="7">
        <f>DATEDIF(L265,S265,"D")</f>
        <v>1690</v>
      </c>
      <c r="K265" s="3" t="s">
        <v>51</v>
      </c>
      <c r="L265" s="8">
        <v>43252</v>
      </c>
      <c r="M265" s="3" t="s">
        <v>45</v>
      </c>
      <c r="N265" s="3" t="s">
        <v>73</v>
      </c>
      <c r="O265" s="3" t="s">
        <v>52</v>
      </c>
      <c r="P265" s="3" t="s">
        <v>91</v>
      </c>
      <c r="Q265" s="7">
        <v>0</v>
      </c>
      <c r="R265" s="8">
        <v>44943</v>
      </c>
      <c r="S265" s="8">
        <v>44942</v>
      </c>
      <c r="T265" s="3" t="s">
        <v>54</v>
      </c>
      <c r="U265" s="3" t="s">
        <v>55</v>
      </c>
      <c r="V265" s="9"/>
      <c r="W265" s="10">
        <v>44950</v>
      </c>
      <c r="X265" s="7">
        <v>7</v>
      </c>
      <c r="Y265" s="7">
        <v>1</v>
      </c>
      <c r="Z265" s="7">
        <v>1</v>
      </c>
      <c r="AA265" s="7">
        <f>INT((S265-DATE(YEAR(S265-WEEKDAY(S265-0)+4),1,4)+WEEKDAY(DATE(YEAR(S265-WEEKDAY(S265-0)+4),1,4))+6)/7)</f>
        <v>3</v>
      </c>
      <c r="AB265" s="3" t="s">
        <v>651</v>
      </c>
      <c r="AC265" s="7">
        <v>151</v>
      </c>
      <c r="AD265" s="7">
        <v>0</v>
      </c>
      <c r="AE265" s="7">
        <v>0</v>
      </c>
      <c r="AF265" s="3" t="s">
        <v>48</v>
      </c>
      <c r="AG265" s="7">
        <v>2023</v>
      </c>
      <c r="AH265" s="3" t="s">
        <v>112</v>
      </c>
      <c r="AI265" s="3" t="s">
        <v>113</v>
      </c>
      <c r="AJ265" s="3" t="s">
        <v>48</v>
      </c>
      <c r="AK265" s="12" t="s">
        <v>119</v>
      </c>
      <c r="AL265" s="3" t="s">
        <v>59</v>
      </c>
      <c r="AM265" s="3" t="s">
        <v>115</v>
      </c>
      <c r="AN265" s="3" t="s">
        <v>61</v>
      </c>
      <c r="AO265" s="3" t="s">
        <v>62</v>
      </c>
      <c r="AP265" s="3" t="s">
        <v>69</v>
      </c>
      <c r="AQ265" s="3" t="s">
        <v>61</v>
      </c>
      <c r="AR265" s="3" t="s">
        <v>48</v>
      </c>
    </row>
    <row r="266" spans="1:44" ht="30" customHeight="1">
      <c r="A266" s="3" t="s">
        <v>44</v>
      </c>
      <c r="B266" s="3" t="s">
        <v>45</v>
      </c>
      <c r="C266" s="3" t="s">
        <v>46</v>
      </c>
      <c r="D266" s="3" t="s">
        <v>108</v>
      </c>
      <c r="E266" s="3" t="s">
        <v>48</v>
      </c>
      <c r="F266" s="3" t="s">
        <v>108</v>
      </c>
      <c r="G266" s="3" t="s">
        <v>1308</v>
      </c>
      <c r="H266" s="4">
        <f>IF(DATEDIF(L266,S266,"m")&gt;12,DATEDIF(L266,S266,"y"),(DATEDIF(L266,S266,"m")/12))</f>
        <v>4</v>
      </c>
      <c r="I266" s="7">
        <f>DATEDIF(L266,S266,"M")</f>
        <v>56</v>
      </c>
      <c r="J266" s="7">
        <f>DATEDIF(L266,S266,"D")</f>
        <v>1716</v>
      </c>
      <c r="K266" s="3" t="s">
        <v>51</v>
      </c>
      <c r="L266" s="8">
        <v>43222</v>
      </c>
      <c r="M266" s="3" t="s">
        <v>45</v>
      </c>
      <c r="N266" s="3" t="s">
        <v>73</v>
      </c>
      <c r="O266" s="3" t="s">
        <v>52</v>
      </c>
      <c r="P266" s="3" t="s">
        <v>169</v>
      </c>
      <c r="Q266" s="7">
        <v>0</v>
      </c>
      <c r="R266" s="8">
        <v>44943</v>
      </c>
      <c r="S266" s="8">
        <v>44938</v>
      </c>
      <c r="T266" s="3" t="s">
        <v>54</v>
      </c>
      <c r="U266" s="3" t="s">
        <v>55</v>
      </c>
      <c r="V266" s="9"/>
      <c r="W266" s="10">
        <v>44950</v>
      </c>
      <c r="X266" s="7">
        <v>7</v>
      </c>
      <c r="Y266" s="7">
        <v>5</v>
      </c>
      <c r="Z266" s="7">
        <v>1</v>
      </c>
      <c r="AA266" s="7">
        <f>INT((S266-DATE(YEAR(S266-WEEKDAY(S266-0)+4),1,4)+WEEKDAY(DATE(YEAR(S266-WEEKDAY(S266-0)+4),1,4))+6)/7)</f>
        <v>2</v>
      </c>
      <c r="AB266" s="3" t="s">
        <v>1309</v>
      </c>
      <c r="AC266" s="7">
        <v>153</v>
      </c>
      <c r="AD266" s="7">
        <v>0</v>
      </c>
      <c r="AE266" s="7">
        <v>0</v>
      </c>
      <c r="AF266" s="3" t="s">
        <v>48</v>
      </c>
      <c r="AG266" s="7">
        <v>2023</v>
      </c>
      <c r="AH266" s="3" t="s">
        <v>112</v>
      </c>
      <c r="AI266" s="3" t="s">
        <v>113</v>
      </c>
      <c r="AJ266" s="3" t="s">
        <v>48</v>
      </c>
      <c r="AK266" s="12" t="s">
        <v>119</v>
      </c>
      <c r="AL266" s="3" t="s">
        <v>59</v>
      </c>
      <c r="AM266" s="3" t="s">
        <v>115</v>
      </c>
      <c r="AN266" s="3" t="s">
        <v>61</v>
      </c>
      <c r="AO266" s="3" t="s">
        <v>62</v>
      </c>
      <c r="AP266" s="3" t="s">
        <v>69</v>
      </c>
      <c r="AQ266" s="3" t="s">
        <v>61</v>
      </c>
      <c r="AR266" s="3" t="s">
        <v>48</v>
      </c>
    </row>
    <row r="267" spans="1:44" ht="30" customHeight="1">
      <c r="A267" s="3" t="s">
        <v>44</v>
      </c>
      <c r="B267" s="3" t="s">
        <v>45</v>
      </c>
      <c r="C267" s="3" t="s">
        <v>46</v>
      </c>
      <c r="D267" s="3" t="s">
        <v>47</v>
      </c>
      <c r="E267" s="3" t="s">
        <v>48</v>
      </c>
      <c r="F267" s="3" t="s">
        <v>49</v>
      </c>
      <c r="G267" s="3" t="s">
        <v>1605</v>
      </c>
      <c r="H267" s="4">
        <f>IF(DATEDIF(L267,S267,"m")&gt;12,DATEDIF(L267,S267,"y"),(DATEDIF(L267,S267,"m")/12))</f>
        <v>1</v>
      </c>
      <c r="I267" s="7">
        <f>DATEDIF(L267,S267,"M")</f>
        <v>16</v>
      </c>
      <c r="J267" s="7">
        <f>DATEDIF(L267,S267,"D")</f>
        <v>492</v>
      </c>
      <c r="K267" s="3" t="s">
        <v>51</v>
      </c>
      <c r="L267" s="8">
        <v>44466</v>
      </c>
      <c r="M267" s="3" t="s">
        <v>45</v>
      </c>
      <c r="N267" s="3" t="s">
        <v>49</v>
      </c>
      <c r="O267" s="3" t="s">
        <v>52</v>
      </c>
      <c r="P267" s="3" t="s">
        <v>156</v>
      </c>
      <c r="Q267" s="7">
        <v>0</v>
      </c>
      <c r="R267" s="8">
        <v>44961</v>
      </c>
      <c r="S267" s="8">
        <v>44958</v>
      </c>
      <c r="T267" s="3" t="s">
        <v>54</v>
      </c>
      <c r="U267" s="3" t="s">
        <v>55</v>
      </c>
      <c r="V267" s="9"/>
      <c r="W267" s="10">
        <v>44963</v>
      </c>
      <c r="X267" s="7">
        <v>2</v>
      </c>
      <c r="Y267" s="7">
        <v>3</v>
      </c>
      <c r="Z267" s="7">
        <v>2</v>
      </c>
      <c r="AA267" s="7">
        <f>INT((S267-DATE(YEAR(S267-WEEKDAY(S267-0)+4),1,4)+WEEKDAY(DATE(YEAR(S267-WEEKDAY(S267-0)+4),1,4))+6)/7)</f>
        <v>5</v>
      </c>
      <c r="AB267" s="3" t="s">
        <v>1606</v>
      </c>
      <c r="AC267" s="7">
        <v>33</v>
      </c>
      <c r="AD267" s="7">
        <v>0</v>
      </c>
      <c r="AE267" s="7">
        <v>0</v>
      </c>
      <c r="AF267" s="3" t="s">
        <v>48</v>
      </c>
      <c r="AG267" s="7">
        <v>2023</v>
      </c>
      <c r="AH267" s="3" t="s">
        <v>57</v>
      </c>
      <c r="AI267" s="3" t="s">
        <v>48</v>
      </c>
      <c r="AJ267" s="3" t="s">
        <v>48</v>
      </c>
      <c r="AK267" s="18" t="s">
        <v>813</v>
      </c>
      <c r="AL267" s="3" t="s">
        <v>59</v>
      </c>
      <c r="AM267" s="3" t="s">
        <v>60</v>
      </c>
      <c r="AN267" s="3" t="s">
        <v>61</v>
      </c>
      <c r="AO267" s="3" t="s">
        <v>62</v>
      </c>
      <c r="AP267" s="3" t="s">
        <v>69</v>
      </c>
      <c r="AQ267" s="3" t="s">
        <v>61</v>
      </c>
      <c r="AR267" s="3" t="s">
        <v>48</v>
      </c>
    </row>
    <row r="268" spans="1:44" ht="30" customHeight="1">
      <c r="A268" s="3" t="s">
        <v>44</v>
      </c>
      <c r="B268" s="3" t="s">
        <v>45</v>
      </c>
      <c r="C268" s="3" t="s">
        <v>46</v>
      </c>
      <c r="D268" s="3" t="s">
        <v>47</v>
      </c>
      <c r="E268" s="3" t="s">
        <v>48</v>
      </c>
      <c r="F268" s="3" t="s">
        <v>49</v>
      </c>
      <c r="G268" s="3" t="s">
        <v>1638</v>
      </c>
      <c r="H268" s="4">
        <f>IF(DATEDIF(L268,S268,"m")&gt;12,DATEDIF(L268,S268,"y"),(DATEDIF(L268,S268,"m")/12))</f>
        <v>40</v>
      </c>
      <c r="I268" s="7">
        <f>DATEDIF(L268,S268,"M")</f>
        <v>480</v>
      </c>
      <c r="J268" s="7">
        <f>DATEDIF(L268,S268,"D")</f>
        <v>14622</v>
      </c>
      <c r="K268" s="3" t="s">
        <v>64</v>
      </c>
      <c r="L268" s="8">
        <v>30309</v>
      </c>
      <c r="M268" s="3" t="s">
        <v>45</v>
      </c>
      <c r="N268" s="3" t="s">
        <v>49</v>
      </c>
      <c r="O268" s="3" t="s">
        <v>52</v>
      </c>
      <c r="P268" s="3" t="s">
        <v>298</v>
      </c>
      <c r="Q268" s="7">
        <v>0</v>
      </c>
      <c r="R268" s="8">
        <v>44961</v>
      </c>
      <c r="S268" s="8">
        <v>44931</v>
      </c>
      <c r="T268" s="3" t="s">
        <v>54</v>
      </c>
      <c r="U268" s="3" t="s">
        <v>55</v>
      </c>
      <c r="V268" s="9"/>
      <c r="W268" s="10">
        <v>44963</v>
      </c>
      <c r="X268" s="7">
        <v>2</v>
      </c>
      <c r="Y268" s="7">
        <v>30</v>
      </c>
      <c r="Z268" s="7">
        <v>1</v>
      </c>
      <c r="AA268" s="7">
        <f>INT((S268-DATE(YEAR(S268-WEEKDAY(S268-0)+4),1,4)+WEEKDAY(DATE(YEAR(S268-WEEKDAY(S268-0)+4),1,4))+6)/7)</f>
        <v>1</v>
      </c>
      <c r="AB268" s="3" t="s">
        <v>1639</v>
      </c>
      <c r="AC268" s="7">
        <v>29</v>
      </c>
      <c r="AD268" s="7">
        <v>0</v>
      </c>
      <c r="AE268" s="7">
        <v>0</v>
      </c>
      <c r="AF268" s="3" t="s">
        <v>48</v>
      </c>
      <c r="AG268" s="7">
        <v>2023</v>
      </c>
      <c r="AH268" s="3" t="s">
        <v>57</v>
      </c>
      <c r="AI268" s="3" t="s">
        <v>48</v>
      </c>
      <c r="AJ268" s="3" t="s">
        <v>48</v>
      </c>
      <c r="AK268" s="3" t="s">
        <v>717</v>
      </c>
      <c r="AL268" s="3" t="s">
        <v>59</v>
      </c>
      <c r="AM268" s="3" t="s">
        <v>60</v>
      </c>
      <c r="AN268" s="3" t="s">
        <v>61</v>
      </c>
      <c r="AO268" s="3" t="s">
        <v>62</v>
      </c>
      <c r="AP268" s="3" t="s">
        <v>69</v>
      </c>
      <c r="AQ268" s="3" t="s">
        <v>61</v>
      </c>
      <c r="AR268" s="3" t="s">
        <v>48</v>
      </c>
    </row>
    <row r="269" spans="1:44" ht="30" customHeight="1">
      <c r="A269" s="3" t="s">
        <v>44</v>
      </c>
      <c r="B269" s="3" t="s">
        <v>45</v>
      </c>
      <c r="C269" s="3" t="s">
        <v>46</v>
      </c>
      <c r="D269" s="3" t="s">
        <v>186</v>
      </c>
      <c r="E269" s="3" t="s">
        <v>48</v>
      </c>
      <c r="F269" s="3" t="s">
        <v>271</v>
      </c>
      <c r="G269" s="3" t="s">
        <v>1645</v>
      </c>
      <c r="H269" s="4">
        <f>IF(DATEDIF(L269,S269,"m")&gt;12,DATEDIF(L269,S269,"y"),(DATEDIF(L269,S269,"m")/12))</f>
        <v>19</v>
      </c>
      <c r="I269" s="7">
        <f>DATEDIF(L269,S269,"M")</f>
        <v>236</v>
      </c>
      <c r="J269" s="7">
        <f>DATEDIF(L269,S269,"D")</f>
        <v>7192</v>
      </c>
      <c r="K269" s="3" t="s">
        <v>51</v>
      </c>
      <c r="L269" s="21">
        <v>37766</v>
      </c>
      <c r="M269" s="3" t="s">
        <v>45</v>
      </c>
      <c r="N269" s="3" t="s">
        <v>187</v>
      </c>
      <c r="O269" s="3" t="s">
        <v>52</v>
      </c>
      <c r="P269" s="3" t="s">
        <v>1646</v>
      </c>
      <c r="Q269" s="7">
        <v>0</v>
      </c>
      <c r="R269" s="8">
        <v>44959</v>
      </c>
      <c r="S269" s="8">
        <v>44958</v>
      </c>
      <c r="T269" s="3" t="s">
        <v>54</v>
      </c>
      <c r="U269" s="3" t="s">
        <v>55</v>
      </c>
      <c r="V269" s="9"/>
      <c r="W269" s="10">
        <v>44963</v>
      </c>
      <c r="X269" s="7">
        <v>4</v>
      </c>
      <c r="Y269" s="7">
        <v>1</v>
      </c>
      <c r="Z269" s="7">
        <v>2</v>
      </c>
      <c r="AA269" s="7">
        <f>INT((S269-DATE(YEAR(S269-WEEKDAY(S269-0)+4),1,4)+WEEKDAY(DATE(YEAR(S269-WEEKDAY(S269-0)+4),1,4))+6)/7)</f>
        <v>5</v>
      </c>
      <c r="AB269" s="3" t="s">
        <v>1647</v>
      </c>
      <c r="AC269" s="7">
        <v>99</v>
      </c>
      <c r="AD269" s="7">
        <v>0</v>
      </c>
      <c r="AE269" s="7">
        <v>0</v>
      </c>
      <c r="AF269" s="3" t="s">
        <v>48</v>
      </c>
      <c r="AG269" s="7">
        <v>2023</v>
      </c>
      <c r="AH269" s="3" t="s">
        <v>276</v>
      </c>
      <c r="AI269" s="3" t="s">
        <v>191</v>
      </c>
      <c r="AJ269" s="3" t="s">
        <v>186</v>
      </c>
      <c r="AK269" s="3" t="s">
        <v>260</v>
      </c>
      <c r="AL269" s="3" t="s">
        <v>59</v>
      </c>
      <c r="AM269" s="3" t="s">
        <v>60</v>
      </c>
      <c r="AN269" s="3" t="s">
        <v>61</v>
      </c>
      <c r="AO269" s="3" t="s">
        <v>62</v>
      </c>
      <c r="AP269" s="3" t="s">
        <v>69</v>
      </c>
      <c r="AQ269" s="3" t="s">
        <v>61</v>
      </c>
      <c r="AR269" s="3" t="s">
        <v>48</v>
      </c>
    </row>
    <row r="270" spans="1:44" ht="30" customHeight="1">
      <c r="A270" s="3" t="s">
        <v>44</v>
      </c>
      <c r="B270" s="3" t="s">
        <v>45</v>
      </c>
      <c r="C270" s="3" t="s">
        <v>46</v>
      </c>
      <c r="D270" s="3" t="s">
        <v>108</v>
      </c>
      <c r="E270" s="3" t="s">
        <v>48</v>
      </c>
      <c r="F270" s="3" t="s">
        <v>108</v>
      </c>
      <c r="G270" s="3" t="s">
        <v>2059</v>
      </c>
      <c r="H270" s="4">
        <f>IF(DATEDIF(L270,S270,"m")&gt;12,DATEDIF(L270,S270,"y"),(DATEDIF(L270,S270,"m")/12))</f>
        <v>1</v>
      </c>
      <c r="I270" s="7">
        <f>DATEDIF(L270,S270,"M")</f>
        <v>14</v>
      </c>
      <c r="J270" s="7">
        <f>DATEDIF(L270,S270,"D")</f>
        <v>433</v>
      </c>
      <c r="K270" s="3" t="s">
        <v>64</v>
      </c>
      <c r="L270" s="8">
        <v>44511</v>
      </c>
      <c r="M270" s="3" t="s">
        <v>45</v>
      </c>
      <c r="N270" s="3" t="s">
        <v>73</v>
      </c>
      <c r="O270" s="3" t="s">
        <v>52</v>
      </c>
      <c r="P270" s="3" t="s">
        <v>284</v>
      </c>
      <c r="Q270" s="7">
        <v>0</v>
      </c>
      <c r="R270" s="8">
        <v>44946</v>
      </c>
      <c r="S270" s="8">
        <v>44944</v>
      </c>
      <c r="T270" s="3" t="s">
        <v>54</v>
      </c>
      <c r="U270" s="3" t="s">
        <v>55</v>
      </c>
      <c r="V270" s="9"/>
      <c r="W270" s="10">
        <v>44950</v>
      </c>
      <c r="X270" s="7">
        <v>4</v>
      </c>
      <c r="Y270" s="7">
        <v>2</v>
      </c>
      <c r="Z270" s="7">
        <v>1</v>
      </c>
      <c r="AA270" s="7">
        <f>INT((S270-DATE(YEAR(S270-WEEKDAY(S270-0)+4),1,4)+WEEKDAY(DATE(YEAR(S270-WEEKDAY(S270-0)+4),1,4))+6)/7)</f>
        <v>3</v>
      </c>
      <c r="AB270" s="3" t="s">
        <v>2060</v>
      </c>
      <c r="AC270" s="7">
        <v>163</v>
      </c>
      <c r="AD270" s="7">
        <v>0</v>
      </c>
      <c r="AE270" s="7">
        <v>0</v>
      </c>
      <c r="AF270" s="3" t="s">
        <v>48</v>
      </c>
      <c r="AG270" s="7">
        <v>2023</v>
      </c>
      <c r="AH270" s="3" t="s">
        <v>286</v>
      </c>
      <c r="AI270" s="3" t="s">
        <v>113</v>
      </c>
      <c r="AJ270" s="3" t="s">
        <v>48</v>
      </c>
      <c r="AK270" s="12" t="s">
        <v>119</v>
      </c>
      <c r="AL270" s="3" t="s">
        <v>59</v>
      </c>
      <c r="AM270" s="3" t="s">
        <v>115</v>
      </c>
      <c r="AN270" s="3" t="s">
        <v>61</v>
      </c>
      <c r="AO270" s="3" t="s">
        <v>62</v>
      </c>
      <c r="AP270" s="3" t="s">
        <v>69</v>
      </c>
      <c r="AQ270" s="3" t="s">
        <v>61</v>
      </c>
      <c r="AR270" s="3" t="s">
        <v>48</v>
      </c>
    </row>
    <row r="271" spans="1:44" ht="30" customHeight="1">
      <c r="A271" s="3" t="s">
        <v>44</v>
      </c>
      <c r="B271" s="3" t="s">
        <v>45</v>
      </c>
      <c r="C271" s="3" t="s">
        <v>46</v>
      </c>
      <c r="D271" s="3" t="s">
        <v>47</v>
      </c>
      <c r="E271" s="3" t="s">
        <v>48</v>
      </c>
      <c r="F271" s="3" t="s">
        <v>49</v>
      </c>
      <c r="G271" s="3" t="s">
        <v>1710</v>
      </c>
      <c r="H271" s="4">
        <f>IF(DATEDIF(L271,S271,"m")&gt;12,DATEDIF(L271,S271,"y"),(DATEDIF(L271,S271,"m")/12))</f>
        <v>5</v>
      </c>
      <c r="I271" s="7">
        <f>DATEDIF(L271,S271,"M")</f>
        <v>69</v>
      </c>
      <c r="J271" s="7">
        <f>DATEDIF(L271,S271,"D")</f>
        <v>2112</v>
      </c>
      <c r="K271" s="3" t="s">
        <v>51</v>
      </c>
      <c r="L271" s="8">
        <v>42841</v>
      </c>
      <c r="M271" s="3" t="s">
        <v>45</v>
      </c>
      <c r="N271" s="3" t="s">
        <v>49</v>
      </c>
      <c r="O271" s="3" t="s">
        <v>52</v>
      </c>
      <c r="P271" s="3" t="s">
        <v>1711</v>
      </c>
      <c r="Q271" s="7">
        <v>0</v>
      </c>
      <c r="R271" s="8">
        <v>44958</v>
      </c>
      <c r="S271" s="8">
        <v>44953</v>
      </c>
      <c r="T271" s="3" t="s">
        <v>54</v>
      </c>
      <c r="U271" s="3" t="s">
        <v>55</v>
      </c>
      <c r="V271" s="9"/>
      <c r="W271" s="10">
        <v>44963</v>
      </c>
      <c r="X271" s="7">
        <v>5</v>
      </c>
      <c r="Y271" s="7">
        <v>5</v>
      </c>
      <c r="Z271" s="7">
        <v>1</v>
      </c>
      <c r="AA271" s="7">
        <f>INT((S271-DATE(YEAR(S271-WEEKDAY(S271-0)+4),1,4)+WEEKDAY(DATE(YEAR(S271-WEEKDAY(S271-0)+4),1,4))+6)/7)</f>
        <v>4</v>
      </c>
      <c r="AB271" s="3" t="s">
        <v>1712</v>
      </c>
      <c r="AC271" s="7">
        <v>25</v>
      </c>
      <c r="AD271" s="7">
        <v>0</v>
      </c>
      <c r="AE271" s="7">
        <v>0</v>
      </c>
      <c r="AF271" s="3" t="s">
        <v>48</v>
      </c>
      <c r="AG271" s="7">
        <v>2023</v>
      </c>
      <c r="AH271" s="3" t="s">
        <v>57</v>
      </c>
      <c r="AI271" s="3" t="s">
        <v>48</v>
      </c>
      <c r="AJ271" s="3" t="s">
        <v>48</v>
      </c>
      <c r="AK271" s="3" t="s">
        <v>58</v>
      </c>
      <c r="AL271" s="3" t="s">
        <v>59</v>
      </c>
      <c r="AM271" s="3" t="s">
        <v>60</v>
      </c>
      <c r="AN271" s="3" t="s">
        <v>61</v>
      </c>
      <c r="AO271" s="3" t="s">
        <v>62</v>
      </c>
      <c r="AP271" s="3" t="s">
        <v>69</v>
      </c>
      <c r="AQ271" s="3" t="s">
        <v>61</v>
      </c>
      <c r="AR271" s="3" t="s">
        <v>48</v>
      </c>
    </row>
    <row r="272" spans="1:44" ht="30" customHeight="1">
      <c r="A272" s="3" t="s">
        <v>44</v>
      </c>
      <c r="B272" s="3" t="s">
        <v>45</v>
      </c>
      <c r="C272" s="3" t="s">
        <v>80</v>
      </c>
      <c r="D272" s="3" t="s">
        <v>81</v>
      </c>
      <c r="E272" s="3" t="s">
        <v>48</v>
      </c>
      <c r="F272" s="3" t="s">
        <v>81</v>
      </c>
      <c r="G272" s="3" t="s">
        <v>1716</v>
      </c>
      <c r="H272" s="5">
        <f>IF(DATEDIF(L272,S272,"m")&gt;12,DATEDIF(L272,S272,"y"),(DATEDIF(L272,S272,"m")/12))</f>
        <v>8.3333333333333329E-2</v>
      </c>
      <c r="I272" s="7">
        <f>DATEDIF(L272,S272,"M")</f>
        <v>1</v>
      </c>
      <c r="J272" s="7">
        <f>DATEDIF(L272,S272,"D")</f>
        <v>46</v>
      </c>
      <c r="K272" s="3" t="s">
        <v>51</v>
      </c>
      <c r="L272" s="8">
        <v>44909</v>
      </c>
      <c r="M272" s="3" t="s">
        <v>45</v>
      </c>
      <c r="N272" s="3" t="s">
        <v>49</v>
      </c>
      <c r="O272" s="3" t="s">
        <v>52</v>
      </c>
      <c r="P272" s="3" t="s">
        <v>176</v>
      </c>
      <c r="Q272" s="7">
        <v>1</v>
      </c>
      <c r="R272" s="8">
        <v>44956</v>
      </c>
      <c r="S272" s="8">
        <v>44955</v>
      </c>
      <c r="T272" s="3" t="s">
        <v>54</v>
      </c>
      <c r="U272" s="3" t="s">
        <v>55</v>
      </c>
      <c r="V272" s="9"/>
      <c r="W272" s="10">
        <v>44963</v>
      </c>
      <c r="X272" s="7">
        <v>7</v>
      </c>
      <c r="Y272" s="7">
        <v>1</v>
      </c>
      <c r="Z272" s="7">
        <v>1</v>
      </c>
      <c r="AA272" s="7">
        <f>INT((S272-DATE(YEAR(S272-WEEKDAY(S272-0)+4),1,4)+WEEKDAY(DATE(YEAR(S272-WEEKDAY(S272-0)+4),1,4))+6)/7)</f>
        <v>5</v>
      </c>
      <c r="AB272" s="3" t="s">
        <v>1717</v>
      </c>
      <c r="AC272" s="7">
        <v>13915</v>
      </c>
      <c r="AD272" s="7">
        <v>0</v>
      </c>
      <c r="AE272" s="7">
        <v>0</v>
      </c>
      <c r="AF272" s="3" t="s">
        <v>48</v>
      </c>
      <c r="AG272" s="7">
        <v>2023</v>
      </c>
      <c r="AH272" s="3" t="s">
        <v>86</v>
      </c>
      <c r="AI272" s="3" t="s">
        <v>48</v>
      </c>
      <c r="AJ272" s="3" t="s">
        <v>48</v>
      </c>
      <c r="AK272" s="3" t="s">
        <v>717</v>
      </c>
      <c r="AL272" s="3" t="s">
        <v>59</v>
      </c>
      <c r="AM272" s="3" t="s">
        <v>60</v>
      </c>
      <c r="AN272" s="3" t="s">
        <v>69</v>
      </c>
      <c r="AO272" s="3" t="s">
        <v>62</v>
      </c>
      <c r="AP272" s="3" t="s">
        <v>69</v>
      </c>
      <c r="AQ272" s="3" t="s">
        <v>61</v>
      </c>
      <c r="AR272" s="3" t="s">
        <v>48</v>
      </c>
    </row>
    <row r="273" spans="1:44" ht="30" customHeight="1">
      <c r="A273" s="3" t="s">
        <v>44</v>
      </c>
      <c r="B273" s="3" t="s">
        <v>45</v>
      </c>
      <c r="C273" s="3" t="s">
        <v>46</v>
      </c>
      <c r="D273" s="3" t="s">
        <v>108</v>
      </c>
      <c r="E273" s="3" t="s">
        <v>48</v>
      </c>
      <c r="F273" s="3" t="s">
        <v>108</v>
      </c>
      <c r="G273" s="3" t="s">
        <v>1919</v>
      </c>
      <c r="H273" s="4">
        <f>IF(DATEDIF(L273,S273,"m")&gt;12,DATEDIF(L273,S273,"y"),(DATEDIF(L273,S273,"m")/12))</f>
        <v>3</v>
      </c>
      <c r="I273" s="7">
        <f>DATEDIF(L273,S273,"M")</f>
        <v>39</v>
      </c>
      <c r="J273" s="7">
        <f>DATEDIF(L273,S273,"D")</f>
        <v>1211</v>
      </c>
      <c r="K273" s="3" t="s">
        <v>51</v>
      </c>
      <c r="L273" s="8">
        <v>43739</v>
      </c>
      <c r="M273" s="3" t="s">
        <v>45</v>
      </c>
      <c r="N273" s="3" t="s">
        <v>73</v>
      </c>
      <c r="O273" s="3" t="s">
        <v>52</v>
      </c>
      <c r="P273" s="3" t="s">
        <v>398</v>
      </c>
      <c r="Q273" s="7">
        <v>0</v>
      </c>
      <c r="R273" s="8">
        <v>44951</v>
      </c>
      <c r="S273" s="8">
        <v>44950</v>
      </c>
      <c r="T273" s="3" t="s">
        <v>54</v>
      </c>
      <c r="U273" s="3" t="s">
        <v>55</v>
      </c>
      <c r="V273" s="9"/>
      <c r="W273" s="10">
        <v>44957</v>
      </c>
      <c r="X273" s="7">
        <v>6</v>
      </c>
      <c r="Y273" s="7">
        <v>1</v>
      </c>
      <c r="Z273" s="7">
        <v>1</v>
      </c>
      <c r="AA273" s="7">
        <f>INT((S273-DATE(YEAR(S273-WEEKDAY(S273-0)+4),1,4)+WEEKDAY(DATE(YEAR(S273-WEEKDAY(S273-0)+4),1,4))+6)/7)</f>
        <v>4</v>
      </c>
      <c r="AB273" s="3" t="s">
        <v>1920</v>
      </c>
      <c r="AC273" s="7">
        <v>169</v>
      </c>
      <c r="AD273" s="7">
        <v>0</v>
      </c>
      <c r="AE273" s="7">
        <v>0</v>
      </c>
      <c r="AF273" s="3" t="s">
        <v>48</v>
      </c>
      <c r="AG273" s="7">
        <v>2023</v>
      </c>
      <c r="AH273" s="3" t="s">
        <v>112</v>
      </c>
      <c r="AI273" s="3" t="s">
        <v>113</v>
      </c>
      <c r="AJ273" s="3" t="s">
        <v>48</v>
      </c>
      <c r="AK273" s="12" t="s">
        <v>119</v>
      </c>
      <c r="AL273" s="3" t="s">
        <v>59</v>
      </c>
      <c r="AM273" s="3" t="s">
        <v>115</v>
      </c>
      <c r="AN273" s="3" t="s">
        <v>61</v>
      </c>
      <c r="AO273" s="3" t="s">
        <v>62</v>
      </c>
      <c r="AP273" s="3" t="s">
        <v>69</v>
      </c>
      <c r="AQ273" s="3" t="s">
        <v>61</v>
      </c>
      <c r="AR273" s="3" t="s">
        <v>48</v>
      </c>
    </row>
    <row r="274" spans="1:44" ht="30" customHeight="1">
      <c r="A274" s="3" t="s">
        <v>44</v>
      </c>
      <c r="B274" s="3" t="s">
        <v>45</v>
      </c>
      <c r="C274" s="3" t="s">
        <v>46</v>
      </c>
      <c r="D274" s="3" t="s">
        <v>108</v>
      </c>
      <c r="E274" s="3" t="s">
        <v>48</v>
      </c>
      <c r="F274" s="3" t="s">
        <v>108</v>
      </c>
      <c r="G274" s="3" t="s">
        <v>2439</v>
      </c>
      <c r="H274" s="5">
        <f>IF(DATEDIF(L274,S274,"m")&gt;12,DATEDIF(L274,S274,"y"),(DATEDIF(L274,S274,"m")/12))</f>
        <v>0.16666666666666666</v>
      </c>
      <c r="I274" s="7">
        <f>DATEDIF(L274,S274,"M")</f>
        <v>2</v>
      </c>
      <c r="J274" s="7">
        <f>DATEDIF(L274,S274,"D")</f>
        <v>62</v>
      </c>
      <c r="K274" s="3" t="s">
        <v>51</v>
      </c>
      <c r="L274" s="8">
        <v>44887</v>
      </c>
      <c r="M274" s="3" t="s">
        <v>45</v>
      </c>
      <c r="N274" s="3" t="s">
        <v>73</v>
      </c>
      <c r="O274" s="3" t="s">
        <v>52</v>
      </c>
      <c r="P274" s="3" t="s">
        <v>322</v>
      </c>
      <c r="Q274" s="7">
        <v>0</v>
      </c>
      <c r="R274" s="8">
        <v>44949</v>
      </c>
      <c r="S274" s="8">
        <v>44949</v>
      </c>
      <c r="T274" s="3" t="s">
        <v>54</v>
      </c>
      <c r="U274" s="3" t="s">
        <v>55</v>
      </c>
      <c r="V274" s="9"/>
      <c r="W274" s="10">
        <v>44957</v>
      </c>
      <c r="X274" s="7">
        <v>8</v>
      </c>
      <c r="Y274" s="7">
        <v>0</v>
      </c>
      <c r="Z274" s="7">
        <v>1</v>
      </c>
      <c r="AA274" s="7">
        <f>INT((S274-DATE(YEAR(S274-WEEKDAY(S274-0)+4),1,4)+WEEKDAY(DATE(YEAR(S274-WEEKDAY(S274-0)+4),1,4))+6)/7)</f>
        <v>4</v>
      </c>
      <c r="AB274" s="3" t="s">
        <v>2440</v>
      </c>
      <c r="AC274" s="7">
        <v>164</v>
      </c>
      <c r="AD274" s="7">
        <v>0</v>
      </c>
      <c r="AE274" s="7">
        <v>0</v>
      </c>
      <c r="AF274" s="3" t="s">
        <v>48</v>
      </c>
      <c r="AG274" s="7">
        <v>2023</v>
      </c>
      <c r="AH274" s="3" t="s">
        <v>112</v>
      </c>
      <c r="AI274" s="3" t="s">
        <v>113</v>
      </c>
      <c r="AJ274" s="3" t="s">
        <v>48</v>
      </c>
      <c r="AK274" s="12" t="s">
        <v>119</v>
      </c>
      <c r="AL274" s="3" t="s">
        <v>59</v>
      </c>
      <c r="AM274" s="3" t="s">
        <v>115</v>
      </c>
      <c r="AN274" s="3" t="s">
        <v>61</v>
      </c>
      <c r="AO274" s="3" t="s">
        <v>62</v>
      </c>
      <c r="AP274" s="3" t="s">
        <v>69</v>
      </c>
      <c r="AQ274" s="3" t="s">
        <v>61</v>
      </c>
      <c r="AR274" s="3" t="s">
        <v>48</v>
      </c>
    </row>
    <row r="275" spans="1:44" ht="30" customHeight="1">
      <c r="A275" s="3" t="s">
        <v>44</v>
      </c>
      <c r="B275" s="3" t="s">
        <v>45</v>
      </c>
      <c r="C275" s="3" t="s">
        <v>46</v>
      </c>
      <c r="D275" s="3" t="s">
        <v>108</v>
      </c>
      <c r="E275" s="3" t="s">
        <v>48</v>
      </c>
      <c r="F275" s="3" t="s">
        <v>108</v>
      </c>
      <c r="G275" s="3" t="s">
        <v>321</v>
      </c>
      <c r="H275" s="4">
        <f>IF(DATEDIF(L275,S275,"m")&gt;12,DATEDIF(L275,S275,"y"),(DATEDIF(L275,S275,"m")/12))</f>
        <v>1</v>
      </c>
      <c r="I275" s="7">
        <f>DATEDIF(L275,S275,"M")</f>
        <v>17</v>
      </c>
      <c r="J275" s="7">
        <f>DATEDIF(L275,S275,"D")</f>
        <v>542</v>
      </c>
      <c r="K275" s="3" t="s">
        <v>64</v>
      </c>
      <c r="L275" s="8">
        <v>44413</v>
      </c>
      <c r="M275" s="3" t="s">
        <v>45</v>
      </c>
      <c r="N275" s="3" t="s">
        <v>73</v>
      </c>
      <c r="O275" s="3" t="s">
        <v>52</v>
      </c>
      <c r="P275" s="3" t="s">
        <v>322</v>
      </c>
      <c r="Q275" s="7">
        <v>0</v>
      </c>
      <c r="R275" s="8">
        <v>44957</v>
      </c>
      <c r="S275" s="8">
        <v>44955</v>
      </c>
      <c r="T275" s="3" t="s">
        <v>54</v>
      </c>
      <c r="U275" s="3" t="s">
        <v>55</v>
      </c>
      <c r="V275" s="9"/>
      <c r="W275" s="10">
        <v>44963</v>
      </c>
      <c r="X275" s="7">
        <v>6</v>
      </c>
      <c r="Y275" s="7">
        <v>2</v>
      </c>
      <c r="Z275" s="7">
        <v>1</v>
      </c>
      <c r="AA275" s="7">
        <f>INT((S275-DATE(YEAR(S275-WEEKDAY(S275-0)+4),1,4)+WEEKDAY(DATE(YEAR(S275-WEEKDAY(S275-0)+4),1,4))+6)/7)</f>
        <v>5</v>
      </c>
      <c r="AB275" s="3" t="s">
        <v>323</v>
      </c>
      <c r="AC275" s="7">
        <v>183</v>
      </c>
      <c r="AD275" s="7">
        <v>0</v>
      </c>
      <c r="AE275" s="7">
        <v>0</v>
      </c>
      <c r="AF275" s="3" t="s">
        <v>48</v>
      </c>
      <c r="AG275" s="7">
        <v>2023</v>
      </c>
      <c r="AH275" s="3" t="s">
        <v>112</v>
      </c>
      <c r="AI275" s="3" t="s">
        <v>113</v>
      </c>
      <c r="AJ275" s="3" t="s">
        <v>48</v>
      </c>
      <c r="AK275" s="12" t="s">
        <v>119</v>
      </c>
      <c r="AL275" s="3" t="s">
        <v>59</v>
      </c>
      <c r="AM275" s="3" t="s">
        <v>115</v>
      </c>
      <c r="AN275" s="3" t="s">
        <v>61</v>
      </c>
      <c r="AO275" s="3" t="s">
        <v>62</v>
      </c>
      <c r="AP275" s="3" t="s">
        <v>69</v>
      </c>
      <c r="AQ275" s="3" t="s">
        <v>61</v>
      </c>
      <c r="AR275" s="3" t="s">
        <v>48</v>
      </c>
    </row>
    <row r="276" spans="1:44" ht="30" customHeight="1">
      <c r="A276" s="3" t="s">
        <v>44</v>
      </c>
      <c r="B276" s="3" t="s">
        <v>45</v>
      </c>
      <c r="C276" s="3" t="s">
        <v>46</v>
      </c>
      <c r="D276" s="3" t="s">
        <v>108</v>
      </c>
      <c r="E276" s="3" t="s">
        <v>48</v>
      </c>
      <c r="F276" s="3" t="s">
        <v>108</v>
      </c>
      <c r="G276" s="3" t="s">
        <v>412</v>
      </c>
      <c r="H276" s="4">
        <f>IF(DATEDIF(L276,S276,"m")&gt;12,DATEDIF(L276,S276,"y"),(DATEDIF(L276,S276,"m")/12))</f>
        <v>2</v>
      </c>
      <c r="I276" s="7">
        <f>DATEDIF(L276,S276,"M")</f>
        <v>28</v>
      </c>
      <c r="J276" s="7">
        <f>DATEDIF(L276,S276,"D")</f>
        <v>866</v>
      </c>
      <c r="K276" s="3" t="s">
        <v>64</v>
      </c>
      <c r="L276" s="8">
        <v>44092</v>
      </c>
      <c r="M276" s="3" t="s">
        <v>45</v>
      </c>
      <c r="N276" s="3" t="s">
        <v>73</v>
      </c>
      <c r="O276" s="3" t="s">
        <v>52</v>
      </c>
      <c r="P276" s="3" t="s">
        <v>169</v>
      </c>
      <c r="Q276" s="7">
        <v>0</v>
      </c>
      <c r="R276" s="8">
        <v>44960</v>
      </c>
      <c r="S276" s="8">
        <v>44958</v>
      </c>
      <c r="T276" s="3" t="s">
        <v>54</v>
      </c>
      <c r="U276" s="3" t="s">
        <v>55</v>
      </c>
      <c r="V276" s="9"/>
      <c r="W276" s="10">
        <v>44963</v>
      </c>
      <c r="X276" s="7">
        <v>3</v>
      </c>
      <c r="Y276" s="7">
        <v>2</v>
      </c>
      <c r="Z276" s="7">
        <v>2</v>
      </c>
      <c r="AA276" s="7">
        <f>INT((S276-DATE(YEAR(S276-WEEKDAY(S276-0)+4),1,4)+WEEKDAY(DATE(YEAR(S276-WEEKDAY(S276-0)+4),1,4))+6)/7)</f>
        <v>5</v>
      </c>
      <c r="AB276" s="3" t="s">
        <v>413</v>
      </c>
      <c r="AC276" s="7">
        <v>198</v>
      </c>
      <c r="AD276" s="7">
        <v>0</v>
      </c>
      <c r="AE276" s="7">
        <v>0</v>
      </c>
      <c r="AF276" s="3" t="s">
        <v>48</v>
      </c>
      <c r="AG276" s="7">
        <v>2023</v>
      </c>
      <c r="AH276" s="3" t="s">
        <v>112</v>
      </c>
      <c r="AI276" s="3" t="s">
        <v>113</v>
      </c>
      <c r="AJ276" s="3" t="s">
        <v>48</v>
      </c>
      <c r="AK276" s="12" t="s">
        <v>119</v>
      </c>
      <c r="AL276" s="3" t="s">
        <v>59</v>
      </c>
      <c r="AM276" s="3" t="s">
        <v>115</v>
      </c>
      <c r="AN276" s="3" t="s">
        <v>61</v>
      </c>
      <c r="AO276" s="3" t="s">
        <v>62</v>
      </c>
      <c r="AP276" s="3" t="s">
        <v>69</v>
      </c>
      <c r="AQ276" s="3" t="s">
        <v>61</v>
      </c>
      <c r="AR276" s="3" t="s">
        <v>48</v>
      </c>
    </row>
    <row r="277" spans="1:44" ht="30" customHeight="1">
      <c r="A277" s="3" t="s">
        <v>44</v>
      </c>
      <c r="B277" s="3" t="s">
        <v>45</v>
      </c>
      <c r="C277" s="3" t="s">
        <v>46</v>
      </c>
      <c r="D277" s="3" t="s">
        <v>108</v>
      </c>
      <c r="E277" s="3" t="s">
        <v>48</v>
      </c>
      <c r="F277" s="3" t="s">
        <v>108</v>
      </c>
      <c r="G277" s="3" t="s">
        <v>1062</v>
      </c>
      <c r="H277" s="4">
        <f>IF(DATEDIF(L277,S277,"m")&gt;12,DATEDIF(L277,S277,"y"),(DATEDIF(L277,S277,"m")/12))</f>
        <v>6</v>
      </c>
      <c r="I277" s="7">
        <f>DATEDIF(L277,S277,"M")</f>
        <v>74</v>
      </c>
      <c r="J277" s="7">
        <f>DATEDIF(L277,S277,"D")</f>
        <v>2273</v>
      </c>
      <c r="K277" s="3" t="s">
        <v>51</v>
      </c>
      <c r="L277" s="8">
        <v>42682</v>
      </c>
      <c r="M277" s="3" t="s">
        <v>45</v>
      </c>
      <c r="N277" s="3" t="s">
        <v>73</v>
      </c>
      <c r="O277" s="3" t="s">
        <v>52</v>
      </c>
      <c r="P277" s="3" t="s">
        <v>962</v>
      </c>
      <c r="Q277" s="7">
        <v>0</v>
      </c>
      <c r="R277" s="8">
        <v>44956</v>
      </c>
      <c r="S277" s="8">
        <v>44955</v>
      </c>
      <c r="T277" s="3" t="s">
        <v>54</v>
      </c>
      <c r="U277" s="3" t="s">
        <v>55</v>
      </c>
      <c r="V277" s="9"/>
      <c r="W277" s="10">
        <v>44963</v>
      </c>
      <c r="X277" s="7">
        <v>7</v>
      </c>
      <c r="Y277" s="7">
        <v>1</v>
      </c>
      <c r="Z277" s="7">
        <v>1</v>
      </c>
      <c r="AA277" s="7">
        <f>INT((S277-DATE(YEAR(S277-WEEKDAY(S277-0)+4),1,4)+WEEKDAY(DATE(YEAR(S277-WEEKDAY(S277-0)+4),1,4))+6)/7)</f>
        <v>5</v>
      </c>
      <c r="AB277" s="3" t="s">
        <v>1063</v>
      </c>
      <c r="AC277" s="7">
        <v>182</v>
      </c>
      <c r="AD277" s="7">
        <v>0</v>
      </c>
      <c r="AE277" s="7">
        <v>0</v>
      </c>
      <c r="AF277" s="3" t="s">
        <v>48</v>
      </c>
      <c r="AG277" s="7">
        <v>2023</v>
      </c>
      <c r="AH277" s="3" t="s">
        <v>112</v>
      </c>
      <c r="AI277" s="3" t="s">
        <v>113</v>
      </c>
      <c r="AJ277" s="3" t="s">
        <v>48</v>
      </c>
      <c r="AK277" s="12" t="s">
        <v>119</v>
      </c>
      <c r="AL277" s="3" t="s">
        <v>59</v>
      </c>
      <c r="AM277" s="3" t="s">
        <v>115</v>
      </c>
      <c r="AN277" s="3" t="s">
        <v>61</v>
      </c>
      <c r="AO277" s="3" t="s">
        <v>62</v>
      </c>
      <c r="AP277" s="3" t="s">
        <v>69</v>
      </c>
      <c r="AQ277" s="3" t="s">
        <v>61</v>
      </c>
      <c r="AR277" s="3" t="s">
        <v>48</v>
      </c>
    </row>
    <row r="278" spans="1:44" ht="30" customHeight="1">
      <c r="A278" s="3" t="s">
        <v>44</v>
      </c>
      <c r="B278" s="3" t="s">
        <v>45</v>
      </c>
      <c r="C278" s="3" t="s">
        <v>46</v>
      </c>
      <c r="D278" s="3" t="s">
        <v>108</v>
      </c>
      <c r="E278" s="3" t="s">
        <v>48</v>
      </c>
      <c r="F278" s="3" t="s">
        <v>108</v>
      </c>
      <c r="G278" s="3" t="s">
        <v>1362</v>
      </c>
      <c r="H278" s="11">
        <f>IF(DATEDIF(L278,S278,"m")&gt;12,DATEDIF(L278,S278,"y"),(DATEDIF(L278,S278,"m")/12))</f>
        <v>0</v>
      </c>
      <c r="I278" s="7">
        <f>DATEDIF(L278,S278,"M")</f>
        <v>0</v>
      </c>
      <c r="J278" s="7">
        <f>DATEDIF(L278,S278,"D")</f>
        <v>18</v>
      </c>
      <c r="K278" s="3" t="s">
        <v>64</v>
      </c>
      <c r="L278" s="8">
        <v>44932</v>
      </c>
      <c r="M278" s="3" t="s">
        <v>45</v>
      </c>
      <c r="N278" s="3" t="s">
        <v>73</v>
      </c>
      <c r="O278" s="3" t="s">
        <v>52</v>
      </c>
      <c r="P278" s="3" t="s">
        <v>180</v>
      </c>
      <c r="Q278" s="7">
        <v>0</v>
      </c>
      <c r="R278" s="8">
        <v>44956</v>
      </c>
      <c r="S278" s="8">
        <v>44950</v>
      </c>
      <c r="T278" s="3" t="s">
        <v>54</v>
      </c>
      <c r="U278" s="3" t="s">
        <v>55</v>
      </c>
      <c r="V278" s="9"/>
      <c r="W278" s="10">
        <v>44963</v>
      </c>
      <c r="X278" s="7">
        <v>7</v>
      </c>
      <c r="Y278" s="7">
        <v>6</v>
      </c>
      <c r="Z278" s="7">
        <v>1</v>
      </c>
      <c r="AA278" s="7">
        <f>INT((S278-DATE(YEAR(S278-WEEKDAY(S278-0)+4),1,4)+WEEKDAY(DATE(YEAR(S278-WEEKDAY(S278-0)+4),1,4))+6)/7)</f>
        <v>4</v>
      </c>
      <c r="AB278" s="3" t="s">
        <v>1363</v>
      </c>
      <c r="AC278" s="7">
        <v>181</v>
      </c>
      <c r="AD278" s="7">
        <v>0</v>
      </c>
      <c r="AE278" s="7">
        <v>0</v>
      </c>
      <c r="AF278" s="3" t="s">
        <v>48</v>
      </c>
      <c r="AG278" s="7">
        <v>2023</v>
      </c>
      <c r="AH278" s="3" t="s">
        <v>112</v>
      </c>
      <c r="AI278" s="3" t="s">
        <v>113</v>
      </c>
      <c r="AJ278" s="3" t="s">
        <v>48</v>
      </c>
      <c r="AK278" s="12" t="s">
        <v>119</v>
      </c>
      <c r="AL278" s="3" t="s">
        <v>59</v>
      </c>
      <c r="AM278" s="3" t="s">
        <v>115</v>
      </c>
      <c r="AN278" s="3" t="s">
        <v>61</v>
      </c>
      <c r="AO278" s="3" t="s">
        <v>62</v>
      </c>
      <c r="AP278" s="3" t="s">
        <v>69</v>
      </c>
      <c r="AQ278" s="3" t="s">
        <v>61</v>
      </c>
      <c r="AR278" s="3" t="s">
        <v>48</v>
      </c>
    </row>
    <row r="279" spans="1:44" ht="30" customHeight="1">
      <c r="A279" s="3" t="s">
        <v>44</v>
      </c>
      <c r="B279" s="3" t="s">
        <v>45</v>
      </c>
      <c r="C279" s="3" t="s">
        <v>46</v>
      </c>
      <c r="D279" s="3" t="s">
        <v>200</v>
      </c>
      <c r="E279" s="3" t="s">
        <v>48</v>
      </c>
      <c r="F279" s="3" t="s">
        <v>201</v>
      </c>
      <c r="G279" s="3" t="s">
        <v>2078</v>
      </c>
      <c r="H279" s="4">
        <f>IF(DATEDIF(L279,S279,"m")&gt;12,DATEDIF(L279,S279,"y"),(DATEDIF(L279,S279,"m")/12))</f>
        <v>49</v>
      </c>
      <c r="I279" s="7">
        <f>DATEDIF(L279,S279,"M")</f>
        <v>588</v>
      </c>
      <c r="J279" s="7">
        <f>DATEDIF(L279,S279,"D")</f>
        <v>17897</v>
      </c>
      <c r="K279" s="3" t="s">
        <v>64</v>
      </c>
      <c r="L279" s="8">
        <v>27058</v>
      </c>
      <c r="M279" s="3" t="s">
        <v>45</v>
      </c>
      <c r="N279" s="3" t="s">
        <v>329</v>
      </c>
      <c r="O279" s="3" t="s">
        <v>52</v>
      </c>
      <c r="P279" s="3" t="s">
        <v>2079</v>
      </c>
      <c r="Q279" s="7">
        <v>1</v>
      </c>
      <c r="R279" s="8">
        <v>44957</v>
      </c>
      <c r="S279" s="8">
        <v>44955</v>
      </c>
      <c r="T279" s="3" t="s">
        <v>54</v>
      </c>
      <c r="U279" s="3" t="s">
        <v>55</v>
      </c>
      <c r="V279" s="9"/>
      <c r="W279" s="10">
        <v>44963</v>
      </c>
      <c r="X279" s="7">
        <v>6</v>
      </c>
      <c r="Y279" s="7">
        <v>2</v>
      </c>
      <c r="Z279" s="7">
        <v>1</v>
      </c>
      <c r="AA279" s="7">
        <f>INT((S279-DATE(YEAR(S279-WEEKDAY(S279-0)+4),1,4)+WEEKDAY(DATE(YEAR(S279-WEEKDAY(S279-0)+4),1,4))+6)/7)</f>
        <v>5</v>
      </c>
      <c r="AB279" s="3" t="s">
        <v>2080</v>
      </c>
      <c r="AC279" s="7">
        <v>15</v>
      </c>
      <c r="AD279" s="7">
        <v>0</v>
      </c>
      <c r="AE279" s="7">
        <v>0</v>
      </c>
      <c r="AF279" s="3" t="s">
        <v>48</v>
      </c>
      <c r="AG279" s="7">
        <v>2023</v>
      </c>
      <c r="AH279" s="12" t="s">
        <v>206</v>
      </c>
      <c r="AI279" s="3" t="s">
        <v>207</v>
      </c>
      <c r="AJ279" s="3" t="s">
        <v>208</v>
      </c>
      <c r="AK279" s="3" t="s">
        <v>1343</v>
      </c>
      <c r="AL279" s="3" t="s">
        <v>59</v>
      </c>
      <c r="AM279" s="3" t="s">
        <v>99</v>
      </c>
      <c r="AN279" s="3" t="s">
        <v>61</v>
      </c>
      <c r="AO279" s="3" t="s">
        <v>62</v>
      </c>
      <c r="AP279" s="3" t="s">
        <v>69</v>
      </c>
      <c r="AQ279" s="3" t="s">
        <v>61</v>
      </c>
      <c r="AR279" s="3" t="s">
        <v>48</v>
      </c>
    </row>
    <row r="280" spans="1:44" ht="30" customHeight="1">
      <c r="A280" s="3" t="s">
        <v>44</v>
      </c>
      <c r="B280" s="3" t="s">
        <v>45</v>
      </c>
      <c r="C280" s="3" t="s">
        <v>46</v>
      </c>
      <c r="D280" s="3" t="s">
        <v>186</v>
      </c>
      <c r="E280" s="3" t="s">
        <v>48</v>
      </c>
      <c r="F280" s="3" t="s">
        <v>271</v>
      </c>
      <c r="G280" s="3" t="s">
        <v>2124</v>
      </c>
      <c r="H280" s="4">
        <f>IF(DATEDIF(L280,S280,"m")&gt;12,DATEDIF(L280,S280,"y"),(DATEDIF(L280,S280,"m")/12))</f>
        <v>3</v>
      </c>
      <c r="I280" s="7">
        <f>DATEDIF(L280,S280,"M")</f>
        <v>43</v>
      </c>
      <c r="J280" s="7">
        <f>DATEDIF(L280,S280,"D")</f>
        <v>1332</v>
      </c>
      <c r="K280" s="3" t="s">
        <v>51</v>
      </c>
      <c r="L280" s="8">
        <v>43621</v>
      </c>
      <c r="M280" s="3" t="s">
        <v>45</v>
      </c>
      <c r="N280" s="3" t="s">
        <v>187</v>
      </c>
      <c r="O280" s="3" t="s">
        <v>52</v>
      </c>
      <c r="P280" s="3" t="s">
        <v>2076</v>
      </c>
      <c r="Q280" s="7">
        <v>0</v>
      </c>
      <c r="R280" s="8">
        <v>44959</v>
      </c>
      <c r="S280" s="8">
        <v>44953</v>
      </c>
      <c r="T280" s="3" t="s">
        <v>54</v>
      </c>
      <c r="U280" s="3" t="s">
        <v>55</v>
      </c>
      <c r="V280" s="9"/>
      <c r="W280" s="10">
        <v>44963</v>
      </c>
      <c r="X280" s="7">
        <v>4</v>
      </c>
      <c r="Y280" s="7">
        <v>6</v>
      </c>
      <c r="Z280" s="7">
        <v>1</v>
      </c>
      <c r="AA280" s="7">
        <f>INT((S280-DATE(YEAR(S280-WEEKDAY(S280-0)+4),1,4)+WEEKDAY(DATE(YEAR(S280-WEEKDAY(S280-0)+4),1,4))+6)/7)</f>
        <v>4</v>
      </c>
      <c r="AB280" s="3" t="s">
        <v>2125</v>
      </c>
      <c r="AC280" s="7">
        <v>100</v>
      </c>
      <c r="AD280" s="7">
        <v>0</v>
      </c>
      <c r="AE280" s="7">
        <v>0</v>
      </c>
      <c r="AF280" s="3" t="s">
        <v>48</v>
      </c>
      <c r="AG280" s="7">
        <v>2023</v>
      </c>
      <c r="AH280" s="3" t="s">
        <v>276</v>
      </c>
      <c r="AI280" s="3" t="s">
        <v>191</v>
      </c>
      <c r="AJ280" s="3" t="s">
        <v>186</v>
      </c>
      <c r="AK280" s="3" t="s">
        <v>2126</v>
      </c>
      <c r="AL280" s="3" t="s">
        <v>59</v>
      </c>
      <c r="AM280" s="3" t="s">
        <v>60</v>
      </c>
      <c r="AN280" s="3" t="s">
        <v>61</v>
      </c>
      <c r="AO280" s="3" t="s">
        <v>62</v>
      </c>
      <c r="AP280" s="3" t="s">
        <v>69</v>
      </c>
      <c r="AQ280" s="3" t="s">
        <v>61</v>
      </c>
      <c r="AR280" s="3" t="s">
        <v>48</v>
      </c>
    </row>
    <row r="281" spans="1:44" ht="30" customHeight="1">
      <c r="A281" s="3" t="s">
        <v>44</v>
      </c>
      <c r="B281" s="3" t="s">
        <v>45</v>
      </c>
      <c r="C281" s="3" t="s">
        <v>46</v>
      </c>
      <c r="D281" s="3" t="s">
        <v>47</v>
      </c>
      <c r="E281" s="3" t="s">
        <v>48</v>
      </c>
      <c r="F281" s="3" t="s">
        <v>49</v>
      </c>
      <c r="G281" s="3" t="s">
        <v>2138</v>
      </c>
      <c r="H281" s="4">
        <f>IF(DATEDIF(L281,S281,"m")&gt;12,DATEDIF(L281,S281,"y"),(DATEDIF(L281,S281,"m")/12))</f>
        <v>57</v>
      </c>
      <c r="I281" s="7">
        <f>DATEDIF(L281,S281,"M")</f>
        <v>688</v>
      </c>
      <c r="J281" s="7">
        <f>DATEDIF(L281,S281,"D")</f>
        <v>20970</v>
      </c>
      <c r="K281" s="3" t="s">
        <v>51</v>
      </c>
      <c r="L281" s="8">
        <v>23979</v>
      </c>
      <c r="M281" s="3" t="s">
        <v>45</v>
      </c>
      <c r="N281" s="3" t="s">
        <v>65</v>
      </c>
      <c r="O281" s="3" t="s">
        <v>52</v>
      </c>
      <c r="P281" s="3" t="s">
        <v>91</v>
      </c>
      <c r="Q281" s="7">
        <v>0</v>
      </c>
      <c r="R281" s="8">
        <v>44958</v>
      </c>
      <c r="S281" s="8">
        <v>44949</v>
      </c>
      <c r="T281" s="3" t="s">
        <v>54</v>
      </c>
      <c r="U281" s="3" t="s">
        <v>55</v>
      </c>
      <c r="V281" s="9"/>
      <c r="W281" s="10">
        <v>44963</v>
      </c>
      <c r="X281" s="7">
        <v>5</v>
      </c>
      <c r="Y281" s="7">
        <v>9</v>
      </c>
      <c r="Z281" s="7">
        <v>1</v>
      </c>
      <c r="AA281" s="7">
        <f>INT((S281-DATE(YEAR(S281-WEEKDAY(S281-0)+4),1,4)+WEEKDAY(DATE(YEAR(S281-WEEKDAY(S281-0)+4),1,4))+6)/7)</f>
        <v>4</v>
      </c>
      <c r="AB281" s="3" t="s">
        <v>2139</v>
      </c>
      <c r="AC281" s="7">
        <v>24</v>
      </c>
      <c r="AD281" s="7">
        <v>0</v>
      </c>
      <c r="AE281" s="7">
        <v>0</v>
      </c>
      <c r="AF281" s="3" t="s">
        <v>48</v>
      </c>
      <c r="AG281" s="7">
        <v>2023</v>
      </c>
      <c r="AH281" s="3" t="s">
        <v>57</v>
      </c>
      <c r="AI281" s="3" t="s">
        <v>48</v>
      </c>
      <c r="AJ281" s="3" t="s">
        <v>48</v>
      </c>
      <c r="AK281" s="3" t="s">
        <v>1371</v>
      </c>
      <c r="AL281" s="3" t="s">
        <v>59</v>
      </c>
      <c r="AM281" s="3" t="s">
        <v>60</v>
      </c>
      <c r="AN281" s="3" t="s">
        <v>61</v>
      </c>
      <c r="AO281" s="3" t="s">
        <v>62</v>
      </c>
      <c r="AP281" s="3" t="s">
        <v>69</v>
      </c>
      <c r="AQ281" s="3" t="s">
        <v>61</v>
      </c>
      <c r="AR281" s="3" t="s">
        <v>48</v>
      </c>
    </row>
    <row r="282" spans="1:44" ht="30" customHeight="1">
      <c r="A282" s="3" t="s">
        <v>44</v>
      </c>
      <c r="B282" s="3" t="s">
        <v>45</v>
      </c>
      <c r="C282" s="3" t="s">
        <v>46</v>
      </c>
      <c r="D282" s="3" t="s">
        <v>47</v>
      </c>
      <c r="E282" s="3" t="s">
        <v>48</v>
      </c>
      <c r="F282" s="3" t="s">
        <v>49</v>
      </c>
      <c r="G282" s="3" t="s">
        <v>1656</v>
      </c>
      <c r="H282" s="5">
        <f>IF(DATEDIF(L282,S282,"m")&gt;12,DATEDIF(L282,S282,"y"),(DATEDIF(L282,S282,"m")/12))</f>
        <v>0.5</v>
      </c>
      <c r="I282" s="7">
        <f>DATEDIF(L282,S282,"M")</f>
        <v>6</v>
      </c>
      <c r="J282" s="7">
        <f>DATEDIF(L282,S282,"D")</f>
        <v>184</v>
      </c>
      <c r="K282" s="3" t="s">
        <v>64</v>
      </c>
      <c r="L282" s="8">
        <v>44775</v>
      </c>
      <c r="M282" s="3" t="s">
        <v>45</v>
      </c>
      <c r="N282" s="3" t="s">
        <v>73</v>
      </c>
      <c r="O282" s="3" t="s">
        <v>52</v>
      </c>
      <c r="P282" s="3" t="s">
        <v>556</v>
      </c>
      <c r="Q282" s="7">
        <v>0</v>
      </c>
      <c r="R282" s="8">
        <v>44961</v>
      </c>
      <c r="S282" s="8">
        <v>44959</v>
      </c>
      <c r="T282" s="3" t="s">
        <v>54</v>
      </c>
      <c r="U282" s="3" t="s">
        <v>55</v>
      </c>
      <c r="V282" s="9"/>
      <c r="W282" s="10">
        <v>44963</v>
      </c>
      <c r="X282" s="7">
        <v>2</v>
      </c>
      <c r="Y282" s="7">
        <v>2</v>
      </c>
      <c r="Z282" s="7">
        <v>2</v>
      </c>
      <c r="AA282" s="7">
        <f>INT((S282-DATE(YEAR(S282-WEEKDAY(S282-0)+4),1,4)+WEEKDAY(DATE(YEAR(S282-WEEKDAY(S282-0)+4),1,4))+6)/7)</f>
        <v>5</v>
      </c>
      <c r="AB282" s="3" t="s">
        <v>1657</v>
      </c>
      <c r="AC282" s="7">
        <v>32</v>
      </c>
      <c r="AD282" s="7">
        <v>0</v>
      </c>
      <c r="AE282" s="7">
        <v>0</v>
      </c>
      <c r="AF282" s="3" t="s">
        <v>48</v>
      </c>
      <c r="AG282" s="7">
        <v>2023</v>
      </c>
      <c r="AH282" s="3" t="s">
        <v>57</v>
      </c>
      <c r="AI282" s="3" t="s">
        <v>48</v>
      </c>
      <c r="AJ282" s="3" t="s">
        <v>48</v>
      </c>
      <c r="AK282" s="12" t="s">
        <v>119</v>
      </c>
      <c r="AL282" s="3" t="s">
        <v>59</v>
      </c>
      <c r="AM282" s="3" t="s">
        <v>60</v>
      </c>
      <c r="AN282" s="3" t="s">
        <v>61</v>
      </c>
      <c r="AO282" s="3" t="s">
        <v>62</v>
      </c>
      <c r="AP282" s="3" t="s">
        <v>69</v>
      </c>
      <c r="AQ282" s="3" t="s">
        <v>61</v>
      </c>
      <c r="AR282" s="3" t="s">
        <v>48</v>
      </c>
    </row>
    <row r="283" spans="1:44" ht="30" customHeight="1">
      <c r="A283" s="3" t="s">
        <v>44</v>
      </c>
      <c r="B283" s="3" t="s">
        <v>45</v>
      </c>
      <c r="C283" s="3" t="s">
        <v>46</v>
      </c>
      <c r="D283" s="3" t="s">
        <v>70</v>
      </c>
      <c r="E283" s="3" t="s">
        <v>48</v>
      </c>
      <c r="F283" s="3" t="s">
        <v>71</v>
      </c>
      <c r="G283" s="3" t="s">
        <v>2199</v>
      </c>
      <c r="H283" s="4">
        <f>IF(DATEDIF(L283,S283,"m")&gt;12,DATEDIF(L283,S283,"y"),(DATEDIF(L283,S283,"m")/12))</f>
        <v>2</v>
      </c>
      <c r="I283" s="7">
        <f>DATEDIF(L283,S283,"M")</f>
        <v>26</v>
      </c>
      <c r="J283" s="7">
        <f>DATEDIF(L283,S283,"D")</f>
        <v>820</v>
      </c>
      <c r="K283" s="3" t="s">
        <v>64</v>
      </c>
      <c r="L283" s="8">
        <v>44137</v>
      </c>
      <c r="M283" s="3" t="s">
        <v>45</v>
      </c>
      <c r="N283" s="3" t="s">
        <v>159</v>
      </c>
      <c r="O283" s="3" t="s">
        <v>52</v>
      </c>
      <c r="P283" s="3" t="s">
        <v>84</v>
      </c>
      <c r="Q283" s="7">
        <v>1</v>
      </c>
      <c r="R283" s="8">
        <v>44958</v>
      </c>
      <c r="S283" s="8">
        <v>44957</v>
      </c>
      <c r="T283" s="3" t="s">
        <v>54</v>
      </c>
      <c r="U283" s="3" t="s">
        <v>55</v>
      </c>
      <c r="V283" s="9"/>
      <c r="W283" s="10">
        <v>44963</v>
      </c>
      <c r="X283" s="7">
        <v>5</v>
      </c>
      <c r="Y283" s="7">
        <v>1</v>
      </c>
      <c r="Z283" s="7">
        <v>1</v>
      </c>
      <c r="AA283" s="7">
        <f>INT((S283-DATE(YEAR(S283-WEEKDAY(S283-0)+4),1,4)+WEEKDAY(DATE(YEAR(S283-WEEKDAY(S283-0)+4),1,4))+6)/7)</f>
        <v>5</v>
      </c>
      <c r="AB283" s="3" t="s">
        <v>2200</v>
      </c>
      <c r="AC283" s="7">
        <v>653</v>
      </c>
      <c r="AD283" s="7">
        <v>0</v>
      </c>
      <c r="AE283" s="7">
        <v>1</v>
      </c>
      <c r="AF283" s="3" t="s">
        <v>48</v>
      </c>
      <c r="AG283" s="7">
        <v>2023</v>
      </c>
      <c r="AH283" s="3" t="s">
        <v>76</v>
      </c>
      <c r="AI283" s="3" t="s">
        <v>166</v>
      </c>
      <c r="AJ283" s="3" t="s">
        <v>78</v>
      </c>
      <c r="AK283" s="3" t="s">
        <v>689</v>
      </c>
      <c r="AL283" s="3" t="s">
        <v>59</v>
      </c>
      <c r="AM283" s="3" t="s">
        <v>60</v>
      </c>
      <c r="AN283" s="3" t="s">
        <v>61</v>
      </c>
      <c r="AO283" s="3" t="s">
        <v>62</v>
      </c>
      <c r="AP283" s="3" t="s">
        <v>69</v>
      </c>
      <c r="AQ283" s="3" t="s">
        <v>61</v>
      </c>
      <c r="AR283" s="3" t="s">
        <v>48</v>
      </c>
    </row>
    <row r="284" spans="1:44" ht="30" customHeight="1">
      <c r="A284" s="3" t="s">
        <v>44</v>
      </c>
      <c r="B284" s="3" t="s">
        <v>45</v>
      </c>
      <c r="C284" s="3" t="s">
        <v>46</v>
      </c>
      <c r="D284" s="3" t="s">
        <v>108</v>
      </c>
      <c r="E284" s="3" t="s">
        <v>48</v>
      </c>
      <c r="F284" s="3" t="s">
        <v>108</v>
      </c>
      <c r="G284" s="3" t="s">
        <v>2248</v>
      </c>
      <c r="H284" s="5">
        <f>IF(DATEDIF(L284,S284,"m")&gt;12,DATEDIF(L284,S284,"y"),(DATEDIF(L284,S284,"m")/12))</f>
        <v>0.75</v>
      </c>
      <c r="I284" s="7">
        <f>DATEDIF(L284,S284,"M")</f>
        <v>9</v>
      </c>
      <c r="J284" s="7">
        <f>DATEDIF(L284,S284,"D")</f>
        <v>301</v>
      </c>
      <c r="K284" s="3" t="s">
        <v>51</v>
      </c>
      <c r="L284" s="8">
        <v>44657</v>
      </c>
      <c r="M284" s="3" t="s">
        <v>45</v>
      </c>
      <c r="N284" s="3" t="s">
        <v>73</v>
      </c>
      <c r="O284" s="3" t="s">
        <v>52</v>
      </c>
      <c r="P284" s="3" t="s">
        <v>579</v>
      </c>
      <c r="Q284" s="7">
        <v>0</v>
      </c>
      <c r="R284" s="8">
        <v>44960</v>
      </c>
      <c r="S284" s="8">
        <v>44958</v>
      </c>
      <c r="T284" s="3" t="s">
        <v>54</v>
      </c>
      <c r="U284" s="3" t="s">
        <v>55</v>
      </c>
      <c r="V284" s="9"/>
      <c r="W284" s="10">
        <v>44963</v>
      </c>
      <c r="X284" s="7">
        <v>3</v>
      </c>
      <c r="Y284" s="7">
        <v>2</v>
      </c>
      <c r="Z284" s="7">
        <v>2</v>
      </c>
      <c r="AA284" s="7">
        <f>INT((S284-DATE(YEAR(S284-WEEKDAY(S284-0)+4),1,4)+WEEKDAY(DATE(YEAR(S284-WEEKDAY(S284-0)+4),1,4))+6)/7)</f>
        <v>5</v>
      </c>
      <c r="AB284" s="3" t="s">
        <v>2249</v>
      </c>
      <c r="AC284" s="7">
        <v>202</v>
      </c>
      <c r="AD284" s="7">
        <v>0</v>
      </c>
      <c r="AE284" s="7">
        <v>0</v>
      </c>
      <c r="AF284" s="3" t="s">
        <v>48</v>
      </c>
      <c r="AG284" s="7">
        <v>2023</v>
      </c>
      <c r="AH284" s="3" t="s">
        <v>112</v>
      </c>
      <c r="AI284" s="3" t="s">
        <v>113</v>
      </c>
      <c r="AJ284" s="3" t="s">
        <v>48</v>
      </c>
      <c r="AK284" s="12" t="s">
        <v>119</v>
      </c>
      <c r="AL284" s="3" t="s">
        <v>59</v>
      </c>
      <c r="AM284" s="3" t="s">
        <v>115</v>
      </c>
      <c r="AN284" s="3" t="s">
        <v>61</v>
      </c>
      <c r="AO284" s="3" t="s">
        <v>62</v>
      </c>
      <c r="AP284" s="3" t="s">
        <v>61</v>
      </c>
      <c r="AQ284" s="3" t="s">
        <v>61</v>
      </c>
      <c r="AR284" s="3" t="s">
        <v>48</v>
      </c>
    </row>
    <row r="285" spans="1:44" ht="30" customHeight="1">
      <c r="A285" s="3" t="s">
        <v>44</v>
      </c>
      <c r="B285" s="3" t="s">
        <v>45</v>
      </c>
      <c r="C285" s="3" t="s">
        <v>46</v>
      </c>
      <c r="D285" s="3" t="s">
        <v>186</v>
      </c>
      <c r="E285" s="3" t="s">
        <v>48</v>
      </c>
      <c r="F285" s="3" t="s">
        <v>271</v>
      </c>
      <c r="G285" s="3" t="s">
        <v>2240</v>
      </c>
      <c r="H285" s="5">
        <f>IF(DATEDIF(L285,S285,"m")&gt;12,DATEDIF(L285,S285,"y"),(DATEDIF(L285,S285,"m")/12))</f>
        <v>0.25</v>
      </c>
      <c r="I285" s="7">
        <f>DATEDIF(L285,S285,"M")</f>
        <v>3</v>
      </c>
      <c r="J285" s="7">
        <f>DATEDIF(L285,S285,"D")</f>
        <v>119</v>
      </c>
      <c r="K285" s="3" t="s">
        <v>51</v>
      </c>
      <c r="L285" s="8">
        <v>44833</v>
      </c>
      <c r="M285" s="3" t="s">
        <v>45</v>
      </c>
      <c r="N285" s="3" t="s">
        <v>187</v>
      </c>
      <c r="O285" s="3" t="s">
        <v>52</v>
      </c>
      <c r="P285" s="3" t="s">
        <v>2241</v>
      </c>
      <c r="Q285" s="7">
        <v>0</v>
      </c>
      <c r="R285" s="8">
        <v>44957</v>
      </c>
      <c r="S285" s="8">
        <v>44952</v>
      </c>
      <c r="T285" s="3" t="s">
        <v>54</v>
      </c>
      <c r="U285" s="3" t="s">
        <v>55</v>
      </c>
      <c r="V285" s="9"/>
      <c r="W285" s="10">
        <v>44963</v>
      </c>
      <c r="X285" s="7">
        <v>6</v>
      </c>
      <c r="Y285" s="7">
        <v>5</v>
      </c>
      <c r="Z285" s="7">
        <v>1</v>
      </c>
      <c r="AA285" s="7">
        <f>INT((S285-DATE(YEAR(S285-WEEKDAY(S285-0)+4),1,4)+WEEKDAY(DATE(YEAR(S285-WEEKDAY(S285-0)+4),1,4))+6)/7)</f>
        <v>4</v>
      </c>
      <c r="AB285" s="3" t="s">
        <v>2242</v>
      </c>
      <c r="AC285" s="7">
        <v>98</v>
      </c>
      <c r="AD285" s="7">
        <v>0</v>
      </c>
      <c r="AE285" s="7">
        <v>0</v>
      </c>
      <c r="AF285" s="3" t="s">
        <v>48</v>
      </c>
      <c r="AG285" s="7">
        <v>2023</v>
      </c>
      <c r="AH285" s="3" t="s">
        <v>276</v>
      </c>
      <c r="AI285" s="3" t="s">
        <v>191</v>
      </c>
      <c r="AJ285" s="3" t="s">
        <v>186</v>
      </c>
      <c r="AK285" s="3" t="s">
        <v>277</v>
      </c>
      <c r="AL285" s="3" t="s">
        <v>59</v>
      </c>
      <c r="AM285" s="3" t="s">
        <v>60</v>
      </c>
      <c r="AN285" s="3" t="s">
        <v>61</v>
      </c>
      <c r="AO285" s="3" t="s">
        <v>62</v>
      </c>
      <c r="AP285" s="3" t="s">
        <v>69</v>
      </c>
      <c r="AQ285" s="3" t="s">
        <v>61</v>
      </c>
      <c r="AR285" s="3" t="s">
        <v>48</v>
      </c>
    </row>
    <row r="286" spans="1:44" ht="30" customHeight="1">
      <c r="A286" s="3" t="s">
        <v>44</v>
      </c>
      <c r="B286" s="3" t="s">
        <v>45</v>
      </c>
      <c r="C286" s="3" t="s">
        <v>46</v>
      </c>
      <c r="D286" s="3" t="s">
        <v>100</v>
      </c>
      <c r="E286" s="3" t="s">
        <v>48</v>
      </c>
      <c r="F286" s="3" t="s">
        <v>101</v>
      </c>
      <c r="G286" s="3" t="s">
        <v>1689</v>
      </c>
      <c r="H286" s="4">
        <f>IF(DATEDIF(L286,S286,"m")&gt;12,DATEDIF(L286,S286,"y"),(DATEDIF(L286,S286,"m")/12))</f>
        <v>7</v>
      </c>
      <c r="I286" s="7">
        <f>DATEDIF(L286,S286,"M")</f>
        <v>86</v>
      </c>
      <c r="J286" s="7">
        <f>DATEDIF(L286,S286,"D")</f>
        <v>2644</v>
      </c>
      <c r="K286" s="3" t="s">
        <v>51</v>
      </c>
      <c r="L286" s="8">
        <v>42316</v>
      </c>
      <c r="M286" s="3" t="s">
        <v>45</v>
      </c>
      <c r="N286" s="3" t="s">
        <v>73</v>
      </c>
      <c r="O286" s="3" t="s">
        <v>52</v>
      </c>
      <c r="P286" s="3" t="s">
        <v>1037</v>
      </c>
      <c r="Q286" s="7">
        <v>0</v>
      </c>
      <c r="R286" s="8">
        <v>44963</v>
      </c>
      <c r="S286" s="8">
        <v>44960</v>
      </c>
      <c r="T286" s="3" t="s">
        <v>54</v>
      </c>
      <c r="U286" s="3" t="s">
        <v>55</v>
      </c>
      <c r="V286" s="9"/>
      <c r="W286" s="10">
        <v>44970</v>
      </c>
      <c r="X286" s="7">
        <v>7</v>
      </c>
      <c r="Y286" s="7">
        <v>3</v>
      </c>
      <c r="Z286" s="7">
        <v>2</v>
      </c>
      <c r="AA286" s="7">
        <f>INT((S286-DATE(YEAR(S286-WEEKDAY(S286-0)+4),1,4)+WEEKDAY(DATE(YEAR(S286-WEEKDAY(S286-0)+4),1,4))+6)/7)</f>
        <v>5</v>
      </c>
      <c r="AB286" s="3" t="s">
        <v>1690</v>
      </c>
      <c r="AC286" s="7">
        <v>24</v>
      </c>
      <c r="AD286" s="7">
        <v>0</v>
      </c>
      <c r="AE286" s="7">
        <v>0</v>
      </c>
      <c r="AF286" s="3" t="s">
        <v>48</v>
      </c>
      <c r="AG286" s="7">
        <v>2023</v>
      </c>
      <c r="AH286" s="3" t="s">
        <v>105</v>
      </c>
      <c r="AI286" s="3" t="s">
        <v>106</v>
      </c>
      <c r="AJ286" s="3" t="s">
        <v>252</v>
      </c>
      <c r="AK286" s="12" t="s">
        <v>119</v>
      </c>
      <c r="AL286" s="3" t="s">
        <v>59</v>
      </c>
      <c r="AM286" s="3" t="s">
        <v>99</v>
      </c>
      <c r="AN286" s="3" t="s">
        <v>61</v>
      </c>
      <c r="AO286" s="3" t="s">
        <v>62</v>
      </c>
      <c r="AP286" s="3" t="s">
        <v>69</v>
      </c>
      <c r="AQ286" s="3" t="s">
        <v>61</v>
      </c>
      <c r="AR286" s="3" t="s">
        <v>48</v>
      </c>
    </row>
    <row r="287" spans="1:44" ht="30" customHeight="1">
      <c r="A287" s="3" t="s">
        <v>44</v>
      </c>
      <c r="B287" s="3" t="s">
        <v>45</v>
      </c>
      <c r="C287" s="3" t="s">
        <v>46</v>
      </c>
      <c r="D287" s="3" t="s">
        <v>108</v>
      </c>
      <c r="E287" s="3" t="s">
        <v>48</v>
      </c>
      <c r="F287" s="3" t="s">
        <v>108</v>
      </c>
      <c r="G287" s="3" t="s">
        <v>116</v>
      </c>
      <c r="H287" s="4">
        <f>IF(DATEDIF(L287,S287,"m")&gt;12,DATEDIF(L287,S287,"y"),(DATEDIF(L287,S287,"m")/12))</f>
        <v>3</v>
      </c>
      <c r="I287" s="7">
        <f>DATEDIF(L287,S287,"M")</f>
        <v>47</v>
      </c>
      <c r="J287" s="7">
        <f>DATEDIF(L287,S287,"D")</f>
        <v>1456</v>
      </c>
      <c r="K287" s="3" t="s">
        <v>64</v>
      </c>
      <c r="L287" s="8">
        <v>43505</v>
      </c>
      <c r="M287" s="3" t="s">
        <v>45</v>
      </c>
      <c r="N287" s="3" t="s">
        <v>73</v>
      </c>
      <c r="O287" s="3" t="s">
        <v>52</v>
      </c>
      <c r="P287" s="3" t="s">
        <v>117</v>
      </c>
      <c r="Q287" s="7">
        <v>0</v>
      </c>
      <c r="R287" s="8">
        <v>44964</v>
      </c>
      <c r="S287" s="8">
        <v>44961</v>
      </c>
      <c r="T287" s="3" t="s">
        <v>54</v>
      </c>
      <c r="U287" s="3" t="s">
        <v>55</v>
      </c>
      <c r="V287" s="9"/>
      <c r="W287" s="10">
        <v>44971</v>
      </c>
      <c r="X287" s="7">
        <v>7</v>
      </c>
      <c r="Y287" s="7">
        <v>3</v>
      </c>
      <c r="Z287" s="7">
        <v>2</v>
      </c>
      <c r="AA287" s="7">
        <f>INT((S287-DATE(YEAR(S287-WEEKDAY(S287-0)+4),1,4)+WEEKDAY(DATE(YEAR(S287-WEEKDAY(S287-0)+4),1,4))+6)/7)</f>
        <v>5</v>
      </c>
      <c r="AB287" s="3" t="s">
        <v>118</v>
      </c>
      <c r="AC287" s="7">
        <v>223</v>
      </c>
      <c r="AD287" s="7">
        <v>0</v>
      </c>
      <c r="AE287" s="7">
        <v>0</v>
      </c>
      <c r="AF287" s="3" t="s">
        <v>48</v>
      </c>
      <c r="AG287" s="7">
        <v>2023</v>
      </c>
      <c r="AH287" s="3" t="s">
        <v>112</v>
      </c>
      <c r="AI287" s="3" t="s">
        <v>113</v>
      </c>
      <c r="AJ287" s="3" t="s">
        <v>48</v>
      </c>
      <c r="AK287" s="12" t="s">
        <v>119</v>
      </c>
      <c r="AL287" s="3" t="s">
        <v>59</v>
      </c>
      <c r="AM287" s="3" t="s">
        <v>115</v>
      </c>
      <c r="AN287" s="3" t="s">
        <v>61</v>
      </c>
      <c r="AO287" s="3" t="s">
        <v>62</v>
      </c>
      <c r="AP287" s="3" t="s">
        <v>69</v>
      </c>
      <c r="AQ287" s="3" t="s">
        <v>61</v>
      </c>
      <c r="AR287" s="3" t="s">
        <v>48</v>
      </c>
    </row>
    <row r="288" spans="1:44" ht="30" customHeight="1">
      <c r="A288" s="3" t="s">
        <v>44</v>
      </c>
      <c r="B288" s="3" t="s">
        <v>45</v>
      </c>
      <c r="C288" s="3" t="s">
        <v>80</v>
      </c>
      <c r="D288" s="3" t="s">
        <v>81</v>
      </c>
      <c r="E288" s="3" t="s">
        <v>48</v>
      </c>
      <c r="F288" s="3" t="s">
        <v>81</v>
      </c>
      <c r="G288" s="3" t="s">
        <v>2276</v>
      </c>
      <c r="H288" s="4">
        <f>IF(DATEDIF(L288,S288,"m")&gt;12,DATEDIF(L288,S288,"y"),(DATEDIF(L288,S288,"m")/12))</f>
        <v>40</v>
      </c>
      <c r="I288" s="7">
        <f>DATEDIF(L288,S288,"M")</f>
        <v>481</v>
      </c>
      <c r="J288" s="7">
        <f>DATEDIF(L288,S288,"D")</f>
        <v>14656</v>
      </c>
      <c r="K288" s="3" t="s">
        <v>51</v>
      </c>
      <c r="L288" s="8">
        <v>30286</v>
      </c>
      <c r="M288" s="3" t="s">
        <v>45</v>
      </c>
      <c r="N288" s="3" t="s">
        <v>90</v>
      </c>
      <c r="O288" s="3" t="s">
        <v>52</v>
      </c>
      <c r="P288" s="3" t="s">
        <v>2277</v>
      </c>
      <c r="Q288" s="7">
        <v>1</v>
      </c>
      <c r="R288" s="8">
        <v>44943</v>
      </c>
      <c r="S288" s="8">
        <v>44942</v>
      </c>
      <c r="T288" s="3" t="s">
        <v>54</v>
      </c>
      <c r="U288" s="3" t="s">
        <v>55</v>
      </c>
      <c r="V288" s="9"/>
      <c r="W288" s="10">
        <v>44963</v>
      </c>
      <c r="X288" s="7">
        <v>20</v>
      </c>
      <c r="Y288" s="7">
        <v>1</v>
      </c>
      <c r="Z288" s="7">
        <v>1</v>
      </c>
      <c r="AA288" s="7">
        <f>INT((S288-DATE(YEAR(S288-WEEKDAY(S288-0)+4),1,4)+WEEKDAY(DATE(YEAR(S288-WEEKDAY(S288-0)+4),1,4))+6)/7)</f>
        <v>3</v>
      </c>
      <c r="AB288" s="3" t="s">
        <v>2278</v>
      </c>
      <c r="AC288" s="7">
        <v>13918</v>
      </c>
      <c r="AD288" s="7">
        <v>0</v>
      </c>
      <c r="AE288" s="7">
        <v>0</v>
      </c>
      <c r="AF288" s="3" t="s">
        <v>48</v>
      </c>
      <c r="AG288" s="7">
        <v>2023</v>
      </c>
      <c r="AH288" s="3" t="s">
        <v>86</v>
      </c>
      <c r="AI288" s="3" t="s">
        <v>48</v>
      </c>
      <c r="AJ288" s="3" t="s">
        <v>48</v>
      </c>
      <c r="AK288" s="3" t="s">
        <v>310</v>
      </c>
      <c r="AL288" s="3" t="s">
        <v>59</v>
      </c>
      <c r="AM288" s="3" t="s">
        <v>60</v>
      </c>
      <c r="AN288" s="3" t="s">
        <v>69</v>
      </c>
      <c r="AO288" s="3" t="s">
        <v>62</v>
      </c>
      <c r="AP288" s="3" t="s">
        <v>69</v>
      </c>
      <c r="AQ288" s="3" t="s">
        <v>61</v>
      </c>
      <c r="AR288" s="3" t="s">
        <v>48</v>
      </c>
    </row>
    <row r="289" spans="1:44" ht="30" customHeight="1">
      <c r="A289" s="3" t="s">
        <v>44</v>
      </c>
      <c r="B289" s="3" t="s">
        <v>45</v>
      </c>
      <c r="C289" s="3" t="s">
        <v>46</v>
      </c>
      <c r="D289" s="3" t="s">
        <v>108</v>
      </c>
      <c r="E289" s="3" t="s">
        <v>48</v>
      </c>
      <c r="F289" s="3" t="s">
        <v>108</v>
      </c>
      <c r="G289" s="3" t="s">
        <v>652</v>
      </c>
      <c r="H289" s="5">
        <f>IF(DATEDIF(L289,S289,"m")&gt;12,DATEDIF(L289,S289,"y"),(DATEDIF(L289,S289,"m")/12))</f>
        <v>0.5</v>
      </c>
      <c r="I289" s="7">
        <f>DATEDIF(L289,S289,"M")</f>
        <v>6</v>
      </c>
      <c r="J289" s="7">
        <f>DATEDIF(L289,S289,"D")</f>
        <v>198</v>
      </c>
      <c r="K289" s="3" t="s">
        <v>51</v>
      </c>
      <c r="L289" s="8">
        <v>44763</v>
      </c>
      <c r="M289" s="3" t="s">
        <v>45</v>
      </c>
      <c r="N289" s="3" t="s">
        <v>73</v>
      </c>
      <c r="O289" s="3" t="s">
        <v>52</v>
      </c>
      <c r="P289" s="3" t="s">
        <v>169</v>
      </c>
      <c r="Q289" s="7">
        <v>0</v>
      </c>
      <c r="R289" s="8">
        <v>44965</v>
      </c>
      <c r="S289" s="8">
        <v>44961</v>
      </c>
      <c r="T289" s="3" t="s">
        <v>54</v>
      </c>
      <c r="U289" s="3" t="s">
        <v>55</v>
      </c>
      <c r="V289" s="9"/>
      <c r="W289" s="10">
        <v>44971</v>
      </c>
      <c r="X289" s="7">
        <v>6</v>
      </c>
      <c r="Y289" s="7">
        <v>4</v>
      </c>
      <c r="Z289" s="7">
        <v>2</v>
      </c>
      <c r="AA289" s="7">
        <f>INT((S289-DATE(YEAR(S289-WEEKDAY(S289-0)+4),1,4)+WEEKDAY(DATE(YEAR(S289-WEEKDAY(S289-0)+4),1,4))+6)/7)</f>
        <v>5</v>
      </c>
      <c r="AB289" s="3" t="s">
        <v>653</v>
      </c>
      <c r="AC289" s="7">
        <v>243</v>
      </c>
      <c r="AD289" s="7">
        <v>0</v>
      </c>
      <c r="AE289" s="7">
        <v>0</v>
      </c>
      <c r="AF289" s="3" t="s">
        <v>48</v>
      </c>
      <c r="AG289" s="7">
        <v>2023</v>
      </c>
      <c r="AH289" s="3" t="s">
        <v>112</v>
      </c>
      <c r="AI289" s="3" t="s">
        <v>113</v>
      </c>
      <c r="AJ289" s="3" t="s">
        <v>48</v>
      </c>
      <c r="AK289" s="12" t="s">
        <v>119</v>
      </c>
      <c r="AL289" s="3" t="s">
        <v>59</v>
      </c>
      <c r="AM289" s="3" t="s">
        <v>115</v>
      </c>
      <c r="AN289" s="3" t="s">
        <v>61</v>
      </c>
      <c r="AO289" s="3" t="s">
        <v>62</v>
      </c>
      <c r="AP289" s="3" t="s">
        <v>69</v>
      </c>
      <c r="AQ289" s="3" t="s">
        <v>61</v>
      </c>
      <c r="AR289" s="3" t="s">
        <v>48</v>
      </c>
    </row>
    <row r="290" spans="1:44" ht="30" customHeight="1">
      <c r="A290" s="3" t="s">
        <v>44</v>
      </c>
      <c r="B290" s="3" t="s">
        <v>45</v>
      </c>
      <c r="C290" s="3" t="s">
        <v>46</v>
      </c>
      <c r="D290" s="3" t="s">
        <v>108</v>
      </c>
      <c r="E290" s="3" t="s">
        <v>48</v>
      </c>
      <c r="F290" s="3" t="s">
        <v>108</v>
      </c>
      <c r="G290" s="3" t="s">
        <v>663</v>
      </c>
      <c r="H290" s="4">
        <f>IF(DATEDIF(L290,S290,"m")&gt;12,DATEDIF(L290,S290,"y"),(DATEDIF(L290,S290,"m")/12))</f>
        <v>1</v>
      </c>
      <c r="I290" s="7">
        <f>DATEDIF(L290,S290,"M")</f>
        <v>12</v>
      </c>
      <c r="J290" s="7">
        <f>DATEDIF(L290,S290,"D")</f>
        <v>380</v>
      </c>
      <c r="K290" s="3" t="s">
        <v>51</v>
      </c>
      <c r="L290" s="8">
        <v>44580</v>
      </c>
      <c r="M290" s="3" t="s">
        <v>45</v>
      </c>
      <c r="N290" s="3" t="s">
        <v>73</v>
      </c>
      <c r="O290" s="3" t="s">
        <v>52</v>
      </c>
      <c r="P290" s="3" t="s">
        <v>664</v>
      </c>
      <c r="Q290" s="7">
        <v>0</v>
      </c>
      <c r="R290" s="8">
        <v>44963</v>
      </c>
      <c r="S290" s="8">
        <v>44960</v>
      </c>
      <c r="T290" s="3" t="s">
        <v>54</v>
      </c>
      <c r="U290" s="3" t="s">
        <v>55</v>
      </c>
      <c r="V290" s="9"/>
      <c r="W290" s="10">
        <v>44971</v>
      </c>
      <c r="X290" s="7">
        <v>8</v>
      </c>
      <c r="Y290" s="7">
        <v>3</v>
      </c>
      <c r="Z290" s="7">
        <v>2</v>
      </c>
      <c r="AA290" s="7">
        <f>INT((S290-DATE(YEAR(S290-WEEKDAY(S290-0)+4),1,4)+WEEKDAY(DATE(YEAR(S290-WEEKDAY(S290-0)+4),1,4))+6)/7)</f>
        <v>5</v>
      </c>
      <c r="AB290" s="3" t="s">
        <v>665</v>
      </c>
      <c r="AC290" s="7">
        <v>218</v>
      </c>
      <c r="AD290" s="7">
        <v>0</v>
      </c>
      <c r="AE290" s="7">
        <v>0</v>
      </c>
      <c r="AF290" s="3" t="s">
        <v>48</v>
      </c>
      <c r="AG290" s="7">
        <v>2023</v>
      </c>
      <c r="AH290" s="3" t="s">
        <v>112</v>
      </c>
      <c r="AI290" s="3" t="s">
        <v>113</v>
      </c>
      <c r="AJ290" s="3" t="s">
        <v>48</v>
      </c>
      <c r="AK290" s="12" t="s">
        <v>119</v>
      </c>
      <c r="AL290" s="3" t="s">
        <v>59</v>
      </c>
      <c r="AM290" s="3" t="s">
        <v>115</v>
      </c>
      <c r="AN290" s="3" t="s">
        <v>61</v>
      </c>
      <c r="AO290" s="3" t="s">
        <v>62</v>
      </c>
      <c r="AP290" s="3" t="s">
        <v>69</v>
      </c>
      <c r="AQ290" s="3" t="s">
        <v>61</v>
      </c>
      <c r="AR290" s="3" t="s">
        <v>48</v>
      </c>
    </row>
    <row r="291" spans="1:44" ht="30" customHeight="1">
      <c r="A291" s="3" t="s">
        <v>44</v>
      </c>
      <c r="B291" s="3" t="s">
        <v>45</v>
      </c>
      <c r="C291" s="3" t="s">
        <v>46</v>
      </c>
      <c r="D291" s="3" t="s">
        <v>186</v>
      </c>
      <c r="E291" s="3" t="s">
        <v>48</v>
      </c>
      <c r="F291" s="3" t="s">
        <v>271</v>
      </c>
      <c r="G291" s="3" t="s">
        <v>2350</v>
      </c>
      <c r="H291" s="4">
        <f>IF(DATEDIF(L291,S291,"m")&gt;12,DATEDIF(L291,S291,"y"),(DATEDIF(L291,S291,"m")/12))</f>
        <v>20</v>
      </c>
      <c r="I291" s="7">
        <f>DATEDIF(L291,S291,"M")</f>
        <v>243</v>
      </c>
      <c r="J291" s="7">
        <f>DATEDIF(L291,S291,"D")</f>
        <v>7425</v>
      </c>
      <c r="K291" s="3" t="s">
        <v>51</v>
      </c>
      <c r="L291" s="8">
        <v>37532</v>
      </c>
      <c r="M291" s="3" t="s">
        <v>45</v>
      </c>
      <c r="N291" s="3" t="s">
        <v>187</v>
      </c>
      <c r="O291" s="3" t="s">
        <v>52</v>
      </c>
      <c r="P291" s="3" t="s">
        <v>1314</v>
      </c>
      <c r="Q291" s="7">
        <v>0</v>
      </c>
      <c r="R291" s="8">
        <v>44960</v>
      </c>
      <c r="S291" s="8">
        <v>44957</v>
      </c>
      <c r="T291" s="3" t="s">
        <v>54</v>
      </c>
      <c r="U291" s="3" t="s">
        <v>55</v>
      </c>
      <c r="V291" s="9"/>
      <c r="W291" s="10">
        <v>44963</v>
      </c>
      <c r="X291" s="7">
        <v>3</v>
      </c>
      <c r="Y291" s="7">
        <v>3</v>
      </c>
      <c r="Z291" s="7">
        <v>1</v>
      </c>
      <c r="AA291" s="7">
        <f>INT((S291-DATE(YEAR(S291-WEEKDAY(S291-0)+4),1,4)+WEEKDAY(DATE(YEAR(S291-WEEKDAY(S291-0)+4),1,4))+6)/7)</f>
        <v>5</v>
      </c>
      <c r="AB291" s="3" t="s">
        <v>2351</v>
      </c>
      <c r="AC291" s="7">
        <v>103</v>
      </c>
      <c r="AD291" s="7">
        <v>0</v>
      </c>
      <c r="AE291" s="7">
        <v>0</v>
      </c>
      <c r="AF291" s="3" t="s">
        <v>48</v>
      </c>
      <c r="AG291" s="7">
        <v>2023</v>
      </c>
      <c r="AH291" s="3" t="s">
        <v>276</v>
      </c>
      <c r="AI291" s="3" t="s">
        <v>191</v>
      </c>
      <c r="AJ291" s="3" t="s">
        <v>186</v>
      </c>
      <c r="AK291" s="3" t="s">
        <v>1283</v>
      </c>
      <c r="AL291" s="3" t="s">
        <v>59</v>
      </c>
      <c r="AM291" s="3" t="s">
        <v>60</v>
      </c>
      <c r="AN291" s="3" t="s">
        <v>61</v>
      </c>
      <c r="AO291" s="3" t="s">
        <v>62</v>
      </c>
      <c r="AP291" s="3" t="s">
        <v>69</v>
      </c>
      <c r="AQ291" s="3" t="s">
        <v>61</v>
      </c>
      <c r="AR291" s="3" t="s">
        <v>48</v>
      </c>
    </row>
    <row r="292" spans="1:44" ht="30" customHeight="1">
      <c r="A292" s="3" t="s">
        <v>44</v>
      </c>
      <c r="B292" s="3" t="s">
        <v>45</v>
      </c>
      <c r="C292" s="3" t="s">
        <v>80</v>
      </c>
      <c r="D292" s="3" t="s">
        <v>81</v>
      </c>
      <c r="E292" s="3" t="s">
        <v>48</v>
      </c>
      <c r="F292" s="3" t="s">
        <v>81</v>
      </c>
      <c r="G292" s="3" t="s">
        <v>2373</v>
      </c>
      <c r="H292" s="4">
        <f>IF(DATEDIF(L292,S292,"m")&gt;12,DATEDIF(L292,S292,"y"),(DATEDIF(L292,S292,"m")/12))</f>
        <v>75</v>
      </c>
      <c r="I292" s="7">
        <f>DATEDIF(L292,S292,"M")</f>
        <v>910</v>
      </c>
      <c r="J292" s="7">
        <f>DATEDIF(L292,S292,"D")</f>
        <v>27712</v>
      </c>
      <c r="K292" s="3" t="s">
        <v>51</v>
      </c>
      <c r="L292" s="8">
        <v>17249</v>
      </c>
      <c r="M292" s="3" t="s">
        <v>45</v>
      </c>
      <c r="N292" s="3" t="s">
        <v>65</v>
      </c>
      <c r="O292" s="3" t="s">
        <v>52</v>
      </c>
      <c r="P292" s="3" t="s">
        <v>84</v>
      </c>
      <c r="Q292" s="7">
        <v>1</v>
      </c>
      <c r="R292" s="8">
        <v>44961</v>
      </c>
      <c r="S292" s="8">
        <v>44961</v>
      </c>
      <c r="T292" s="3" t="s">
        <v>54</v>
      </c>
      <c r="U292" s="3" t="s">
        <v>55</v>
      </c>
      <c r="V292" s="9"/>
      <c r="W292" s="10">
        <v>44963</v>
      </c>
      <c r="X292" s="7">
        <v>2</v>
      </c>
      <c r="Y292" s="7">
        <v>0</v>
      </c>
      <c r="Z292" s="7">
        <v>2</v>
      </c>
      <c r="AA292" s="7">
        <f>INT((S292-DATE(YEAR(S292-WEEKDAY(S292-0)+4),1,4)+WEEKDAY(DATE(YEAR(S292-WEEKDAY(S292-0)+4),1,4))+6)/7)</f>
        <v>5</v>
      </c>
      <c r="AB292" s="3" t="s">
        <v>2374</v>
      </c>
      <c r="AC292" s="7">
        <v>13922</v>
      </c>
      <c r="AD292" s="7">
        <v>0</v>
      </c>
      <c r="AE292" s="7">
        <v>0</v>
      </c>
      <c r="AF292" s="3" t="s">
        <v>48</v>
      </c>
      <c r="AG292" s="7">
        <v>2023</v>
      </c>
      <c r="AH292" s="3" t="s">
        <v>86</v>
      </c>
      <c r="AI292" s="3" t="s">
        <v>48</v>
      </c>
      <c r="AJ292" s="3" t="s">
        <v>48</v>
      </c>
      <c r="AK292" s="3" t="s">
        <v>903</v>
      </c>
      <c r="AL292" s="3" t="s">
        <v>59</v>
      </c>
      <c r="AM292" s="3" t="s">
        <v>60</v>
      </c>
      <c r="AN292" s="3" t="s">
        <v>69</v>
      </c>
      <c r="AO292" s="3" t="s">
        <v>62</v>
      </c>
      <c r="AP292" s="3" t="s">
        <v>69</v>
      </c>
      <c r="AQ292" s="3" t="s">
        <v>61</v>
      </c>
      <c r="AR292" s="3" t="s">
        <v>48</v>
      </c>
    </row>
    <row r="293" spans="1:44" ht="30" customHeight="1">
      <c r="A293" s="3" t="s">
        <v>44</v>
      </c>
      <c r="B293" s="3" t="s">
        <v>45</v>
      </c>
      <c r="C293" s="3" t="s">
        <v>46</v>
      </c>
      <c r="D293" s="3" t="s">
        <v>100</v>
      </c>
      <c r="E293" s="3" t="s">
        <v>48</v>
      </c>
      <c r="F293" s="3" t="s">
        <v>101</v>
      </c>
      <c r="G293" s="3" t="s">
        <v>102</v>
      </c>
      <c r="H293" s="4">
        <f>IF(DATEDIF(L293,S293,"m")&gt;12,DATEDIF(L293,S293,"y"),(DATEDIF(L293,S293,"m")/12))</f>
        <v>1</v>
      </c>
      <c r="I293" s="7">
        <f>DATEDIF(L293,S293,"M")</f>
        <v>16</v>
      </c>
      <c r="J293" s="7">
        <f>DATEDIF(L293,S293,"D")</f>
        <v>495</v>
      </c>
      <c r="K293" s="3" t="s">
        <v>51</v>
      </c>
      <c r="L293" s="8">
        <v>44453</v>
      </c>
      <c r="M293" s="3" t="s">
        <v>45</v>
      </c>
      <c r="N293" s="3" t="s">
        <v>101</v>
      </c>
      <c r="O293" s="3" t="s">
        <v>52</v>
      </c>
      <c r="P293" s="3" t="s">
        <v>103</v>
      </c>
      <c r="Q293" s="7">
        <v>0</v>
      </c>
      <c r="R293" s="8">
        <v>44951</v>
      </c>
      <c r="S293" s="8">
        <v>44948</v>
      </c>
      <c r="T293" s="3" t="s">
        <v>54</v>
      </c>
      <c r="U293" s="3" t="s">
        <v>55</v>
      </c>
      <c r="V293" s="9"/>
      <c r="W293" s="10">
        <v>44964</v>
      </c>
      <c r="X293" s="7">
        <v>13</v>
      </c>
      <c r="Y293" s="7">
        <v>3</v>
      </c>
      <c r="Z293" s="7">
        <v>1</v>
      </c>
      <c r="AA293" s="7">
        <f>INT((S293-DATE(YEAR(S293-WEEKDAY(S293-0)+4),1,4)+WEEKDAY(DATE(YEAR(S293-WEEKDAY(S293-0)+4),1,4))+6)/7)</f>
        <v>4</v>
      </c>
      <c r="AB293" s="3" t="s">
        <v>104</v>
      </c>
      <c r="AC293" s="7">
        <v>75</v>
      </c>
      <c r="AD293" s="7">
        <v>0</v>
      </c>
      <c r="AE293" s="7">
        <v>0</v>
      </c>
      <c r="AF293" s="3" t="s">
        <v>48</v>
      </c>
      <c r="AG293" s="7">
        <v>2023</v>
      </c>
      <c r="AH293" s="18" t="s">
        <v>105</v>
      </c>
      <c r="AI293" s="3" t="s">
        <v>106</v>
      </c>
      <c r="AJ293" s="3" t="s">
        <v>100</v>
      </c>
      <c r="AK293" s="3" t="s">
        <v>107</v>
      </c>
      <c r="AL293" s="3" t="s">
        <v>59</v>
      </c>
      <c r="AM293" s="3" t="s">
        <v>99</v>
      </c>
      <c r="AN293" s="3" t="s">
        <v>61</v>
      </c>
      <c r="AO293" s="3" t="s">
        <v>62</v>
      </c>
      <c r="AP293" s="3" t="s">
        <v>69</v>
      </c>
      <c r="AQ293" s="3" t="s">
        <v>61</v>
      </c>
      <c r="AR293" s="3" t="s">
        <v>48</v>
      </c>
    </row>
    <row r="294" spans="1:44" ht="30" customHeight="1">
      <c r="A294" s="3" t="s">
        <v>44</v>
      </c>
      <c r="B294" s="3" t="s">
        <v>45</v>
      </c>
      <c r="C294" s="3" t="s">
        <v>46</v>
      </c>
      <c r="D294" s="3" t="s">
        <v>100</v>
      </c>
      <c r="E294" s="3" t="s">
        <v>48</v>
      </c>
      <c r="F294" s="3" t="s">
        <v>48</v>
      </c>
      <c r="G294" s="3" t="s">
        <v>48</v>
      </c>
      <c r="H294" s="4">
        <f>IF(DATEDIF(L294,S294,"m")&gt;12,DATEDIF(L294,S294,"y"),(DATEDIF(L294,S294,"m")/12))</f>
        <v>11</v>
      </c>
      <c r="I294" s="7">
        <f>DATEDIF(L294,S294,"M")</f>
        <v>133</v>
      </c>
      <c r="J294" s="7">
        <f>DATEDIF(L294,S294,"D")</f>
        <v>4057</v>
      </c>
      <c r="K294" s="3" t="s">
        <v>64</v>
      </c>
      <c r="L294" s="8">
        <v>40894</v>
      </c>
      <c r="M294" s="3" t="s">
        <v>45</v>
      </c>
      <c r="N294" s="3" t="s">
        <v>101</v>
      </c>
      <c r="O294" s="3" t="s">
        <v>52</v>
      </c>
      <c r="P294" s="3" t="s">
        <v>269</v>
      </c>
      <c r="Q294" s="7">
        <v>1</v>
      </c>
      <c r="R294" s="8">
        <v>44955</v>
      </c>
      <c r="S294" s="8">
        <v>44951</v>
      </c>
      <c r="T294" s="3" t="s">
        <v>54</v>
      </c>
      <c r="U294" s="3" t="s">
        <v>55</v>
      </c>
      <c r="V294" s="9"/>
      <c r="W294" s="10">
        <v>44964</v>
      </c>
      <c r="X294" s="7">
        <v>9</v>
      </c>
      <c r="Y294" s="7">
        <v>4</v>
      </c>
      <c r="Z294" s="7">
        <v>1</v>
      </c>
      <c r="AA294" s="7">
        <f>INT((S294-DATE(YEAR(S294-WEEKDAY(S294-0)+4),1,4)+WEEKDAY(DATE(YEAR(S294-WEEKDAY(S294-0)+4),1,4))+6)/7)</f>
        <v>4</v>
      </c>
      <c r="AB294" s="3" t="s">
        <v>270</v>
      </c>
      <c r="AC294" s="7">
        <v>90</v>
      </c>
      <c r="AD294" s="7">
        <v>0</v>
      </c>
      <c r="AE294" s="7">
        <v>0</v>
      </c>
      <c r="AF294" s="3" t="s">
        <v>48</v>
      </c>
      <c r="AG294" s="7">
        <v>2023</v>
      </c>
      <c r="AH294" s="3" t="s">
        <v>223</v>
      </c>
      <c r="AI294" s="3" t="s">
        <v>106</v>
      </c>
      <c r="AJ294" s="3" t="s">
        <v>100</v>
      </c>
      <c r="AK294" s="3" t="s">
        <v>162</v>
      </c>
      <c r="AL294" s="3" t="s">
        <v>59</v>
      </c>
      <c r="AM294" s="3" t="s">
        <v>99</v>
      </c>
      <c r="AN294" s="3" t="s">
        <v>61</v>
      </c>
      <c r="AO294" s="3" t="s">
        <v>62</v>
      </c>
      <c r="AP294" s="3" t="s">
        <v>69</v>
      </c>
      <c r="AQ294" s="3" t="s">
        <v>61</v>
      </c>
      <c r="AR294" s="3" t="s">
        <v>48</v>
      </c>
    </row>
    <row r="295" spans="1:44" ht="30" customHeight="1">
      <c r="A295" s="3" t="s">
        <v>44</v>
      </c>
      <c r="B295" s="3" t="s">
        <v>45</v>
      </c>
      <c r="C295" s="3" t="s">
        <v>46</v>
      </c>
      <c r="D295" s="3" t="s">
        <v>100</v>
      </c>
      <c r="E295" s="3" t="s">
        <v>48</v>
      </c>
      <c r="F295" s="3" t="s">
        <v>101</v>
      </c>
      <c r="G295" s="3" t="s">
        <v>624</v>
      </c>
      <c r="H295" s="4">
        <f>IF(DATEDIF(L295,S295,"m")&gt;12,DATEDIF(L295,S295,"y"),(DATEDIF(L295,S295,"m")/12))</f>
        <v>1</v>
      </c>
      <c r="I295" s="7">
        <f>DATEDIF(L295,S295,"M")</f>
        <v>14</v>
      </c>
      <c r="J295" s="7">
        <f>DATEDIF(L295,S295,"D")</f>
        <v>437</v>
      </c>
      <c r="K295" s="3" t="s">
        <v>64</v>
      </c>
      <c r="L295" s="8">
        <v>44520</v>
      </c>
      <c r="M295" s="3" t="s">
        <v>45</v>
      </c>
      <c r="N295" s="3" t="s">
        <v>65</v>
      </c>
      <c r="O295" s="3" t="s">
        <v>52</v>
      </c>
      <c r="P295" s="3" t="s">
        <v>625</v>
      </c>
      <c r="Q295" s="7">
        <v>0</v>
      </c>
      <c r="R295" s="8">
        <v>44960</v>
      </c>
      <c r="S295" s="8">
        <v>44957</v>
      </c>
      <c r="T295" s="3" t="s">
        <v>54</v>
      </c>
      <c r="U295" s="3" t="s">
        <v>55</v>
      </c>
      <c r="V295" s="9"/>
      <c r="W295" s="10">
        <v>44964</v>
      </c>
      <c r="X295" s="7">
        <v>4</v>
      </c>
      <c r="Y295" s="7">
        <v>3</v>
      </c>
      <c r="Z295" s="7">
        <v>1</v>
      </c>
      <c r="AA295" s="7">
        <f>INT((S295-DATE(YEAR(S295-WEEKDAY(S295-0)+4),1,4)+WEEKDAY(DATE(YEAR(S295-WEEKDAY(S295-0)+4),1,4))+6)/7)</f>
        <v>5</v>
      </c>
      <c r="AB295" s="3" t="s">
        <v>626</v>
      </c>
      <c r="AC295" s="7">
        <v>86</v>
      </c>
      <c r="AD295" s="7">
        <v>0</v>
      </c>
      <c r="AE295" s="7">
        <v>0</v>
      </c>
      <c r="AF295" s="3" t="s">
        <v>48</v>
      </c>
      <c r="AG295" s="7">
        <v>2023</v>
      </c>
      <c r="AH295" s="3" t="s">
        <v>105</v>
      </c>
      <c r="AI295" s="3" t="s">
        <v>106</v>
      </c>
      <c r="AJ295" s="3" t="s">
        <v>252</v>
      </c>
      <c r="AK295" s="3" t="s">
        <v>162</v>
      </c>
      <c r="AL295" s="3" t="s">
        <v>59</v>
      </c>
      <c r="AM295" s="3" t="s">
        <v>99</v>
      </c>
      <c r="AN295" s="3" t="s">
        <v>61</v>
      </c>
      <c r="AO295" s="3" t="s">
        <v>62</v>
      </c>
      <c r="AP295" s="3" t="s">
        <v>69</v>
      </c>
      <c r="AQ295" s="3" t="s">
        <v>61</v>
      </c>
      <c r="AR295" s="3" t="s">
        <v>48</v>
      </c>
    </row>
    <row r="296" spans="1:44" ht="30" customHeight="1">
      <c r="A296" s="3" t="s">
        <v>44</v>
      </c>
      <c r="B296" s="3" t="s">
        <v>45</v>
      </c>
      <c r="C296" s="3" t="s">
        <v>46</v>
      </c>
      <c r="D296" s="3" t="s">
        <v>100</v>
      </c>
      <c r="E296" s="3" t="s">
        <v>48</v>
      </c>
      <c r="F296" s="3" t="s">
        <v>101</v>
      </c>
      <c r="G296" s="3" t="s">
        <v>633</v>
      </c>
      <c r="H296" s="4">
        <f>IF(DATEDIF(L296,S296,"m")&gt;12,DATEDIF(L296,S296,"y"),(DATEDIF(L296,S296,"m")/12))</f>
        <v>36</v>
      </c>
      <c r="I296" s="7">
        <f>DATEDIF(L296,S296,"M")</f>
        <v>435</v>
      </c>
      <c r="J296" s="7">
        <f>DATEDIF(L296,S296,"D")</f>
        <v>13248</v>
      </c>
      <c r="K296" s="3" t="s">
        <v>64</v>
      </c>
      <c r="L296" s="8">
        <v>31711</v>
      </c>
      <c r="M296" s="3" t="s">
        <v>45</v>
      </c>
      <c r="N296" s="3" t="s">
        <v>65</v>
      </c>
      <c r="O296" s="3" t="s">
        <v>52</v>
      </c>
      <c r="P296" s="3" t="s">
        <v>137</v>
      </c>
      <c r="Q296" s="7">
        <v>0</v>
      </c>
      <c r="R296" s="8">
        <v>44961</v>
      </c>
      <c r="S296" s="8">
        <v>44959</v>
      </c>
      <c r="T296" s="3" t="s">
        <v>54</v>
      </c>
      <c r="U296" s="3" t="s">
        <v>55</v>
      </c>
      <c r="V296" s="9"/>
      <c r="W296" s="10">
        <v>44964</v>
      </c>
      <c r="X296" s="7">
        <v>3</v>
      </c>
      <c r="Y296" s="7">
        <v>2</v>
      </c>
      <c r="Z296" s="7">
        <v>2</v>
      </c>
      <c r="AA296" s="7">
        <f>INT((S296-DATE(YEAR(S296-WEEKDAY(S296-0)+4),1,4)+WEEKDAY(DATE(YEAR(S296-WEEKDAY(S296-0)+4),1,4))+6)/7)</f>
        <v>5</v>
      </c>
      <c r="AB296" s="3" t="s">
        <v>634</v>
      </c>
      <c r="AC296" s="7">
        <v>87</v>
      </c>
      <c r="AD296" s="7">
        <v>0</v>
      </c>
      <c r="AE296" s="7">
        <v>0</v>
      </c>
      <c r="AF296" s="3" t="s">
        <v>48</v>
      </c>
      <c r="AG296" s="7">
        <v>2023</v>
      </c>
      <c r="AH296" s="3" t="s">
        <v>105</v>
      </c>
      <c r="AI296" s="3" t="s">
        <v>106</v>
      </c>
      <c r="AJ296" s="3" t="s">
        <v>252</v>
      </c>
      <c r="AK296" s="3" t="s">
        <v>404</v>
      </c>
      <c r="AL296" s="3" t="s">
        <v>59</v>
      </c>
      <c r="AM296" s="3" t="s">
        <v>99</v>
      </c>
      <c r="AN296" s="3" t="s">
        <v>61</v>
      </c>
      <c r="AO296" s="3" t="s">
        <v>62</v>
      </c>
      <c r="AP296" s="3" t="s">
        <v>69</v>
      </c>
      <c r="AQ296" s="3" t="s">
        <v>61</v>
      </c>
      <c r="AR296" s="3" t="s">
        <v>48</v>
      </c>
    </row>
    <row r="297" spans="1:44" ht="30" customHeight="1">
      <c r="A297" s="3" t="s">
        <v>44</v>
      </c>
      <c r="B297" s="3" t="s">
        <v>45</v>
      </c>
      <c r="C297" s="3" t="s">
        <v>46</v>
      </c>
      <c r="D297" s="3" t="s">
        <v>100</v>
      </c>
      <c r="E297" s="3" t="s">
        <v>48</v>
      </c>
      <c r="F297" s="3" t="s">
        <v>101</v>
      </c>
      <c r="G297" s="3" t="s">
        <v>694</v>
      </c>
      <c r="H297" s="5">
        <f>IF(DATEDIF(L297,S297,"m")&gt;12,DATEDIF(L297,S297,"y"),(DATEDIF(L297,S297,"m")/12))</f>
        <v>0.25</v>
      </c>
      <c r="I297" s="7">
        <f>DATEDIF(L297,S297,"M")</f>
        <v>3</v>
      </c>
      <c r="J297" s="7">
        <f>DATEDIF(L297,S297,"D")</f>
        <v>120</v>
      </c>
      <c r="K297" s="3" t="s">
        <v>64</v>
      </c>
      <c r="L297" s="8">
        <v>44826</v>
      </c>
      <c r="M297" s="3" t="s">
        <v>45</v>
      </c>
      <c r="N297" s="3" t="s">
        <v>101</v>
      </c>
      <c r="O297" s="3" t="s">
        <v>52</v>
      </c>
      <c r="P297" s="3" t="s">
        <v>91</v>
      </c>
      <c r="Q297" s="7">
        <v>0</v>
      </c>
      <c r="R297" s="8">
        <v>44956</v>
      </c>
      <c r="S297" s="8">
        <v>44946</v>
      </c>
      <c r="T297" s="3" t="s">
        <v>54</v>
      </c>
      <c r="U297" s="3" t="s">
        <v>55</v>
      </c>
      <c r="V297" s="9"/>
      <c r="W297" s="10">
        <v>44964</v>
      </c>
      <c r="X297" s="7">
        <v>8</v>
      </c>
      <c r="Y297" s="7">
        <v>10</v>
      </c>
      <c r="Z297" s="7">
        <v>1</v>
      </c>
      <c r="AA297" s="7">
        <f>INT((S297-DATE(YEAR(S297-WEEKDAY(S297-0)+4),1,4)+WEEKDAY(DATE(YEAR(S297-WEEKDAY(S297-0)+4),1,4))+6)/7)</f>
        <v>3</v>
      </c>
      <c r="AB297" s="3" t="s">
        <v>695</v>
      </c>
      <c r="AC297" s="7">
        <v>93</v>
      </c>
      <c r="AD297" s="7">
        <v>0</v>
      </c>
      <c r="AE297" s="7">
        <v>0</v>
      </c>
      <c r="AF297" s="3" t="s">
        <v>48</v>
      </c>
      <c r="AG297" s="7">
        <v>2023</v>
      </c>
      <c r="AH297" s="3" t="s">
        <v>105</v>
      </c>
      <c r="AI297" s="3" t="s">
        <v>106</v>
      </c>
      <c r="AJ297" s="3" t="s">
        <v>100</v>
      </c>
      <c r="AK297" s="3" t="s">
        <v>162</v>
      </c>
      <c r="AL297" s="3" t="s">
        <v>59</v>
      </c>
      <c r="AM297" s="3" t="s">
        <v>99</v>
      </c>
      <c r="AN297" s="3" t="s">
        <v>61</v>
      </c>
      <c r="AO297" s="3" t="s">
        <v>62</v>
      </c>
      <c r="AP297" s="3" t="s">
        <v>69</v>
      </c>
      <c r="AQ297" s="3" t="s">
        <v>61</v>
      </c>
      <c r="AR297" s="3" t="s">
        <v>48</v>
      </c>
    </row>
    <row r="298" spans="1:44" ht="30" customHeight="1">
      <c r="A298" s="3" t="s">
        <v>44</v>
      </c>
      <c r="B298" s="3" t="s">
        <v>45</v>
      </c>
      <c r="C298" s="3" t="s">
        <v>46</v>
      </c>
      <c r="D298" s="3" t="s">
        <v>100</v>
      </c>
      <c r="E298" s="3" t="s">
        <v>48</v>
      </c>
      <c r="F298" s="3" t="s">
        <v>101</v>
      </c>
      <c r="G298" s="3" t="s">
        <v>702</v>
      </c>
      <c r="H298" s="5">
        <f>IF(DATEDIF(L298,S298,"m")&gt;12,DATEDIF(L298,S298,"y"),(DATEDIF(L298,S298,"m")/12))</f>
        <v>0.66666666666666663</v>
      </c>
      <c r="I298" s="7">
        <f>DATEDIF(L298,S298,"M")</f>
        <v>8</v>
      </c>
      <c r="J298" s="7">
        <f>DATEDIF(L298,S298,"D")</f>
        <v>256</v>
      </c>
      <c r="K298" s="3" t="s">
        <v>64</v>
      </c>
      <c r="L298" s="8">
        <v>44703</v>
      </c>
      <c r="M298" s="3" t="s">
        <v>45</v>
      </c>
      <c r="N298" s="3" t="s">
        <v>65</v>
      </c>
      <c r="O298" s="3" t="s">
        <v>52</v>
      </c>
      <c r="P298" s="3" t="s">
        <v>325</v>
      </c>
      <c r="Q298" s="7">
        <v>0</v>
      </c>
      <c r="R298" s="8">
        <v>44962</v>
      </c>
      <c r="S298" s="8">
        <v>44959</v>
      </c>
      <c r="T298" s="3" t="s">
        <v>54</v>
      </c>
      <c r="U298" s="3" t="s">
        <v>55</v>
      </c>
      <c r="V298" s="9"/>
      <c r="W298" s="10">
        <v>44964</v>
      </c>
      <c r="X298" s="7">
        <v>2</v>
      </c>
      <c r="Y298" s="7">
        <v>3</v>
      </c>
      <c r="Z298" s="7">
        <v>2</v>
      </c>
      <c r="AA298" s="7">
        <f>INT((S298-DATE(YEAR(S298-WEEKDAY(S298-0)+4),1,4)+WEEKDAY(DATE(YEAR(S298-WEEKDAY(S298-0)+4),1,4))+6)/7)</f>
        <v>5</v>
      </c>
      <c r="AB298" s="3" t="s">
        <v>703</v>
      </c>
      <c r="AC298" s="7">
        <v>97</v>
      </c>
      <c r="AD298" s="7">
        <v>0</v>
      </c>
      <c r="AE298" s="7">
        <v>0</v>
      </c>
      <c r="AF298" s="3" t="s">
        <v>48</v>
      </c>
      <c r="AG298" s="7">
        <v>2023</v>
      </c>
      <c r="AH298" s="3" t="s">
        <v>105</v>
      </c>
      <c r="AI298" s="3" t="s">
        <v>106</v>
      </c>
      <c r="AJ298" s="3" t="s">
        <v>252</v>
      </c>
      <c r="AK298" s="3" t="s">
        <v>704</v>
      </c>
      <c r="AL298" s="3" t="s">
        <v>59</v>
      </c>
      <c r="AM298" s="3" t="s">
        <v>99</v>
      </c>
      <c r="AN298" s="3" t="s">
        <v>61</v>
      </c>
      <c r="AO298" s="3" t="s">
        <v>62</v>
      </c>
      <c r="AP298" s="3" t="s">
        <v>69</v>
      </c>
      <c r="AQ298" s="3" t="s">
        <v>61</v>
      </c>
      <c r="AR298" s="3" t="s">
        <v>48</v>
      </c>
    </row>
    <row r="299" spans="1:44" ht="30" customHeight="1">
      <c r="A299" s="3" t="s">
        <v>44</v>
      </c>
      <c r="B299" s="3" t="s">
        <v>45</v>
      </c>
      <c r="C299" s="3" t="s">
        <v>46</v>
      </c>
      <c r="D299" s="3" t="s">
        <v>100</v>
      </c>
      <c r="E299" s="3" t="s">
        <v>48</v>
      </c>
      <c r="F299" s="3" t="s">
        <v>101</v>
      </c>
      <c r="G299" s="3" t="s">
        <v>769</v>
      </c>
      <c r="H299" s="4">
        <f>IF(DATEDIF(L299,S299,"m")&gt;12,DATEDIF(L299,S299,"y"),(DATEDIF(L299,S299,"m")/12))</f>
        <v>33</v>
      </c>
      <c r="I299" s="7">
        <f>DATEDIF(L299,S299,"M")</f>
        <v>407</v>
      </c>
      <c r="J299" s="7">
        <f>DATEDIF(L299,S299,"D")</f>
        <v>12404</v>
      </c>
      <c r="K299" s="3" t="s">
        <v>64</v>
      </c>
      <c r="L299" s="8">
        <v>32540</v>
      </c>
      <c r="M299" s="3" t="s">
        <v>45</v>
      </c>
      <c r="N299" s="3" t="s">
        <v>101</v>
      </c>
      <c r="O299" s="3" t="s">
        <v>52</v>
      </c>
      <c r="P299" s="3" t="s">
        <v>176</v>
      </c>
      <c r="Q299" s="7">
        <v>0</v>
      </c>
      <c r="R299" s="8">
        <v>44961</v>
      </c>
      <c r="S299" s="8">
        <v>44944</v>
      </c>
      <c r="T299" s="3" t="s">
        <v>54</v>
      </c>
      <c r="U299" s="3" t="s">
        <v>55</v>
      </c>
      <c r="V299" s="9"/>
      <c r="W299" s="10">
        <v>44964</v>
      </c>
      <c r="X299" s="7">
        <v>3</v>
      </c>
      <c r="Y299" s="7">
        <v>17</v>
      </c>
      <c r="Z299" s="7">
        <v>1</v>
      </c>
      <c r="AA299" s="7">
        <f>INT((S299-DATE(YEAR(S299-WEEKDAY(S299-0)+4),1,4)+WEEKDAY(DATE(YEAR(S299-WEEKDAY(S299-0)+4),1,4))+6)/7)</f>
        <v>3</v>
      </c>
      <c r="AB299" s="3" t="s">
        <v>770</v>
      </c>
      <c r="AC299" s="7">
        <v>96</v>
      </c>
      <c r="AD299" s="7">
        <v>0</v>
      </c>
      <c r="AE299" s="7">
        <v>0</v>
      </c>
      <c r="AF299" s="3" t="s">
        <v>48</v>
      </c>
      <c r="AG299" s="7">
        <v>2023</v>
      </c>
      <c r="AH299" s="3" t="s">
        <v>105</v>
      </c>
      <c r="AI299" s="3" t="s">
        <v>106</v>
      </c>
      <c r="AJ299" s="3" t="s">
        <v>100</v>
      </c>
      <c r="AK299" s="3" t="s">
        <v>162</v>
      </c>
      <c r="AL299" s="3" t="s">
        <v>59</v>
      </c>
      <c r="AM299" s="3" t="s">
        <v>99</v>
      </c>
      <c r="AN299" s="3" t="s">
        <v>61</v>
      </c>
      <c r="AO299" s="3" t="s">
        <v>62</v>
      </c>
      <c r="AP299" s="3" t="s">
        <v>69</v>
      </c>
      <c r="AQ299" s="3" t="s">
        <v>61</v>
      </c>
      <c r="AR299" s="3" t="s">
        <v>48</v>
      </c>
    </row>
    <row r="300" spans="1:44" ht="30" customHeight="1">
      <c r="A300" s="3" t="s">
        <v>44</v>
      </c>
      <c r="B300" s="3" t="s">
        <v>45</v>
      </c>
      <c r="C300" s="3" t="s">
        <v>46</v>
      </c>
      <c r="D300" s="3" t="s">
        <v>100</v>
      </c>
      <c r="E300" s="3" t="s">
        <v>48</v>
      </c>
      <c r="F300" s="3" t="s">
        <v>48</v>
      </c>
      <c r="G300" s="3" t="s">
        <v>861</v>
      </c>
      <c r="H300" s="4">
        <f>IF(DATEDIF(L300,S300,"m")&gt;12,DATEDIF(L300,S300,"y"),(DATEDIF(L300,S300,"m")/12))</f>
        <v>11</v>
      </c>
      <c r="I300" s="7">
        <f>DATEDIF(L300,S300,"M")</f>
        <v>133</v>
      </c>
      <c r="J300" s="7">
        <f>DATEDIF(L300,S300,"D")</f>
        <v>4057</v>
      </c>
      <c r="K300" s="3" t="s">
        <v>64</v>
      </c>
      <c r="L300" s="21">
        <v>40894</v>
      </c>
      <c r="M300" s="3" t="s">
        <v>45</v>
      </c>
      <c r="N300" s="3" t="s">
        <v>101</v>
      </c>
      <c r="O300" s="3" t="s">
        <v>52</v>
      </c>
      <c r="P300" s="3" t="s">
        <v>269</v>
      </c>
      <c r="Q300" s="7">
        <v>1</v>
      </c>
      <c r="R300" s="8">
        <v>44955</v>
      </c>
      <c r="S300" s="8">
        <v>44951</v>
      </c>
      <c r="T300" s="3" t="s">
        <v>54</v>
      </c>
      <c r="U300" s="3" t="s">
        <v>55</v>
      </c>
      <c r="V300" s="9"/>
      <c r="W300" s="10">
        <v>44964</v>
      </c>
      <c r="X300" s="7">
        <v>9</v>
      </c>
      <c r="Y300" s="7">
        <v>4</v>
      </c>
      <c r="Z300" s="7">
        <v>1</v>
      </c>
      <c r="AA300" s="7">
        <f>INT((S300-DATE(YEAR(S300-WEEKDAY(S300-0)+4),1,4)+WEEKDAY(DATE(YEAR(S300-WEEKDAY(S300-0)+4),1,4))+6)/7)</f>
        <v>4</v>
      </c>
      <c r="AB300" s="3" t="s">
        <v>862</v>
      </c>
      <c r="AC300" s="7">
        <v>89</v>
      </c>
      <c r="AD300" s="7">
        <v>0</v>
      </c>
      <c r="AE300" s="7">
        <v>0</v>
      </c>
      <c r="AF300" s="3" t="s">
        <v>48</v>
      </c>
      <c r="AG300" s="7">
        <v>2023</v>
      </c>
      <c r="AH300" s="3" t="s">
        <v>223</v>
      </c>
      <c r="AI300" s="3" t="s">
        <v>106</v>
      </c>
      <c r="AJ300" s="3" t="s">
        <v>100</v>
      </c>
      <c r="AK300" s="3" t="s">
        <v>162</v>
      </c>
      <c r="AL300" s="3" t="s">
        <v>59</v>
      </c>
      <c r="AM300" s="3" t="s">
        <v>99</v>
      </c>
      <c r="AN300" s="3" t="s">
        <v>61</v>
      </c>
      <c r="AO300" s="3" t="s">
        <v>62</v>
      </c>
      <c r="AP300" s="3" t="s">
        <v>69</v>
      </c>
      <c r="AQ300" s="3" t="s">
        <v>61</v>
      </c>
      <c r="AR300" s="3" t="s">
        <v>48</v>
      </c>
    </row>
    <row r="301" spans="1:44" ht="30" customHeight="1">
      <c r="A301" s="3" t="s">
        <v>44</v>
      </c>
      <c r="B301" s="3" t="s">
        <v>45</v>
      </c>
      <c r="C301" s="3" t="s">
        <v>46</v>
      </c>
      <c r="D301" s="3" t="s">
        <v>100</v>
      </c>
      <c r="E301" s="3" t="s">
        <v>48</v>
      </c>
      <c r="F301" s="3" t="s">
        <v>101</v>
      </c>
      <c r="G301" s="3" t="s">
        <v>876</v>
      </c>
      <c r="H301" s="4">
        <f>IF(DATEDIF(L301,S301,"m")&gt;12,DATEDIF(L301,S301,"y"),(DATEDIF(L301,S301,"m")/12))</f>
        <v>4</v>
      </c>
      <c r="I301" s="7">
        <f>DATEDIF(L301,S301,"M")</f>
        <v>55</v>
      </c>
      <c r="J301" s="7">
        <f>DATEDIF(L301,S301,"D")</f>
        <v>1686</v>
      </c>
      <c r="K301" s="3" t="s">
        <v>64</v>
      </c>
      <c r="L301" s="8">
        <v>43260</v>
      </c>
      <c r="M301" s="3" t="s">
        <v>45</v>
      </c>
      <c r="N301" s="3" t="s">
        <v>101</v>
      </c>
      <c r="O301" s="3" t="s">
        <v>52</v>
      </c>
      <c r="P301" s="3" t="s">
        <v>325</v>
      </c>
      <c r="Q301" s="7">
        <v>0</v>
      </c>
      <c r="R301" s="8">
        <v>44950</v>
      </c>
      <c r="S301" s="8">
        <v>44946</v>
      </c>
      <c r="T301" s="3" t="s">
        <v>54</v>
      </c>
      <c r="U301" s="3" t="s">
        <v>55</v>
      </c>
      <c r="V301" s="9"/>
      <c r="W301" s="10">
        <v>44964</v>
      </c>
      <c r="X301" s="7">
        <v>14</v>
      </c>
      <c r="Y301" s="7">
        <v>4</v>
      </c>
      <c r="Z301" s="7">
        <v>1</v>
      </c>
      <c r="AA301" s="7">
        <f>INT((S301-DATE(YEAR(S301-WEEKDAY(S301-0)+4),1,4)+WEEKDAY(DATE(YEAR(S301-WEEKDAY(S301-0)+4),1,4))+6)/7)</f>
        <v>3</v>
      </c>
      <c r="AB301" s="3" t="s">
        <v>877</v>
      </c>
      <c r="AC301" s="7">
        <v>83</v>
      </c>
      <c r="AD301" s="7">
        <v>0</v>
      </c>
      <c r="AE301" s="7">
        <v>0</v>
      </c>
      <c r="AF301" s="3" t="s">
        <v>48</v>
      </c>
      <c r="AG301" s="7">
        <v>2023</v>
      </c>
      <c r="AH301" s="3" t="s">
        <v>105</v>
      </c>
      <c r="AI301" s="3" t="s">
        <v>106</v>
      </c>
      <c r="AJ301" s="3" t="s">
        <v>100</v>
      </c>
      <c r="AK301" s="3" t="s">
        <v>865</v>
      </c>
      <c r="AL301" s="3" t="s">
        <v>59</v>
      </c>
      <c r="AM301" s="3" t="s">
        <v>99</v>
      </c>
      <c r="AN301" s="3" t="s">
        <v>61</v>
      </c>
      <c r="AO301" s="3" t="s">
        <v>62</v>
      </c>
      <c r="AP301" s="3" t="s">
        <v>69</v>
      </c>
      <c r="AQ301" s="3" t="s">
        <v>61</v>
      </c>
      <c r="AR301" s="3" t="s">
        <v>48</v>
      </c>
    </row>
    <row r="302" spans="1:44" ht="30" customHeight="1">
      <c r="A302" s="3" t="s">
        <v>44</v>
      </c>
      <c r="B302" s="3" t="s">
        <v>45</v>
      </c>
      <c r="C302" s="3" t="s">
        <v>46</v>
      </c>
      <c r="D302" s="3" t="s">
        <v>100</v>
      </c>
      <c r="E302" s="3" t="s">
        <v>48</v>
      </c>
      <c r="F302" s="3" t="s">
        <v>101</v>
      </c>
      <c r="G302" s="3" t="s">
        <v>904</v>
      </c>
      <c r="H302" s="4">
        <f>IF(DATEDIF(L302,S302,"m")&gt;12,DATEDIF(L302,S302,"y"),(DATEDIF(L302,S302,"m")/12))</f>
        <v>63</v>
      </c>
      <c r="I302" s="7">
        <f>DATEDIF(L302,S302,"M")</f>
        <v>764</v>
      </c>
      <c r="J302" s="7">
        <f>DATEDIF(L302,S302,"D")</f>
        <v>23282</v>
      </c>
      <c r="K302" s="3" t="s">
        <v>51</v>
      </c>
      <c r="L302" s="8">
        <v>21673</v>
      </c>
      <c r="M302" s="3" t="s">
        <v>45</v>
      </c>
      <c r="N302" s="3" t="s">
        <v>101</v>
      </c>
      <c r="O302" s="3" t="s">
        <v>52</v>
      </c>
      <c r="P302" s="3" t="s">
        <v>255</v>
      </c>
      <c r="Q302" s="7">
        <v>0</v>
      </c>
      <c r="R302" s="8">
        <v>44956</v>
      </c>
      <c r="S302" s="8">
        <v>44955</v>
      </c>
      <c r="T302" s="3" t="s">
        <v>54</v>
      </c>
      <c r="U302" s="3" t="s">
        <v>55</v>
      </c>
      <c r="V302" s="9"/>
      <c r="W302" s="10">
        <v>44964</v>
      </c>
      <c r="X302" s="7">
        <v>8</v>
      </c>
      <c r="Y302" s="7">
        <v>3653</v>
      </c>
      <c r="Z302" s="7">
        <v>1</v>
      </c>
      <c r="AA302" s="7">
        <f>INT((S302-DATE(YEAR(S302-WEEKDAY(S302-0)+4),1,4)+WEEKDAY(DATE(YEAR(S302-WEEKDAY(S302-0)+4),1,4))+6)/7)</f>
        <v>5</v>
      </c>
      <c r="AB302" s="3" t="s">
        <v>905</v>
      </c>
      <c r="AC302" s="7">
        <v>92</v>
      </c>
      <c r="AD302" s="7">
        <v>0</v>
      </c>
      <c r="AE302" s="7">
        <v>0</v>
      </c>
      <c r="AF302" s="3" t="s">
        <v>48</v>
      </c>
      <c r="AG302" s="7">
        <v>2023</v>
      </c>
      <c r="AH302" s="3" t="s">
        <v>105</v>
      </c>
      <c r="AI302" s="3" t="s">
        <v>106</v>
      </c>
      <c r="AJ302" s="3" t="s">
        <v>100</v>
      </c>
      <c r="AK302" s="3" t="s">
        <v>906</v>
      </c>
      <c r="AL302" s="3" t="s">
        <v>59</v>
      </c>
      <c r="AM302" s="3" t="s">
        <v>99</v>
      </c>
      <c r="AN302" s="3" t="s">
        <v>61</v>
      </c>
      <c r="AO302" s="3" t="s">
        <v>62</v>
      </c>
      <c r="AP302" s="3" t="s">
        <v>69</v>
      </c>
      <c r="AQ302" s="3" t="s">
        <v>61</v>
      </c>
      <c r="AR302" s="3" t="s">
        <v>48</v>
      </c>
    </row>
    <row r="303" spans="1:44" ht="30" customHeight="1">
      <c r="A303" s="3" t="s">
        <v>44</v>
      </c>
      <c r="B303" s="3" t="s">
        <v>45</v>
      </c>
      <c r="C303" s="3" t="s">
        <v>46</v>
      </c>
      <c r="D303" s="3" t="s">
        <v>100</v>
      </c>
      <c r="E303" s="3" t="s">
        <v>48</v>
      </c>
      <c r="F303" s="3" t="s">
        <v>101</v>
      </c>
      <c r="G303" s="3" t="s">
        <v>1127</v>
      </c>
      <c r="H303" s="4">
        <f>IF(DATEDIF(L303,S303,"m")&gt;12,DATEDIF(L303,S303,"y"),(DATEDIF(L303,S303,"m")/12))</f>
        <v>70</v>
      </c>
      <c r="I303" s="7">
        <f>DATEDIF(L303,S303,"M")</f>
        <v>850</v>
      </c>
      <c r="J303" s="7">
        <f>DATEDIF(L303,S303,"D")</f>
        <v>25876</v>
      </c>
      <c r="K303" s="3" t="s">
        <v>51</v>
      </c>
      <c r="L303" s="8">
        <v>19064</v>
      </c>
      <c r="M303" s="3" t="s">
        <v>45</v>
      </c>
      <c r="N303" s="3" t="s">
        <v>101</v>
      </c>
      <c r="O303" s="3" t="s">
        <v>52</v>
      </c>
      <c r="P303" s="3" t="s">
        <v>398</v>
      </c>
      <c r="Q303" s="7">
        <v>0</v>
      </c>
      <c r="R303" s="8">
        <v>44949</v>
      </c>
      <c r="S303" s="8">
        <v>44940</v>
      </c>
      <c r="T303" s="3" t="s">
        <v>54</v>
      </c>
      <c r="U303" s="3" t="s">
        <v>55</v>
      </c>
      <c r="V303" s="9"/>
      <c r="W303" s="10">
        <v>44964</v>
      </c>
      <c r="X303" s="7">
        <v>15</v>
      </c>
      <c r="Y303" s="7">
        <v>9</v>
      </c>
      <c r="Z303" s="7">
        <v>1</v>
      </c>
      <c r="AA303" s="7">
        <f>INT((S303-DATE(YEAR(S303-WEEKDAY(S303-0)+4),1,4)+WEEKDAY(DATE(YEAR(S303-WEEKDAY(S303-0)+4),1,4))+6)/7)</f>
        <v>2</v>
      </c>
      <c r="AB303" s="3" t="s">
        <v>1128</v>
      </c>
      <c r="AC303" s="7">
        <v>80</v>
      </c>
      <c r="AD303" s="7">
        <v>0</v>
      </c>
      <c r="AE303" s="7">
        <v>0</v>
      </c>
      <c r="AF303" s="3" t="s">
        <v>48</v>
      </c>
      <c r="AG303" s="7">
        <v>2023</v>
      </c>
      <c r="AH303" s="3" t="s">
        <v>105</v>
      </c>
      <c r="AI303" s="3" t="s">
        <v>106</v>
      </c>
      <c r="AJ303" s="3" t="s">
        <v>100</v>
      </c>
      <c r="AK303" s="3" t="s">
        <v>162</v>
      </c>
      <c r="AL303" s="3" t="s">
        <v>59</v>
      </c>
      <c r="AM303" s="3" t="s">
        <v>99</v>
      </c>
      <c r="AN303" s="3" t="s">
        <v>61</v>
      </c>
      <c r="AO303" s="3" t="s">
        <v>62</v>
      </c>
      <c r="AP303" s="3" t="s">
        <v>69</v>
      </c>
      <c r="AQ303" s="3" t="s">
        <v>61</v>
      </c>
      <c r="AR303" s="3" t="s">
        <v>48</v>
      </c>
    </row>
    <row r="304" spans="1:44" ht="30" customHeight="1">
      <c r="A304" s="3" t="s">
        <v>44</v>
      </c>
      <c r="B304" s="3" t="s">
        <v>45</v>
      </c>
      <c r="C304" s="3" t="s">
        <v>46</v>
      </c>
      <c r="D304" s="3" t="s">
        <v>100</v>
      </c>
      <c r="E304" s="3" t="s">
        <v>48</v>
      </c>
      <c r="F304" s="3" t="s">
        <v>101</v>
      </c>
      <c r="G304" s="3" t="s">
        <v>1157</v>
      </c>
      <c r="H304" s="5">
        <f>IF(DATEDIF(L304,S304,"m")&gt;12,DATEDIF(L304,S304,"y"),(DATEDIF(L304,S304,"m")/12))</f>
        <v>0.66666666666666663</v>
      </c>
      <c r="I304" s="7">
        <f>DATEDIF(L304,S304,"M")</f>
        <v>8</v>
      </c>
      <c r="J304" s="7">
        <f>DATEDIF(L304,S304,"D")</f>
        <v>275</v>
      </c>
      <c r="K304" s="3" t="s">
        <v>64</v>
      </c>
      <c r="L304" s="8">
        <v>44683</v>
      </c>
      <c r="M304" s="3" t="s">
        <v>45</v>
      </c>
      <c r="N304" s="3" t="s">
        <v>65</v>
      </c>
      <c r="O304" s="3" t="s">
        <v>52</v>
      </c>
      <c r="P304" s="3" t="s">
        <v>1158</v>
      </c>
      <c r="Q304" s="7">
        <v>0</v>
      </c>
      <c r="R304" s="8">
        <v>44960</v>
      </c>
      <c r="S304" s="8">
        <v>44958</v>
      </c>
      <c r="T304" s="3" t="s">
        <v>54</v>
      </c>
      <c r="U304" s="3" t="s">
        <v>55</v>
      </c>
      <c r="V304" s="9"/>
      <c r="W304" s="10">
        <v>44964</v>
      </c>
      <c r="X304" s="7">
        <v>4</v>
      </c>
      <c r="Y304" s="7">
        <v>2</v>
      </c>
      <c r="Z304" s="7">
        <v>2</v>
      </c>
      <c r="AA304" s="7">
        <f>INT((S304-DATE(YEAR(S304-WEEKDAY(S304-0)+4),1,4)+WEEKDAY(DATE(YEAR(S304-WEEKDAY(S304-0)+4),1,4))+6)/7)</f>
        <v>5</v>
      </c>
      <c r="AB304" s="3" t="s">
        <v>1159</v>
      </c>
      <c r="AC304" s="7">
        <v>85</v>
      </c>
      <c r="AD304" s="7">
        <v>0</v>
      </c>
      <c r="AE304" s="7">
        <v>0</v>
      </c>
      <c r="AF304" s="3" t="s">
        <v>48</v>
      </c>
      <c r="AG304" s="7">
        <v>2023</v>
      </c>
      <c r="AH304" s="3" t="s">
        <v>105</v>
      </c>
      <c r="AI304" s="3" t="s">
        <v>106</v>
      </c>
      <c r="AJ304" s="3" t="s">
        <v>252</v>
      </c>
      <c r="AK304" s="3" t="s">
        <v>300</v>
      </c>
      <c r="AL304" s="3" t="s">
        <v>59</v>
      </c>
      <c r="AM304" s="3" t="s">
        <v>99</v>
      </c>
      <c r="AN304" s="3" t="s">
        <v>61</v>
      </c>
      <c r="AO304" s="3" t="s">
        <v>62</v>
      </c>
      <c r="AP304" s="3" t="s">
        <v>69</v>
      </c>
      <c r="AQ304" s="3" t="s">
        <v>61</v>
      </c>
      <c r="AR304" s="3" t="s">
        <v>48</v>
      </c>
    </row>
    <row r="305" spans="1:44" ht="30" customHeight="1">
      <c r="A305" s="3" t="s">
        <v>44</v>
      </c>
      <c r="B305" s="3" t="s">
        <v>45</v>
      </c>
      <c r="C305" s="3" t="s">
        <v>46</v>
      </c>
      <c r="D305" s="3" t="s">
        <v>100</v>
      </c>
      <c r="E305" s="3" t="s">
        <v>48</v>
      </c>
      <c r="F305" s="3" t="s">
        <v>101</v>
      </c>
      <c r="G305" s="3" t="s">
        <v>1410</v>
      </c>
      <c r="H305" s="4">
        <f>IF(DATEDIF(L305,S305,"m")&gt;12,DATEDIF(L305,S305,"y"),(DATEDIF(L305,S305,"m")/12))</f>
        <v>10</v>
      </c>
      <c r="I305" s="7">
        <f>DATEDIF(L305,S305,"M")</f>
        <v>125</v>
      </c>
      <c r="J305" s="7">
        <f>DATEDIF(L305,S305,"D")</f>
        <v>3826</v>
      </c>
      <c r="K305" s="3" t="s">
        <v>64</v>
      </c>
      <c r="L305" s="8">
        <v>41126</v>
      </c>
      <c r="M305" s="3" t="s">
        <v>45</v>
      </c>
      <c r="N305" s="3" t="s">
        <v>101</v>
      </c>
      <c r="O305" s="3" t="s">
        <v>52</v>
      </c>
      <c r="P305" s="3" t="s">
        <v>156</v>
      </c>
      <c r="Q305" s="7">
        <v>0</v>
      </c>
      <c r="R305" s="8">
        <v>44961</v>
      </c>
      <c r="S305" s="8">
        <v>44952</v>
      </c>
      <c r="T305" s="3" t="s">
        <v>54</v>
      </c>
      <c r="U305" s="3" t="s">
        <v>55</v>
      </c>
      <c r="V305" s="9"/>
      <c r="W305" s="10">
        <v>44964</v>
      </c>
      <c r="X305" s="7">
        <v>3</v>
      </c>
      <c r="Y305" s="7">
        <v>9</v>
      </c>
      <c r="Z305" s="7">
        <v>1</v>
      </c>
      <c r="AA305" s="7">
        <f>INT((S305-DATE(YEAR(S305-WEEKDAY(S305-0)+4),1,4)+WEEKDAY(DATE(YEAR(S305-WEEKDAY(S305-0)+4),1,4))+6)/7)</f>
        <v>4</v>
      </c>
      <c r="AB305" s="3" t="s">
        <v>1411</v>
      </c>
      <c r="AC305" s="7">
        <v>95</v>
      </c>
      <c r="AD305" s="7">
        <v>0</v>
      </c>
      <c r="AE305" s="7">
        <v>0</v>
      </c>
      <c r="AF305" s="3" t="s">
        <v>48</v>
      </c>
      <c r="AG305" s="7">
        <v>2023</v>
      </c>
      <c r="AH305" s="3" t="s">
        <v>105</v>
      </c>
      <c r="AI305" s="3" t="s">
        <v>106</v>
      </c>
      <c r="AJ305" s="3" t="s">
        <v>100</v>
      </c>
      <c r="AK305" s="3" t="s">
        <v>865</v>
      </c>
      <c r="AL305" s="3" t="s">
        <v>59</v>
      </c>
      <c r="AM305" s="3" t="s">
        <v>99</v>
      </c>
      <c r="AN305" s="3" t="s">
        <v>61</v>
      </c>
      <c r="AO305" s="3" t="s">
        <v>62</v>
      </c>
      <c r="AP305" s="3" t="s">
        <v>69</v>
      </c>
      <c r="AQ305" s="3" t="s">
        <v>61</v>
      </c>
      <c r="AR305" s="3" t="s">
        <v>48</v>
      </c>
    </row>
    <row r="306" spans="1:44" ht="30" customHeight="1">
      <c r="A306" s="3" t="s">
        <v>44</v>
      </c>
      <c r="B306" s="3" t="s">
        <v>45</v>
      </c>
      <c r="C306" s="3" t="s">
        <v>46</v>
      </c>
      <c r="D306" s="3" t="s">
        <v>100</v>
      </c>
      <c r="E306" s="3" t="s">
        <v>48</v>
      </c>
      <c r="F306" s="3" t="s">
        <v>101</v>
      </c>
      <c r="G306" s="3" t="s">
        <v>1464</v>
      </c>
      <c r="H306" s="4">
        <f>IF(DATEDIF(L306,S306,"m")&gt;12,DATEDIF(L306,S306,"y"),(DATEDIF(L306,S306,"m")/12))</f>
        <v>9</v>
      </c>
      <c r="I306" s="7">
        <f>DATEDIF(L306,S306,"M")</f>
        <v>115</v>
      </c>
      <c r="J306" s="7">
        <f>DATEDIF(L306,S306,"D")</f>
        <v>3515</v>
      </c>
      <c r="K306" s="3" t="s">
        <v>51</v>
      </c>
      <c r="L306" s="8">
        <v>41443</v>
      </c>
      <c r="M306" s="3" t="s">
        <v>45</v>
      </c>
      <c r="N306" s="3" t="s">
        <v>101</v>
      </c>
      <c r="O306" s="3" t="s">
        <v>52</v>
      </c>
      <c r="P306" s="3" t="s">
        <v>1037</v>
      </c>
      <c r="Q306" s="7">
        <v>0</v>
      </c>
      <c r="R306" s="8">
        <v>44960</v>
      </c>
      <c r="S306" s="8">
        <v>44958</v>
      </c>
      <c r="T306" s="3" t="s">
        <v>54</v>
      </c>
      <c r="U306" s="3" t="s">
        <v>55</v>
      </c>
      <c r="V306" s="9"/>
      <c r="W306" s="10">
        <v>44964</v>
      </c>
      <c r="X306" s="7">
        <v>4</v>
      </c>
      <c r="Y306" s="7">
        <v>2</v>
      </c>
      <c r="Z306" s="7">
        <v>2</v>
      </c>
      <c r="AA306" s="7">
        <f>INT((S306-DATE(YEAR(S306-WEEKDAY(S306-0)+4),1,4)+WEEKDAY(DATE(YEAR(S306-WEEKDAY(S306-0)+4),1,4))+6)/7)</f>
        <v>5</v>
      </c>
      <c r="AB306" s="3" t="s">
        <v>1465</v>
      </c>
      <c r="AC306" s="7">
        <v>84</v>
      </c>
      <c r="AD306" s="7">
        <v>0</v>
      </c>
      <c r="AE306" s="7">
        <v>0</v>
      </c>
      <c r="AF306" s="3" t="s">
        <v>48</v>
      </c>
      <c r="AG306" s="7">
        <v>2023</v>
      </c>
      <c r="AH306" s="3" t="s">
        <v>105</v>
      </c>
      <c r="AI306" s="3" t="s">
        <v>106</v>
      </c>
      <c r="AJ306" s="3" t="s">
        <v>100</v>
      </c>
      <c r="AK306" s="3" t="s">
        <v>162</v>
      </c>
      <c r="AL306" s="3" t="s">
        <v>59</v>
      </c>
      <c r="AM306" s="3" t="s">
        <v>99</v>
      </c>
      <c r="AN306" s="3" t="s">
        <v>61</v>
      </c>
      <c r="AO306" s="3" t="s">
        <v>62</v>
      </c>
      <c r="AP306" s="3" t="s">
        <v>69</v>
      </c>
      <c r="AQ306" s="3" t="s">
        <v>61</v>
      </c>
      <c r="AR306" s="3" t="s">
        <v>48</v>
      </c>
    </row>
    <row r="307" spans="1:44" ht="30" customHeight="1">
      <c r="A307" s="3" t="s">
        <v>44</v>
      </c>
      <c r="B307" s="3" t="s">
        <v>45</v>
      </c>
      <c r="C307" s="3" t="s">
        <v>46</v>
      </c>
      <c r="D307" s="3" t="s">
        <v>100</v>
      </c>
      <c r="E307" s="3" t="s">
        <v>48</v>
      </c>
      <c r="F307" s="3" t="s">
        <v>101</v>
      </c>
      <c r="G307" s="3" t="s">
        <v>1583</v>
      </c>
      <c r="H307" s="4">
        <f>IF(DATEDIF(L307,S307,"m")&gt;12,DATEDIF(L307,S307,"y"),(DATEDIF(L307,S307,"m")/12))</f>
        <v>22</v>
      </c>
      <c r="I307" s="7">
        <f>DATEDIF(L307,S307,"M")</f>
        <v>272</v>
      </c>
      <c r="J307" s="7">
        <f>DATEDIF(L307,S307,"D")</f>
        <v>8281</v>
      </c>
      <c r="K307" s="3" t="s">
        <v>64</v>
      </c>
      <c r="L307" s="8">
        <v>36679</v>
      </c>
      <c r="M307" s="3" t="s">
        <v>45</v>
      </c>
      <c r="N307" s="3" t="s">
        <v>101</v>
      </c>
      <c r="O307" s="3" t="s">
        <v>52</v>
      </c>
      <c r="P307" s="3" t="s">
        <v>91</v>
      </c>
      <c r="Q307" s="7">
        <v>0</v>
      </c>
      <c r="R307" s="8">
        <v>44962</v>
      </c>
      <c r="S307" s="8">
        <v>44960</v>
      </c>
      <c r="T307" s="3" t="s">
        <v>54</v>
      </c>
      <c r="U307" s="3" t="s">
        <v>55</v>
      </c>
      <c r="V307" s="9"/>
      <c r="W307" s="10">
        <v>44964</v>
      </c>
      <c r="X307" s="7">
        <v>2</v>
      </c>
      <c r="Y307" s="7">
        <v>2</v>
      </c>
      <c r="Z307" s="7">
        <v>2</v>
      </c>
      <c r="AA307" s="7">
        <f>INT((S307-DATE(YEAR(S307-WEEKDAY(S307-0)+4),1,4)+WEEKDAY(DATE(YEAR(S307-WEEKDAY(S307-0)+4),1,4))+6)/7)</f>
        <v>5</v>
      </c>
      <c r="AB307" s="3" t="s">
        <v>1584</v>
      </c>
      <c r="AC307" s="7">
        <v>98</v>
      </c>
      <c r="AD307" s="7">
        <v>0</v>
      </c>
      <c r="AE307" s="7">
        <v>0</v>
      </c>
      <c r="AF307" s="3" t="s">
        <v>48</v>
      </c>
      <c r="AG307" s="7">
        <v>2023</v>
      </c>
      <c r="AH307" s="3" t="s">
        <v>105</v>
      </c>
      <c r="AI307" s="3" t="s">
        <v>106</v>
      </c>
      <c r="AJ307" s="3" t="s">
        <v>100</v>
      </c>
      <c r="AK307" s="3" t="s">
        <v>241</v>
      </c>
      <c r="AL307" s="3" t="s">
        <v>59</v>
      </c>
      <c r="AM307" s="3" t="s">
        <v>99</v>
      </c>
      <c r="AN307" s="3" t="s">
        <v>61</v>
      </c>
      <c r="AO307" s="3" t="s">
        <v>62</v>
      </c>
      <c r="AP307" s="3" t="s">
        <v>69</v>
      </c>
      <c r="AQ307" s="3" t="s">
        <v>61</v>
      </c>
      <c r="AR307" s="3" t="s">
        <v>48</v>
      </c>
    </row>
    <row r="308" spans="1:44" ht="30" customHeight="1">
      <c r="A308" s="3" t="s">
        <v>44</v>
      </c>
      <c r="B308" s="3" t="s">
        <v>45</v>
      </c>
      <c r="C308" s="3" t="s">
        <v>46</v>
      </c>
      <c r="D308" s="3" t="s">
        <v>100</v>
      </c>
      <c r="E308" s="3" t="s">
        <v>48</v>
      </c>
      <c r="F308" s="3" t="s">
        <v>101</v>
      </c>
      <c r="G308" s="3" t="s">
        <v>1660</v>
      </c>
      <c r="H308" s="5">
        <f>IF(DATEDIF(L308,S308,"m")&gt;12,DATEDIF(L308,S308,"y"),(DATEDIF(L308,S308,"m")/12))</f>
        <v>0.75</v>
      </c>
      <c r="I308" s="7">
        <f>DATEDIF(L308,S308,"M")</f>
        <v>9</v>
      </c>
      <c r="J308" s="7">
        <f>DATEDIF(L308,S308,"D")</f>
        <v>304</v>
      </c>
      <c r="K308" s="3" t="s">
        <v>64</v>
      </c>
      <c r="L308" s="8">
        <v>44648</v>
      </c>
      <c r="M308" s="3" t="s">
        <v>45</v>
      </c>
      <c r="N308" s="3" t="s">
        <v>65</v>
      </c>
      <c r="O308" s="3" t="s">
        <v>52</v>
      </c>
      <c r="P308" s="3" t="s">
        <v>84</v>
      </c>
      <c r="Q308" s="7">
        <v>0</v>
      </c>
      <c r="R308" s="8">
        <v>44961</v>
      </c>
      <c r="S308" s="8">
        <v>44952</v>
      </c>
      <c r="T308" s="3" t="s">
        <v>54</v>
      </c>
      <c r="U308" s="3" t="s">
        <v>55</v>
      </c>
      <c r="V308" s="9"/>
      <c r="W308" s="10">
        <v>44964</v>
      </c>
      <c r="X308" s="7">
        <v>3</v>
      </c>
      <c r="Y308" s="7">
        <v>9</v>
      </c>
      <c r="Z308" s="7">
        <v>1</v>
      </c>
      <c r="AA308" s="7">
        <f>INT((S308-DATE(YEAR(S308-WEEKDAY(S308-0)+4),1,4)+WEEKDAY(DATE(YEAR(S308-WEEKDAY(S308-0)+4),1,4))+6)/7)</f>
        <v>4</v>
      </c>
      <c r="AB308" s="3" t="s">
        <v>1661</v>
      </c>
      <c r="AC308" s="7">
        <v>88</v>
      </c>
      <c r="AD308" s="7">
        <v>0</v>
      </c>
      <c r="AE308" s="7">
        <v>0</v>
      </c>
      <c r="AF308" s="3" t="s">
        <v>48</v>
      </c>
      <c r="AG308" s="7">
        <v>2023</v>
      </c>
      <c r="AH308" s="3" t="s">
        <v>105</v>
      </c>
      <c r="AI308" s="3" t="s">
        <v>106</v>
      </c>
      <c r="AJ308" s="3" t="s">
        <v>252</v>
      </c>
      <c r="AK308" s="3" t="s">
        <v>903</v>
      </c>
      <c r="AL308" s="3" t="s">
        <v>59</v>
      </c>
      <c r="AM308" s="3" t="s">
        <v>99</v>
      </c>
      <c r="AN308" s="3" t="s">
        <v>61</v>
      </c>
      <c r="AO308" s="3" t="s">
        <v>62</v>
      </c>
      <c r="AP308" s="3" t="s">
        <v>69</v>
      </c>
      <c r="AQ308" s="3" t="s">
        <v>61</v>
      </c>
      <c r="AR308" s="3" t="s">
        <v>48</v>
      </c>
    </row>
    <row r="309" spans="1:44" ht="30" customHeight="1">
      <c r="A309" s="3" t="s">
        <v>44</v>
      </c>
      <c r="B309" s="3" t="s">
        <v>45</v>
      </c>
      <c r="C309" s="3" t="s">
        <v>46</v>
      </c>
      <c r="D309" s="3" t="s">
        <v>100</v>
      </c>
      <c r="E309" s="3" t="s">
        <v>48</v>
      </c>
      <c r="F309" s="3" t="s">
        <v>101</v>
      </c>
      <c r="G309" s="3" t="s">
        <v>48</v>
      </c>
      <c r="H309" s="4">
        <f>IF(DATEDIF(L309,S309,"m")&gt;12,DATEDIF(L309,S309,"y"),(DATEDIF(L309,S309,"m")/12))</f>
        <v>47</v>
      </c>
      <c r="I309" s="7">
        <f>DATEDIF(L309,S309,"M")</f>
        <v>574</v>
      </c>
      <c r="J309" s="7">
        <f>DATEDIF(L309,S309,"D")</f>
        <v>17500</v>
      </c>
      <c r="K309" s="3" t="s">
        <v>51</v>
      </c>
      <c r="L309" s="8">
        <v>27451</v>
      </c>
      <c r="M309" s="3" t="s">
        <v>45</v>
      </c>
      <c r="N309" s="3" t="s">
        <v>101</v>
      </c>
      <c r="O309" s="3" t="s">
        <v>52</v>
      </c>
      <c r="P309" s="3" t="s">
        <v>84</v>
      </c>
      <c r="Q309" s="7">
        <v>1</v>
      </c>
      <c r="R309" s="8">
        <v>44952</v>
      </c>
      <c r="S309" s="8">
        <v>44951</v>
      </c>
      <c r="T309" s="3" t="s">
        <v>54</v>
      </c>
      <c r="U309" s="3" t="s">
        <v>55</v>
      </c>
      <c r="V309" s="9"/>
      <c r="W309" s="10">
        <v>44964</v>
      </c>
      <c r="X309" s="7">
        <v>12</v>
      </c>
      <c r="Y309" s="7">
        <v>1</v>
      </c>
      <c r="Z309" s="7">
        <v>1</v>
      </c>
      <c r="AA309" s="7">
        <f>INT((S309-DATE(YEAR(S309-WEEKDAY(S309-0)+4),1,4)+WEEKDAY(DATE(YEAR(S309-WEEKDAY(S309-0)+4),1,4))+6)/7)</f>
        <v>4</v>
      </c>
      <c r="AB309" s="3" t="s">
        <v>1683</v>
      </c>
      <c r="AC309" s="7">
        <v>76</v>
      </c>
      <c r="AD309" s="7">
        <v>0</v>
      </c>
      <c r="AE309" s="7">
        <v>0</v>
      </c>
      <c r="AF309" s="3" t="s">
        <v>48</v>
      </c>
      <c r="AG309" s="7">
        <v>2023</v>
      </c>
      <c r="AH309" s="3" t="s">
        <v>105</v>
      </c>
      <c r="AI309" s="3" t="s">
        <v>106</v>
      </c>
      <c r="AJ309" s="3" t="s">
        <v>100</v>
      </c>
      <c r="AK309" s="3" t="s">
        <v>381</v>
      </c>
      <c r="AL309" s="3" t="s">
        <v>59</v>
      </c>
      <c r="AM309" s="3" t="s">
        <v>99</v>
      </c>
      <c r="AN309" s="3" t="s">
        <v>61</v>
      </c>
      <c r="AO309" s="3" t="s">
        <v>62</v>
      </c>
      <c r="AP309" s="3" t="s">
        <v>69</v>
      </c>
      <c r="AQ309" s="3" t="s">
        <v>61</v>
      </c>
      <c r="AR309" s="3" t="s">
        <v>48</v>
      </c>
    </row>
    <row r="310" spans="1:44" ht="30" customHeight="1">
      <c r="A310" s="3" t="s">
        <v>44</v>
      </c>
      <c r="B310" s="3" t="s">
        <v>45</v>
      </c>
      <c r="C310" s="3" t="s">
        <v>46</v>
      </c>
      <c r="D310" s="3" t="s">
        <v>100</v>
      </c>
      <c r="E310" s="3" t="s">
        <v>48</v>
      </c>
      <c r="F310" s="3" t="s">
        <v>101</v>
      </c>
      <c r="G310" s="3" t="s">
        <v>1928</v>
      </c>
      <c r="H310" s="4">
        <f>IF(DATEDIF(L310,S310,"m")&gt;12,DATEDIF(L310,S310,"y"),(DATEDIF(L310,S310,"m")/12))</f>
        <v>12</v>
      </c>
      <c r="I310" s="7">
        <f>DATEDIF(L310,S310,"M")</f>
        <v>154</v>
      </c>
      <c r="J310" s="7">
        <f>DATEDIF(L310,S310,"D")</f>
        <v>4692</v>
      </c>
      <c r="K310" s="3" t="s">
        <v>51</v>
      </c>
      <c r="L310" s="8">
        <v>40250</v>
      </c>
      <c r="M310" s="3" t="s">
        <v>45</v>
      </c>
      <c r="N310" s="3" t="s">
        <v>101</v>
      </c>
      <c r="O310" s="3" t="s">
        <v>52</v>
      </c>
      <c r="P310" s="3" t="s">
        <v>463</v>
      </c>
      <c r="Q310" s="7">
        <v>0</v>
      </c>
      <c r="R310" s="8">
        <v>44949</v>
      </c>
      <c r="S310" s="8">
        <v>44942</v>
      </c>
      <c r="T310" s="3" t="s">
        <v>54</v>
      </c>
      <c r="U310" s="3" t="s">
        <v>55</v>
      </c>
      <c r="V310" s="9"/>
      <c r="W310" s="10">
        <v>44964</v>
      </c>
      <c r="X310" s="7">
        <v>15</v>
      </c>
      <c r="Y310" s="7">
        <v>7</v>
      </c>
      <c r="Z310" s="7">
        <v>1</v>
      </c>
      <c r="AA310" s="7">
        <f>INT((S310-DATE(YEAR(S310-WEEKDAY(S310-0)+4),1,4)+WEEKDAY(DATE(YEAR(S310-WEEKDAY(S310-0)+4),1,4))+6)/7)</f>
        <v>3</v>
      </c>
      <c r="AB310" s="3" t="s">
        <v>1929</v>
      </c>
      <c r="AC310" s="7">
        <v>79</v>
      </c>
      <c r="AD310" s="7">
        <v>0</v>
      </c>
      <c r="AE310" s="7">
        <v>0</v>
      </c>
      <c r="AF310" s="3" t="s">
        <v>48</v>
      </c>
      <c r="AG310" s="7">
        <v>2023</v>
      </c>
      <c r="AH310" s="3" t="s">
        <v>105</v>
      </c>
      <c r="AI310" s="3" t="s">
        <v>106</v>
      </c>
      <c r="AJ310" s="3" t="s">
        <v>100</v>
      </c>
      <c r="AK310" s="3" t="s">
        <v>162</v>
      </c>
      <c r="AL310" s="3" t="s">
        <v>59</v>
      </c>
      <c r="AM310" s="3" t="s">
        <v>99</v>
      </c>
      <c r="AN310" s="3" t="s">
        <v>61</v>
      </c>
      <c r="AO310" s="3" t="s">
        <v>62</v>
      </c>
      <c r="AP310" s="3" t="s">
        <v>69</v>
      </c>
      <c r="AQ310" s="3" t="s">
        <v>61</v>
      </c>
      <c r="AR310" s="3" t="s">
        <v>48</v>
      </c>
    </row>
    <row r="311" spans="1:44" ht="30" customHeight="1">
      <c r="A311" s="3" t="s">
        <v>44</v>
      </c>
      <c r="B311" s="3" t="s">
        <v>45</v>
      </c>
      <c r="C311" s="3" t="s">
        <v>46</v>
      </c>
      <c r="D311" s="3" t="s">
        <v>100</v>
      </c>
      <c r="E311" s="3" t="s">
        <v>48</v>
      </c>
      <c r="F311" s="3" t="s">
        <v>101</v>
      </c>
      <c r="G311" s="3" t="s">
        <v>1953</v>
      </c>
      <c r="H311" s="4">
        <f>IF(DATEDIF(L311,S311,"m")&gt;12,DATEDIF(L311,S311,"y"),(DATEDIF(L311,S311,"m")/12))</f>
        <v>72</v>
      </c>
      <c r="I311" s="7">
        <f>DATEDIF(L311,S311,"M")</f>
        <v>866</v>
      </c>
      <c r="J311" s="7">
        <f>DATEDIF(L311,S311,"D")</f>
        <v>26370</v>
      </c>
      <c r="K311" s="3" t="s">
        <v>64</v>
      </c>
      <c r="L311" s="8">
        <v>18580</v>
      </c>
      <c r="M311" s="3" t="s">
        <v>45</v>
      </c>
      <c r="N311" s="3" t="s">
        <v>101</v>
      </c>
      <c r="O311" s="3" t="s">
        <v>52</v>
      </c>
      <c r="P311" s="3" t="s">
        <v>84</v>
      </c>
      <c r="Q311" s="7">
        <v>0</v>
      </c>
      <c r="R311" s="8">
        <v>44956</v>
      </c>
      <c r="S311" s="8">
        <v>44950</v>
      </c>
      <c r="T311" s="3" t="s">
        <v>54</v>
      </c>
      <c r="U311" s="3" t="s">
        <v>55</v>
      </c>
      <c r="V311" s="9"/>
      <c r="W311" s="10">
        <v>44964</v>
      </c>
      <c r="X311" s="7">
        <v>8</v>
      </c>
      <c r="Y311" s="7">
        <v>6</v>
      </c>
      <c r="Z311" s="7">
        <v>1</v>
      </c>
      <c r="AA311" s="7">
        <f>INT((S311-DATE(YEAR(S311-WEEKDAY(S311-0)+4),1,4)+WEEKDAY(DATE(YEAR(S311-WEEKDAY(S311-0)+4),1,4))+6)/7)</f>
        <v>4</v>
      </c>
      <c r="AB311" s="3" t="s">
        <v>1954</v>
      </c>
      <c r="AC311" s="7">
        <v>91</v>
      </c>
      <c r="AD311" s="7">
        <v>0</v>
      </c>
      <c r="AE311" s="7">
        <v>0</v>
      </c>
      <c r="AF311" s="3" t="s">
        <v>48</v>
      </c>
      <c r="AG311" s="7">
        <v>2023</v>
      </c>
      <c r="AH311" s="3" t="s">
        <v>105</v>
      </c>
      <c r="AI311" s="3" t="s">
        <v>106</v>
      </c>
      <c r="AJ311" s="3" t="s">
        <v>100</v>
      </c>
      <c r="AK311" s="18" t="s">
        <v>282</v>
      </c>
      <c r="AL311" s="3" t="s">
        <v>59</v>
      </c>
      <c r="AM311" s="3" t="s">
        <v>99</v>
      </c>
      <c r="AN311" s="3" t="s">
        <v>61</v>
      </c>
      <c r="AO311" s="3" t="s">
        <v>62</v>
      </c>
      <c r="AP311" s="3" t="s">
        <v>69</v>
      </c>
      <c r="AQ311" s="3" t="s">
        <v>61</v>
      </c>
      <c r="AR311" s="3" t="s">
        <v>48</v>
      </c>
    </row>
    <row r="312" spans="1:44" ht="30" customHeight="1">
      <c r="A312" s="3" t="s">
        <v>44</v>
      </c>
      <c r="B312" s="3" t="s">
        <v>45</v>
      </c>
      <c r="C312" s="3" t="s">
        <v>46</v>
      </c>
      <c r="D312" s="3" t="s">
        <v>100</v>
      </c>
      <c r="E312" s="3" t="s">
        <v>48</v>
      </c>
      <c r="F312" s="3" t="s">
        <v>101</v>
      </c>
      <c r="G312" s="3" t="s">
        <v>2022</v>
      </c>
      <c r="H312" s="4">
        <v>7</v>
      </c>
      <c r="I312" s="7">
        <v>0</v>
      </c>
      <c r="J312" s="7">
        <v>0</v>
      </c>
      <c r="K312" s="3" t="s">
        <v>64</v>
      </c>
      <c r="L312" s="22"/>
      <c r="M312" s="3" t="s">
        <v>45</v>
      </c>
      <c r="N312" s="3" t="s">
        <v>101</v>
      </c>
      <c r="O312" s="3" t="s">
        <v>52</v>
      </c>
      <c r="P312" s="3" t="s">
        <v>103</v>
      </c>
      <c r="Q312" s="7">
        <v>0</v>
      </c>
      <c r="R312" s="8">
        <v>44951</v>
      </c>
      <c r="S312" s="8">
        <v>44948</v>
      </c>
      <c r="T312" s="3" t="s">
        <v>54</v>
      </c>
      <c r="U312" s="3" t="s">
        <v>55</v>
      </c>
      <c r="V312" s="9"/>
      <c r="W312" s="10">
        <v>44964</v>
      </c>
      <c r="X312" s="7">
        <v>13</v>
      </c>
      <c r="Y312" s="7">
        <v>3</v>
      </c>
      <c r="Z312" s="7">
        <v>1</v>
      </c>
      <c r="AA312" s="7">
        <f>INT((S312-DATE(YEAR(S312-WEEKDAY(S312-0)+4),1,4)+WEEKDAY(DATE(YEAR(S312-WEEKDAY(S312-0)+4),1,4))+6)/7)</f>
        <v>4</v>
      </c>
      <c r="AB312" s="3" t="s">
        <v>2023</v>
      </c>
      <c r="AC312" s="7">
        <v>74</v>
      </c>
      <c r="AD312" s="7">
        <v>0</v>
      </c>
      <c r="AE312" s="7">
        <v>0</v>
      </c>
      <c r="AF312" s="3" t="s">
        <v>48</v>
      </c>
      <c r="AG312" s="7">
        <v>2023</v>
      </c>
      <c r="AH312" s="3" t="s">
        <v>105</v>
      </c>
      <c r="AI312" s="3" t="s">
        <v>106</v>
      </c>
      <c r="AJ312" s="3" t="s">
        <v>100</v>
      </c>
      <c r="AK312" s="3" t="s">
        <v>107</v>
      </c>
      <c r="AL312" s="3" t="s">
        <v>59</v>
      </c>
      <c r="AM312" s="3" t="s">
        <v>99</v>
      </c>
      <c r="AN312" s="3" t="s">
        <v>61</v>
      </c>
      <c r="AO312" s="3" t="s">
        <v>62</v>
      </c>
      <c r="AP312" s="3" t="s">
        <v>69</v>
      </c>
      <c r="AQ312" s="3" t="s">
        <v>61</v>
      </c>
      <c r="AR312" s="3" t="s">
        <v>48</v>
      </c>
    </row>
    <row r="313" spans="1:44" ht="30" customHeight="1">
      <c r="A313" s="3" t="s">
        <v>44</v>
      </c>
      <c r="B313" s="3" t="s">
        <v>45</v>
      </c>
      <c r="C313" s="3" t="s">
        <v>46</v>
      </c>
      <c r="D313" s="3" t="s">
        <v>100</v>
      </c>
      <c r="E313" s="3" t="s">
        <v>48</v>
      </c>
      <c r="F313" s="3" t="s">
        <v>101</v>
      </c>
      <c r="G313" s="3" t="s">
        <v>2031</v>
      </c>
      <c r="H313" s="4">
        <v>6</v>
      </c>
      <c r="I313" s="7">
        <v>0</v>
      </c>
      <c r="J313" s="7">
        <v>0</v>
      </c>
      <c r="K313" s="3" t="s">
        <v>64</v>
      </c>
      <c r="L313" s="22"/>
      <c r="M313" s="3" t="s">
        <v>45</v>
      </c>
      <c r="N313" s="3" t="s">
        <v>101</v>
      </c>
      <c r="O313" s="3" t="s">
        <v>52</v>
      </c>
      <c r="P313" s="3" t="s">
        <v>91</v>
      </c>
      <c r="Q313" s="7">
        <v>0</v>
      </c>
      <c r="R313" s="8">
        <v>44953</v>
      </c>
      <c r="S313" s="8">
        <v>44947</v>
      </c>
      <c r="T313" s="3" t="s">
        <v>54</v>
      </c>
      <c r="U313" s="3" t="s">
        <v>55</v>
      </c>
      <c r="V313" s="9"/>
      <c r="W313" s="10">
        <v>44964</v>
      </c>
      <c r="X313" s="7">
        <v>11</v>
      </c>
      <c r="Y313" s="7">
        <v>6</v>
      </c>
      <c r="Z313" s="7">
        <v>1</v>
      </c>
      <c r="AA313" s="7">
        <f>INT((S313-DATE(YEAR(S313-WEEKDAY(S313-0)+4),1,4)+WEEKDAY(DATE(YEAR(S313-WEEKDAY(S313-0)+4),1,4))+6)/7)</f>
        <v>3</v>
      </c>
      <c r="AB313" s="3" t="s">
        <v>2032</v>
      </c>
      <c r="AC313" s="7">
        <v>78</v>
      </c>
      <c r="AD313" s="7">
        <v>0</v>
      </c>
      <c r="AE313" s="7">
        <v>0</v>
      </c>
      <c r="AF313" s="3" t="s">
        <v>48</v>
      </c>
      <c r="AG313" s="7">
        <v>2023</v>
      </c>
      <c r="AH313" s="3" t="s">
        <v>105</v>
      </c>
      <c r="AI313" s="3" t="s">
        <v>106</v>
      </c>
      <c r="AJ313" s="3" t="s">
        <v>100</v>
      </c>
      <c r="AK313" s="3" t="s">
        <v>448</v>
      </c>
      <c r="AL313" s="3" t="s">
        <v>59</v>
      </c>
      <c r="AM313" s="3" t="s">
        <v>99</v>
      </c>
      <c r="AN313" s="3" t="s">
        <v>61</v>
      </c>
      <c r="AO313" s="3" t="s">
        <v>62</v>
      </c>
      <c r="AP313" s="3" t="s">
        <v>69</v>
      </c>
      <c r="AQ313" s="3" t="s">
        <v>61</v>
      </c>
      <c r="AR313" s="3" t="s">
        <v>48</v>
      </c>
    </row>
    <row r="314" spans="1:44" ht="30" customHeight="1">
      <c r="A314" s="3" t="s">
        <v>44</v>
      </c>
      <c r="B314" s="3" t="s">
        <v>45</v>
      </c>
      <c r="C314" s="3" t="s">
        <v>46</v>
      </c>
      <c r="D314" s="3" t="s">
        <v>100</v>
      </c>
      <c r="E314" s="3" t="s">
        <v>48</v>
      </c>
      <c r="F314" s="3" t="s">
        <v>101</v>
      </c>
      <c r="G314" s="3" t="s">
        <v>2088</v>
      </c>
      <c r="H314" s="4">
        <f>IF(DATEDIF(L314,S314,"m")&gt;12,DATEDIF(L314,S314,"y"),(DATEDIF(L314,S314,"m")/12))</f>
        <v>78</v>
      </c>
      <c r="I314" s="7">
        <f>DATEDIF(L314,S314,"M")</f>
        <v>941</v>
      </c>
      <c r="J314" s="7">
        <f>DATEDIF(L314,S314,"D")</f>
        <v>28668</v>
      </c>
      <c r="K314" s="3" t="s">
        <v>64</v>
      </c>
      <c r="L314" s="8">
        <v>16278</v>
      </c>
      <c r="M314" s="3" t="s">
        <v>45</v>
      </c>
      <c r="N314" s="3" t="s">
        <v>65</v>
      </c>
      <c r="O314" s="3" t="s">
        <v>52</v>
      </c>
      <c r="P314" s="3" t="s">
        <v>91</v>
      </c>
      <c r="Q314" s="7">
        <v>0</v>
      </c>
      <c r="R314" s="8">
        <v>44953</v>
      </c>
      <c r="S314" s="8">
        <v>44946</v>
      </c>
      <c r="T314" s="3" t="s">
        <v>54</v>
      </c>
      <c r="U314" s="3" t="s">
        <v>55</v>
      </c>
      <c r="V314" s="9"/>
      <c r="W314" s="10">
        <v>44964</v>
      </c>
      <c r="X314" s="7">
        <v>11</v>
      </c>
      <c r="Y314" s="7">
        <v>7</v>
      </c>
      <c r="Z314" s="7">
        <v>1</v>
      </c>
      <c r="AA314" s="7">
        <f>INT((S314-DATE(YEAR(S314-WEEKDAY(S314-0)+4),1,4)+WEEKDAY(DATE(YEAR(S314-WEEKDAY(S314-0)+4),1,4))+6)/7)</f>
        <v>3</v>
      </c>
      <c r="AB314" s="3" t="s">
        <v>2089</v>
      </c>
      <c r="AC314" s="7">
        <v>77</v>
      </c>
      <c r="AD314" s="7">
        <v>0</v>
      </c>
      <c r="AE314" s="7">
        <v>0</v>
      </c>
      <c r="AF314" s="3" t="s">
        <v>48</v>
      </c>
      <c r="AG314" s="7">
        <v>2023</v>
      </c>
      <c r="AH314" s="3" t="s">
        <v>105</v>
      </c>
      <c r="AI314" s="3" t="s">
        <v>106</v>
      </c>
      <c r="AJ314" s="3" t="s">
        <v>252</v>
      </c>
      <c r="AK314" s="3" t="s">
        <v>404</v>
      </c>
      <c r="AL314" s="3" t="s">
        <v>59</v>
      </c>
      <c r="AM314" s="3" t="s">
        <v>99</v>
      </c>
      <c r="AN314" s="3" t="s">
        <v>61</v>
      </c>
      <c r="AO314" s="3" t="s">
        <v>62</v>
      </c>
      <c r="AP314" s="3" t="s">
        <v>69</v>
      </c>
      <c r="AQ314" s="3" t="s">
        <v>61</v>
      </c>
      <c r="AR314" s="3" t="s">
        <v>48</v>
      </c>
    </row>
    <row r="315" spans="1:44" ht="30" customHeight="1">
      <c r="A315" s="3" t="s">
        <v>44</v>
      </c>
      <c r="B315" s="3" t="s">
        <v>45</v>
      </c>
      <c r="C315" s="3" t="s">
        <v>46</v>
      </c>
      <c r="D315" s="3" t="s">
        <v>100</v>
      </c>
      <c r="E315" s="3" t="s">
        <v>48</v>
      </c>
      <c r="F315" s="3" t="s">
        <v>101</v>
      </c>
      <c r="G315" s="3" t="s">
        <v>2252</v>
      </c>
      <c r="H315" s="4">
        <f>IF(DATEDIF(L315,S315,"m")&gt;12,DATEDIF(L315,S315,"y"),(DATEDIF(L315,S315,"m")/12))</f>
        <v>3</v>
      </c>
      <c r="I315" s="7">
        <f>DATEDIF(L315,S315,"M")</f>
        <v>39</v>
      </c>
      <c r="J315" s="7">
        <f>DATEDIF(L315,S315,"D")</f>
        <v>1205</v>
      </c>
      <c r="K315" s="3" t="s">
        <v>51</v>
      </c>
      <c r="L315" s="8">
        <v>43742</v>
      </c>
      <c r="M315" s="3" t="s">
        <v>45</v>
      </c>
      <c r="N315" s="3" t="s">
        <v>65</v>
      </c>
      <c r="O315" s="3" t="s">
        <v>52</v>
      </c>
      <c r="P315" s="3" t="s">
        <v>255</v>
      </c>
      <c r="Q315" s="7">
        <v>0</v>
      </c>
      <c r="R315" s="8">
        <v>44950</v>
      </c>
      <c r="S315" s="8">
        <v>44947</v>
      </c>
      <c r="T315" s="3" t="s">
        <v>54</v>
      </c>
      <c r="U315" s="3" t="s">
        <v>55</v>
      </c>
      <c r="V315" s="9"/>
      <c r="W315" s="10">
        <v>44964</v>
      </c>
      <c r="X315" s="7">
        <v>14</v>
      </c>
      <c r="Y315" s="7">
        <v>3</v>
      </c>
      <c r="Z315" s="7">
        <v>1</v>
      </c>
      <c r="AA315" s="7">
        <f>INT((S315-DATE(YEAR(S315-WEEKDAY(S315-0)+4),1,4)+WEEKDAY(DATE(YEAR(S315-WEEKDAY(S315-0)+4),1,4))+6)/7)</f>
        <v>3</v>
      </c>
      <c r="AB315" s="3" t="s">
        <v>2253</v>
      </c>
      <c r="AC315" s="7">
        <v>81</v>
      </c>
      <c r="AD315" s="7">
        <v>0</v>
      </c>
      <c r="AE315" s="7">
        <v>0</v>
      </c>
      <c r="AF315" s="3" t="s">
        <v>48</v>
      </c>
      <c r="AG315" s="7">
        <v>2023</v>
      </c>
      <c r="AH315" s="3" t="s">
        <v>105</v>
      </c>
      <c r="AI315" s="3" t="s">
        <v>106</v>
      </c>
      <c r="AJ315" s="3" t="s">
        <v>252</v>
      </c>
      <c r="AK315" s="3" t="s">
        <v>253</v>
      </c>
      <c r="AL315" s="3" t="s">
        <v>59</v>
      </c>
      <c r="AM315" s="3" t="s">
        <v>99</v>
      </c>
      <c r="AN315" s="3" t="s">
        <v>61</v>
      </c>
      <c r="AO315" s="3" t="s">
        <v>62</v>
      </c>
      <c r="AP315" s="3" t="s">
        <v>69</v>
      </c>
      <c r="AQ315" s="3" t="s">
        <v>61</v>
      </c>
      <c r="AR315" s="3" t="s">
        <v>48</v>
      </c>
    </row>
    <row r="316" spans="1:44" ht="30" customHeight="1">
      <c r="A316" s="3" t="s">
        <v>44</v>
      </c>
      <c r="B316" s="3" t="s">
        <v>45</v>
      </c>
      <c r="C316" s="3" t="s">
        <v>46</v>
      </c>
      <c r="D316" s="3" t="s">
        <v>100</v>
      </c>
      <c r="E316" s="3" t="s">
        <v>48</v>
      </c>
      <c r="F316" s="3" t="s">
        <v>101</v>
      </c>
      <c r="G316" s="3" t="s">
        <v>2022</v>
      </c>
      <c r="H316" s="4">
        <f>IF(DATEDIF(L316,S316,"m")&gt;12,DATEDIF(L316,S316,"y"),(DATEDIF(L316,S316,"m")/12))</f>
        <v>40</v>
      </c>
      <c r="I316" s="7">
        <f>DATEDIF(L316,S316,"M")</f>
        <v>481</v>
      </c>
      <c r="J316" s="7">
        <f>DATEDIF(L316,S316,"D")</f>
        <v>14647</v>
      </c>
      <c r="K316" s="3" t="s">
        <v>51</v>
      </c>
      <c r="L316" s="8">
        <v>30313</v>
      </c>
      <c r="M316" s="3" t="s">
        <v>45</v>
      </c>
      <c r="N316" s="3" t="s">
        <v>101</v>
      </c>
      <c r="O316" s="3" t="s">
        <v>52</v>
      </c>
      <c r="P316" s="3" t="s">
        <v>74</v>
      </c>
      <c r="Q316" s="7">
        <v>0</v>
      </c>
      <c r="R316" s="8">
        <v>44961</v>
      </c>
      <c r="S316" s="8">
        <v>44960</v>
      </c>
      <c r="T316" s="3" t="s">
        <v>54</v>
      </c>
      <c r="U316" s="3" t="s">
        <v>55</v>
      </c>
      <c r="V316" s="9"/>
      <c r="W316" s="10">
        <v>44964</v>
      </c>
      <c r="X316" s="7">
        <v>3</v>
      </c>
      <c r="Y316" s="7">
        <v>1</v>
      </c>
      <c r="Z316" s="7">
        <v>2</v>
      </c>
      <c r="AA316" s="7">
        <f>INT((S316-DATE(YEAR(S316-WEEKDAY(S316-0)+4),1,4)+WEEKDAY(DATE(YEAR(S316-WEEKDAY(S316-0)+4),1,4))+6)/7)</f>
        <v>5</v>
      </c>
      <c r="AB316" s="3" t="s">
        <v>2297</v>
      </c>
      <c r="AC316" s="7">
        <v>94</v>
      </c>
      <c r="AD316" s="7">
        <v>0</v>
      </c>
      <c r="AE316" s="7">
        <v>0</v>
      </c>
      <c r="AF316" s="3" t="s">
        <v>48</v>
      </c>
      <c r="AG316" s="7">
        <v>2023</v>
      </c>
      <c r="AH316" s="3" t="s">
        <v>105</v>
      </c>
      <c r="AI316" s="3" t="s">
        <v>106</v>
      </c>
      <c r="AJ316" s="3" t="s">
        <v>100</v>
      </c>
      <c r="AK316" s="3" t="s">
        <v>162</v>
      </c>
      <c r="AL316" s="3" t="s">
        <v>59</v>
      </c>
      <c r="AM316" s="3" t="s">
        <v>99</v>
      </c>
      <c r="AN316" s="3" t="s">
        <v>61</v>
      </c>
      <c r="AO316" s="3" t="s">
        <v>62</v>
      </c>
      <c r="AP316" s="3" t="s">
        <v>69</v>
      </c>
      <c r="AQ316" s="3" t="s">
        <v>61</v>
      </c>
      <c r="AR316" s="3" t="s">
        <v>48</v>
      </c>
    </row>
    <row r="317" spans="1:44" ht="30" customHeight="1">
      <c r="A317" s="3" t="s">
        <v>44</v>
      </c>
      <c r="B317" s="3" t="s">
        <v>45</v>
      </c>
      <c r="C317" s="3" t="s">
        <v>46</v>
      </c>
      <c r="D317" s="3" t="s">
        <v>100</v>
      </c>
      <c r="E317" s="3" t="s">
        <v>48</v>
      </c>
      <c r="F317" s="3" t="s">
        <v>101</v>
      </c>
      <c r="G317" s="3" t="s">
        <v>2343</v>
      </c>
      <c r="H317" s="4">
        <f>IF(DATEDIF(L317,S317,"m")&gt;12,DATEDIF(L317,S317,"y"),(DATEDIF(L317,S317,"m")/12))</f>
        <v>6</v>
      </c>
      <c r="I317" s="7">
        <f>DATEDIF(L317,S317,"M")</f>
        <v>72</v>
      </c>
      <c r="J317" s="7">
        <f>DATEDIF(L317,S317,"D")</f>
        <v>2211</v>
      </c>
      <c r="K317" s="3" t="s">
        <v>51</v>
      </c>
      <c r="L317" s="8">
        <v>42731</v>
      </c>
      <c r="M317" s="3" t="s">
        <v>45</v>
      </c>
      <c r="N317" s="3" t="s">
        <v>65</v>
      </c>
      <c r="O317" s="3" t="s">
        <v>52</v>
      </c>
      <c r="P317" s="3" t="s">
        <v>2344</v>
      </c>
      <c r="Q317" s="7">
        <v>1</v>
      </c>
      <c r="R317" s="8">
        <v>44950</v>
      </c>
      <c r="S317" s="8">
        <v>44942</v>
      </c>
      <c r="T317" s="3" t="s">
        <v>54</v>
      </c>
      <c r="U317" s="3" t="s">
        <v>55</v>
      </c>
      <c r="V317" s="9"/>
      <c r="W317" s="10">
        <v>44964</v>
      </c>
      <c r="X317" s="7">
        <v>14</v>
      </c>
      <c r="Y317" s="7">
        <v>8</v>
      </c>
      <c r="Z317" s="7">
        <v>1</v>
      </c>
      <c r="AA317" s="7">
        <f>INT((S317-DATE(YEAR(S317-WEEKDAY(S317-0)+4),1,4)+WEEKDAY(DATE(YEAR(S317-WEEKDAY(S317-0)+4),1,4))+6)/7)</f>
        <v>3</v>
      </c>
      <c r="AB317" s="3" t="s">
        <v>2345</v>
      </c>
      <c r="AC317" s="7">
        <v>82</v>
      </c>
      <c r="AD317" s="7">
        <v>0</v>
      </c>
      <c r="AE317" s="7">
        <v>0</v>
      </c>
      <c r="AF317" s="3" t="s">
        <v>48</v>
      </c>
      <c r="AG317" s="7">
        <v>2023</v>
      </c>
      <c r="AH317" s="3" t="s">
        <v>105</v>
      </c>
      <c r="AI317" s="3" t="s">
        <v>106</v>
      </c>
      <c r="AJ317" s="3" t="s">
        <v>252</v>
      </c>
      <c r="AK317" s="3" t="s">
        <v>162</v>
      </c>
      <c r="AL317" s="3" t="s">
        <v>59</v>
      </c>
      <c r="AM317" s="3" t="s">
        <v>99</v>
      </c>
      <c r="AN317" s="3" t="s">
        <v>61</v>
      </c>
      <c r="AO317" s="3" t="s">
        <v>62</v>
      </c>
      <c r="AP317" s="3" t="s">
        <v>69</v>
      </c>
      <c r="AQ317" s="3" t="s">
        <v>61</v>
      </c>
      <c r="AR317" s="3" t="s">
        <v>48</v>
      </c>
    </row>
    <row r="318" spans="1:44" ht="30" customHeight="1">
      <c r="A318" s="3" t="s">
        <v>44</v>
      </c>
      <c r="B318" s="3" t="s">
        <v>45</v>
      </c>
      <c r="C318" s="3" t="s">
        <v>46</v>
      </c>
      <c r="D318" s="3" t="s">
        <v>186</v>
      </c>
      <c r="E318" s="3" t="s">
        <v>48</v>
      </c>
      <c r="F318" s="3" t="s">
        <v>186</v>
      </c>
      <c r="G318" s="3" t="s">
        <v>48</v>
      </c>
      <c r="H318" s="4">
        <f>IF(DATEDIF(L318,S318,"m")&gt;12,DATEDIF(L318,S318,"y"),(DATEDIF(L318,S318,"m")/12))</f>
        <v>10</v>
      </c>
      <c r="I318" s="7">
        <f>DATEDIF(L318,S318,"M")</f>
        <v>121</v>
      </c>
      <c r="J318" s="7">
        <f>DATEDIF(L318,S318,"D")</f>
        <v>3698</v>
      </c>
      <c r="K318" s="3" t="s">
        <v>51</v>
      </c>
      <c r="L318" s="8">
        <v>41265</v>
      </c>
      <c r="M318" s="3" t="s">
        <v>45</v>
      </c>
      <c r="N318" s="3" t="s">
        <v>187</v>
      </c>
      <c r="O318" s="3" t="s">
        <v>52</v>
      </c>
      <c r="P318" s="3" t="s">
        <v>169</v>
      </c>
      <c r="Q318" s="7">
        <v>0</v>
      </c>
      <c r="R318" s="8">
        <v>44964</v>
      </c>
      <c r="S318" s="8">
        <v>44963</v>
      </c>
      <c r="T318" s="3" t="s">
        <v>54</v>
      </c>
      <c r="U318" s="3" t="s">
        <v>55</v>
      </c>
      <c r="V318" s="9"/>
      <c r="W318" s="10">
        <v>44965</v>
      </c>
      <c r="X318" s="7">
        <v>1</v>
      </c>
      <c r="Y318" s="7">
        <v>1</v>
      </c>
      <c r="Z318" s="7">
        <v>2</v>
      </c>
      <c r="AA318" s="7">
        <f>INT((S318-DATE(YEAR(S318-WEEKDAY(S318-0)+4),1,4)+WEEKDAY(DATE(YEAR(S318-WEEKDAY(S318-0)+4),1,4))+6)/7)</f>
        <v>6</v>
      </c>
      <c r="AB318" s="3" t="s">
        <v>1133</v>
      </c>
      <c r="AC318" s="7">
        <v>74</v>
      </c>
      <c r="AD318" s="7">
        <v>0</v>
      </c>
      <c r="AE318" s="7">
        <v>1</v>
      </c>
      <c r="AF318" s="3" t="s">
        <v>48</v>
      </c>
      <c r="AG318" s="7">
        <v>2023</v>
      </c>
      <c r="AH318" s="3" t="s">
        <v>190</v>
      </c>
      <c r="AI318" s="3" t="s">
        <v>191</v>
      </c>
      <c r="AJ318" s="3" t="s">
        <v>186</v>
      </c>
      <c r="AK318" s="3" t="s">
        <v>277</v>
      </c>
      <c r="AL318" s="3" t="s">
        <v>59</v>
      </c>
      <c r="AM318" s="3" t="s">
        <v>115</v>
      </c>
      <c r="AN318" s="3" t="s">
        <v>61</v>
      </c>
      <c r="AO318" s="3" t="s">
        <v>62</v>
      </c>
      <c r="AP318" s="3" t="s">
        <v>69</v>
      </c>
      <c r="AQ318" s="3" t="s">
        <v>61</v>
      </c>
      <c r="AR318" s="3" t="s">
        <v>48</v>
      </c>
    </row>
    <row r="319" spans="1:44" ht="30" customHeight="1">
      <c r="A319" s="3" t="s">
        <v>44</v>
      </c>
      <c r="B319" s="3" t="s">
        <v>45</v>
      </c>
      <c r="C319" s="3" t="s">
        <v>46</v>
      </c>
      <c r="D319" s="3" t="s">
        <v>186</v>
      </c>
      <c r="E319" s="3" t="s">
        <v>48</v>
      </c>
      <c r="F319" s="3" t="s">
        <v>186</v>
      </c>
      <c r="G319" s="3" t="s">
        <v>48</v>
      </c>
      <c r="H319" s="4">
        <f>IF(DATEDIF(L319,S319,"m")&gt;12,DATEDIF(L319,S319,"y"),(DATEDIF(L319,S319,"m")/12))</f>
        <v>4</v>
      </c>
      <c r="I319" s="7">
        <f>DATEDIF(L319,S319,"M")</f>
        <v>53</v>
      </c>
      <c r="J319" s="7">
        <f>DATEDIF(L319,S319,"D")</f>
        <v>1628</v>
      </c>
      <c r="K319" s="3" t="s">
        <v>51</v>
      </c>
      <c r="L319" s="8">
        <v>43321</v>
      </c>
      <c r="M319" s="3" t="s">
        <v>45</v>
      </c>
      <c r="N319" s="3" t="s">
        <v>187</v>
      </c>
      <c r="O319" s="3" t="s">
        <v>52</v>
      </c>
      <c r="P319" s="3" t="s">
        <v>1587</v>
      </c>
      <c r="Q319" s="7">
        <v>0</v>
      </c>
      <c r="R319" s="8">
        <v>44956</v>
      </c>
      <c r="S319" s="8">
        <v>44949</v>
      </c>
      <c r="T319" s="3" t="s">
        <v>54</v>
      </c>
      <c r="U319" s="3" t="s">
        <v>55</v>
      </c>
      <c r="V319" s="9"/>
      <c r="W319" s="10">
        <v>44965</v>
      </c>
      <c r="X319" s="7">
        <v>9</v>
      </c>
      <c r="Y319" s="7">
        <v>7</v>
      </c>
      <c r="Z319" s="7">
        <v>1</v>
      </c>
      <c r="AA319" s="7">
        <f>INT((S319-DATE(YEAR(S319-WEEKDAY(S319-0)+4),1,4)+WEEKDAY(DATE(YEAR(S319-WEEKDAY(S319-0)+4),1,4))+6)/7)</f>
        <v>4</v>
      </c>
      <c r="AB319" s="3" t="s">
        <v>1588</v>
      </c>
      <c r="AC319" s="7">
        <v>75</v>
      </c>
      <c r="AD319" s="7">
        <v>0</v>
      </c>
      <c r="AE319" s="7">
        <v>1</v>
      </c>
      <c r="AF319" s="3" t="s">
        <v>48</v>
      </c>
      <c r="AG319" s="7">
        <v>2023</v>
      </c>
      <c r="AH319" s="3" t="s">
        <v>190</v>
      </c>
      <c r="AI319" s="3" t="s">
        <v>191</v>
      </c>
      <c r="AJ319" s="3" t="s">
        <v>186</v>
      </c>
      <c r="AK319" s="3" t="s">
        <v>192</v>
      </c>
      <c r="AL319" s="3" t="s">
        <v>59</v>
      </c>
      <c r="AM319" s="3" t="s">
        <v>115</v>
      </c>
      <c r="AN319" s="3" t="s">
        <v>61</v>
      </c>
      <c r="AO319" s="3" t="s">
        <v>62</v>
      </c>
      <c r="AP319" s="3" t="s">
        <v>69</v>
      </c>
      <c r="AQ319" s="3" t="s">
        <v>61</v>
      </c>
      <c r="AR319" s="3" t="s">
        <v>48</v>
      </c>
    </row>
    <row r="320" spans="1:44" ht="30" customHeight="1">
      <c r="A320" s="3" t="s">
        <v>44</v>
      </c>
      <c r="B320" s="3" t="s">
        <v>45</v>
      </c>
      <c r="C320" s="3" t="s">
        <v>46</v>
      </c>
      <c r="D320" s="3" t="s">
        <v>130</v>
      </c>
      <c r="E320" s="3" t="s">
        <v>48</v>
      </c>
      <c r="F320" s="3" t="s">
        <v>131</v>
      </c>
      <c r="G320" s="3" t="s">
        <v>48</v>
      </c>
      <c r="H320" s="4">
        <f>IF(DATEDIF(L320,S320,"m")&gt;12,DATEDIF(L320,S320,"y"),(DATEDIF(L320,S320,"m")/12))</f>
        <v>1</v>
      </c>
      <c r="I320" s="7">
        <f>DATEDIF(L320,S320,"M")</f>
        <v>12</v>
      </c>
      <c r="J320" s="7">
        <f>DATEDIF(L320,S320,"D")</f>
        <v>393</v>
      </c>
      <c r="K320" s="3" t="s">
        <v>64</v>
      </c>
      <c r="L320" s="8">
        <v>44569</v>
      </c>
      <c r="M320" s="3" t="s">
        <v>45</v>
      </c>
      <c r="N320" s="3" t="s">
        <v>83</v>
      </c>
      <c r="O320" s="3" t="s">
        <v>52</v>
      </c>
      <c r="P320" s="3" t="s">
        <v>176</v>
      </c>
      <c r="Q320" s="7">
        <v>0</v>
      </c>
      <c r="R320" s="8">
        <v>44966</v>
      </c>
      <c r="S320" s="8">
        <v>44962</v>
      </c>
      <c r="T320" s="3" t="s">
        <v>54</v>
      </c>
      <c r="U320" s="3" t="s">
        <v>55</v>
      </c>
      <c r="V320" s="9"/>
      <c r="W320" s="10">
        <v>44966</v>
      </c>
      <c r="X320" s="7">
        <v>0</v>
      </c>
      <c r="Y320" s="7">
        <v>4</v>
      </c>
      <c r="Z320" s="7">
        <v>2</v>
      </c>
      <c r="AA320" s="7">
        <f>INT((S320-DATE(YEAR(S320-WEEKDAY(S320-0)+4),1,4)+WEEKDAY(DATE(YEAR(S320-WEEKDAY(S320-0)+4),1,4))+6)/7)</f>
        <v>6</v>
      </c>
      <c r="AB320" s="3" t="s">
        <v>523</v>
      </c>
      <c r="AC320" s="7">
        <v>96</v>
      </c>
      <c r="AD320" s="7">
        <v>0</v>
      </c>
      <c r="AE320" s="7">
        <v>0</v>
      </c>
      <c r="AF320" s="3" t="s">
        <v>48</v>
      </c>
      <c r="AG320" s="7">
        <v>2023</v>
      </c>
      <c r="AH320" s="3" t="s">
        <v>133</v>
      </c>
      <c r="AI320" s="3" t="s">
        <v>106</v>
      </c>
      <c r="AJ320" s="3" t="s">
        <v>48</v>
      </c>
      <c r="AK320" s="3" t="s">
        <v>524</v>
      </c>
      <c r="AL320" s="3" t="s">
        <v>59</v>
      </c>
      <c r="AM320" s="3" t="s">
        <v>115</v>
      </c>
      <c r="AN320" s="3" t="s">
        <v>61</v>
      </c>
      <c r="AO320" s="3" t="s">
        <v>62</v>
      </c>
      <c r="AP320" s="3" t="s">
        <v>69</v>
      </c>
      <c r="AQ320" s="3" t="s">
        <v>61</v>
      </c>
      <c r="AR320" s="3" t="s">
        <v>48</v>
      </c>
    </row>
    <row r="321" spans="1:44" ht="30" customHeight="1">
      <c r="A321" s="3" t="s">
        <v>44</v>
      </c>
      <c r="B321" s="3" t="s">
        <v>45</v>
      </c>
      <c r="C321" s="3" t="s">
        <v>80</v>
      </c>
      <c r="D321" s="3" t="s">
        <v>81</v>
      </c>
      <c r="E321" s="3" t="s">
        <v>48</v>
      </c>
      <c r="F321" s="3" t="s">
        <v>81</v>
      </c>
      <c r="G321" s="3" t="s">
        <v>637</v>
      </c>
      <c r="H321" s="4">
        <f>IF(DATEDIF(L321,S321,"m")&gt;12,DATEDIF(L321,S321,"y"),(DATEDIF(L321,S321,"m")/12))</f>
        <v>30</v>
      </c>
      <c r="I321" s="7">
        <f>DATEDIF(L321,S321,"M")</f>
        <v>362</v>
      </c>
      <c r="J321" s="7">
        <f>DATEDIF(L321,S321,"D")</f>
        <v>11048</v>
      </c>
      <c r="K321" s="3" t="s">
        <v>51</v>
      </c>
      <c r="L321" s="8">
        <v>33915</v>
      </c>
      <c r="M321" s="3" t="s">
        <v>45</v>
      </c>
      <c r="N321" s="3" t="s">
        <v>83</v>
      </c>
      <c r="O321" s="3" t="s">
        <v>52</v>
      </c>
      <c r="P321" s="3" t="s">
        <v>103</v>
      </c>
      <c r="Q321" s="7">
        <v>1</v>
      </c>
      <c r="R321" s="8">
        <v>44964</v>
      </c>
      <c r="S321" s="8">
        <v>44963</v>
      </c>
      <c r="T321" s="3" t="s">
        <v>54</v>
      </c>
      <c r="U321" s="3" t="s">
        <v>55</v>
      </c>
      <c r="V321" s="9"/>
      <c r="W321" s="10">
        <v>44966</v>
      </c>
      <c r="X321" s="7">
        <v>2</v>
      </c>
      <c r="Y321" s="7">
        <v>1</v>
      </c>
      <c r="Z321" s="7">
        <v>2</v>
      </c>
      <c r="AA321" s="7">
        <f>INT((S321-DATE(YEAR(S321-WEEKDAY(S321-0)+4),1,4)+WEEKDAY(DATE(YEAR(S321-WEEKDAY(S321-0)+4),1,4))+6)/7)</f>
        <v>6</v>
      </c>
      <c r="AB321" s="3" t="s">
        <v>638</v>
      </c>
      <c r="AC321" s="7">
        <v>13935</v>
      </c>
      <c r="AD321" s="7">
        <v>0</v>
      </c>
      <c r="AE321" s="7">
        <v>0</v>
      </c>
      <c r="AF321" s="3" t="s">
        <v>48</v>
      </c>
      <c r="AG321" s="7">
        <v>2023</v>
      </c>
      <c r="AH321" s="3" t="s">
        <v>86</v>
      </c>
      <c r="AI321" s="3" t="s">
        <v>48</v>
      </c>
      <c r="AJ321" s="3" t="s">
        <v>48</v>
      </c>
      <c r="AK321" s="3" t="s">
        <v>606</v>
      </c>
      <c r="AL321" s="3" t="s">
        <v>59</v>
      </c>
      <c r="AM321" s="3" t="s">
        <v>60</v>
      </c>
      <c r="AN321" s="3" t="s">
        <v>69</v>
      </c>
      <c r="AO321" s="3" t="s">
        <v>62</v>
      </c>
      <c r="AP321" s="3" t="s">
        <v>69</v>
      </c>
      <c r="AQ321" s="3" t="s">
        <v>61</v>
      </c>
      <c r="AR321" s="3" t="s">
        <v>48</v>
      </c>
    </row>
    <row r="322" spans="1:44" ht="30" customHeight="1">
      <c r="A322" s="3" t="s">
        <v>44</v>
      </c>
      <c r="B322" s="3" t="s">
        <v>45</v>
      </c>
      <c r="C322" s="3" t="s">
        <v>46</v>
      </c>
      <c r="D322" s="3" t="s">
        <v>130</v>
      </c>
      <c r="E322" s="3" t="s">
        <v>48</v>
      </c>
      <c r="F322" s="3" t="s">
        <v>131</v>
      </c>
      <c r="G322" s="3" t="s">
        <v>48</v>
      </c>
      <c r="H322" s="4">
        <f>IF(DATEDIF(L322,S322,"m")&gt;12,DATEDIF(L322,S322,"y"),(DATEDIF(L322,S322,"m")/12))</f>
        <v>14</v>
      </c>
      <c r="I322" s="7">
        <f>DATEDIF(L322,S322,"M")</f>
        <v>170</v>
      </c>
      <c r="J322" s="7">
        <f>DATEDIF(L322,S322,"D")</f>
        <v>5180</v>
      </c>
      <c r="K322" s="3" t="s">
        <v>64</v>
      </c>
      <c r="L322" s="8">
        <v>39781</v>
      </c>
      <c r="M322" s="3" t="s">
        <v>45</v>
      </c>
      <c r="N322" s="3" t="s">
        <v>83</v>
      </c>
      <c r="O322" s="3" t="s">
        <v>52</v>
      </c>
      <c r="P322" s="3" t="s">
        <v>712</v>
      </c>
      <c r="Q322" s="7">
        <v>0</v>
      </c>
      <c r="R322" s="8">
        <v>44965</v>
      </c>
      <c r="S322" s="8">
        <v>44961</v>
      </c>
      <c r="T322" s="3" t="s">
        <v>54</v>
      </c>
      <c r="U322" s="3" t="s">
        <v>55</v>
      </c>
      <c r="V322" s="9"/>
      <c r="W322" s="10">
        <v>44966</v>
      </c>
      <c r="X322" s="7">
        <v>1</v>
      </c>
      <c r="Y322" s="7">
        <v>4</v>
      </c>
      <c r="Z322" s="7">
        <v>2</v>
      </c>
      <c r="AA322" s="7">
        <f>INT((S322-DATE(YEAR(S322-WEEKDAY(S322-0)+4),1,4)+WEEKDAY(DATE(YEAR(S322-WEEKDAY(S322-0)+4),1,4))+6)/7)</f>
        <v>5</v>
      </c>
      <c r="AB322" s="3" t="s">
        <v>713</v>
      </c>
      <c r="AC322" s="7">
        <v>94</v>
      </c>
      <c r="AD322" s="7">
        <v>0</v>
      </c>
      <c r="AE322" s="7">
        <v>0</v>
      </c>
      <c r="AF322" s="3" t="s">
        <v>48</v>
      </c>
      <c r="AG322" s="7">
        <v>2023</v>
      </c>
      <c r="AH322" s="3" t="s">
        <v>133</v>
      </c>
      <c r="AI322" s="3" t="s">
        <v>106</v>
      </c>
      <c r="AJ322" s="3" t="s">
        <v>48</v>
      </c>
      <c r="AK322" s="12" t="s">
        <v>140</v>
      </c>
      <c r="AL322" s="3" t="s">
        <v>59</v>
      </c>
      <c r="AM322" s="3" t="s">
        <v>115</v>
      </c>
      <c r="AN322" s="3" t="s">
        <v>61</v>
      </c>
      <c r="AO322" s="3" t="s">
        <v>62</v>
      </c>
      <c r="AP322" s="3" t="s">
        <v>69</v>
      </c>
      <c r="AQ322" s="3" t="s">
        <v>61</v>
      </c>
      <c r="AR322" s="3" t="s">
        <v>48</v>
      </c>
    </row>
    <row r="323" spans="1:44" ht="30" customHeight="1">
      <c r="A323" s="3" t="s">
        <v>44</v>
      </c>
      <c r="B323" s="3" t="s">
        <v>45</v>
      </c>
      <c r="C323" s="3" t="s">
        <v>80</v>
      </c>
      <c r="D323" s="3" t="s">
        <v>81</v>
      </c>
      <c r="E323" s="3" t="s">
        <v>48</v>
      </c>
      <c r="F323" s="3" t="s">
        <v>81</v>
      </c>
      <c r="G323" s="3" t="s">
        <v>749</v>
      </c>
      <c r="H323" s="4">
        <f>IF(DATEDIF(L323,S323,"m")&gt;12,DATEDIF(L323,S323,"y"),(DATEDIF(L323,S323,"m")/12))</f>
        <v>53</v>
      </c>
      <c r="I323" s="7">
        <f>DATEDIF(L323,S323,"M")</f>
        <v>639</v>
      </c>
      <c r="J323" s="7">
        <f>DATEDIF(L323,S323,"D")</f>
        <v>19452</v>
      </c>
      <c r="K323" s="3" t="s">
        <v>51</v>
      </c>
      <c r="L323" s="8">
        <v>25507</v>
      </c>
      <c r="M323" s="3" t="s">
        <v>45</v>
      </c>
      <c r="N323" s="3" t="s">
        <v>65</v>
      </c>
      <c r="O323" s="3" t="s">
        <v>52</v>
      </c>
      <c r="P323" s="3" t="s">
        <v>176</v>
      </c>
      <c r="Q323" s="7">
        <v>1</v>
      </c>
      <c r="R323" s="8">
        <v>44962</v>
      </c>
      <c r="S323" s="8">
        <v>44959</v>
      </c>
      <c r="T323" s="3" t="s">
        <v>54</v>
      </c>
      <c r="U323" s="3" t="s">
        <v>55</v>
      </c>
      <c r="V323" s="9"/>
      <c r="W323" s="10">
        <v>44966</v>
      </c>
      <c r="X323" s="7">
        <v>4</v>
      </c>
      <c r="Y323" s="7">
        <v>3</v>
      </c>
      <c r="Z323" s="7">
        <v>2</v>
      </c>
      <c r="AA323" s="7">
        <f>INT((S323-DATE(YEAR(S323-WEEKDAY(S323-0)+4),1,4)+WEEKDAY(DATE(YEAR(S323-WEEKDAY(S323-0)+4),1,4))+6)/7)</f>
        <v>5</v>
      </c>
      <c r="AB323" s="3" t="s">
        <v>750</v>
      </c>
      <c r="AC323" s="7">
        <v>13941</v>
      </c>
      <c r="AD323" s="7">
        <v>0</v>
      </c>
      <c r="AE323" s="7">
        <v>0</v>
      </c>
      <c r="AF323" s="3" t="s">
        <v>48</v>
      </c>
      <c r="AG323" s="7">
        <v>2023</v>
      </c>
      <c r="AH323" s="3" t="s">
        <v>86</v>
      </c>
      <c r="AI323" s="3" t="s">
        <v>48</v>
      </c>
      <c r="AJ323" s="3" t="s">
        <v>48</v>
      </c>
      <c r="AK323" s="3" t="s">
        <v>751</v>
      </c>
      <c r="AL323" s="3" t="s">
        <v>59</v>
      </c>
      <c r="AM323" s="3" t="s">
        <v>60</v>
      </c>
      <c r="AN323" s="3" t="s">
        <v>69</v>
      </c>
      <c r="AO323" s="3" t="s">
        <v>62</v>
      </c>
      <c r="AP323" s="3" t="s">
        <v>69</v>
      </c>
      <c r="AQ323" s="3" t="s">
        <v>61</v>
      </c>
      <c r="AR323" s="3" t="s">
        <v>48</v>
      </c>
    </row>
    <row r="324" spans="1:44" ht="30" customHeight="1">
      <c r="A324" s="3" t="s">
        <v>44</v>
      </c>
      <c r="B324" s="3" t="s">
        <v>45</v>
      </c>
      <c r="C324" s="3" t="s">
        <v>80</v>
      </c>
      <c r="D324" s="3" t="s">
        <v>81</v>
      </c>
      <c r="E324" s="3" t="s">
        <v>48</v>
      </c>
      <c r="F324" s="3" t="s">
        <v>81</v>
      </c>
      <c r="G324" s="3" t="s">
        <v>1056</v>
      </c>
      <c r="H324" s="5">
        <f>IF(DATEDIF(L324,S324,"m")&gt;12,DATEDIF(L324,S324,"y"),(DATEDIF(L324,S324,"m")/12))</f>
        <v>0.75</v>
      </c>
      <c r="I324" s="7">
        <f>DATEDIF(L324,S324,"M")</f>
        <v>9</v>
      </c>
      <c r="J324" s="7">
        <f>DATEDIF(L324,S324,"D")</f>
        <v>296</v>
      </c>
      <c r="K324" s="3" t="s">
        <v>51</v>
      </c>
      <c r="L324" s="21">
        <v>44662</v>
      </c>
      <c r="M324" s="3" t="s">
        <v>45</v>
      </c>
      <c r="N324" s="3" t="s">
        <v>329</v>
      </c>
      <c r="O324" s="3" t="s">
        <v>52</v>
      </c>
      <c r="P324" s="3" t="s">
        <v>1057</v>
      </c>
      <c r="Q324" s="7">
        <v>1</v>
      </c>
      <c r="R324" s="8">
        <v>44962</v>
      </c>
      <c r="S324" s="8">
        <v>44958</v>
      </c>
      <c r="T324" s="3" t="s">
        <v>54</v>
      </c>
      <c r="U324" s="3" t="s">
        <v>55</v>
      </c>
      <c r="V324" s="9"/>
      <c r="W324" s="10">
        <v>44966</v>
      </c>
      <c r="X324" s="7">
        <v>4</v>
      </c>
      <c r="Y324" s="7">
        <v>4</v>
      </c>
      <c r="Z324" s="7">
        <v>2</v>
      </c>
      <c r="AA324" s="7">
        <f>INT((S324-DATE(YEAR(S324-WEEKDAY(S324-0)+4),1,4)+WEEKDAY(DATE(YEAR(S324-WEEKDAY(S324-0)+4),1,4))+6)/7)</f>
        <v>5</v>
      </c>
      <c r="AB324" s="3" t="s">
        <v>1058</v>
      </c>
      <c r="AC324" s="7">
        <v>13928</v>
      </c>
      <c r="AD324" s="7">
        <v>0</v>
      </c>
      <c r="AE324" s="7">
        <v>0</v>
      </c>
      <c r="AF324" s="3" t="s">
        <v>48</v>
      </c>
      <c r="AG324" s="7">
        <v>2023</v>
      </c>
      <c r="AH324" s="3" t="s">
        <v>86</v>
      </c>
      <c r="AI324" s="3" t="s">
        <v>48</v>
      </c>
      <c r="AJ324" s="3" t="s">
        <v>48</v>
      </c>
      <c r="AK324" s="3" t="s">
        <v>1059</v>
      </c>
      <c r="AL324" s="3" t="s">
        <v>59</v>
      </c>
      <c r="AM324" s="3" t="s">
        <v>60</v>
      </c>
      <c r="AN324" s="3" t="s">
        <v>61</v>
      </c>
      <c r="AO324" s="3" t="s">
        <v>62</v>
      </c>
      <c r="AP324" s="3" t="s">
        <v>69</v>
      </c>
      <c r="AQ324" s="3" t="s">
        <v>61</v>
      </c>
      <c r="AR324" s="3" t="s">
        <v>48</v>
      </c>
    </row>
    <row r="325" spans="1:44" ht="30" customHeight="1">
      <c r="A325" s="3" t="s">
        <v>44</v>
      </c>
      <c r="B325" s="3" t="s">
        <v>45</v>
      </c>
      <c r="C325" s="3" t="s">
        <v>46</v>
      </c>
      <c r="D325" s="3" t="s">
        <v>130</v>
      </c>
      <c r="E325" s="3" t="s">
        <v>48</v>
      </c>
      <c r="F325" s="3" t="s">
        <v>131</v>
      </c>
      <c r="G325" s="3" t="s">
        <v>48</v>
      </c>
      <c r="H325" s="4">
        <f>IF(DATEDIF(L325,S325,"m")&gt;12,DATEDIF(L325,S325,"y"),(DATEDIF(L325,S325,"m")/12))</f>
        <v>23</v>
      </c>
      <c r="I325" s="7">
        <f>DATEDIF(L325,S325,"M")</f>
        <v>276</v>
      </c>
      <c r="J325" s="7">
        <f>DATEDIF(L325,S325,"D")</f>
        <v>8418</v>
      </c>
      <c r="K325" s="3" t="s">
        <v>51</v>
      </c>
      <c r="L325" s="8">
        <v>36544</v>
      </c>
      <c r="M325" s="3" t="s">
        <v>45</v>
      </c>
      <c r="N325" s="3" t="s">
        <v>83</v>
      </c>
      <c r="O325" s="3" t="s">
        <v>52</v>
      </c>
      <c r="P325" s="3" t="s">
        <v>156</v>
      </c>
      <c r="Q325" s="7">
        <v>0</v>
      </c>
      <c r="R325" s="8">
        <v>44966</v>
      </c>
      <c r="S325" s="8">
        <v>44962</v>
      </c>
      <c r="T325" s="3" t="s">
        <v>54</v>
      </c>
      <c r="U325" s="3" t="s">
        <v>55</v>
      </c>
      <c r="V325" s="9"/>
      <c r="W325" s="10">
        <v>44966</v>
      </c>
      <c r="X325" s="7">
        <v>0</v>
      </c>
      <c r="Y325" s="7">
        <v>4</v>
      </c>
      <c r="Z325" s="7">
        <v>2</v>
      </c>
      <c r="AA325" s="7">
        <f>INT((S325-DATE(YEAR(S325-WEEKDAY(S325-0)+4),1,4)+WEEKDAY(DATE(YEAR(S325-WEEKDAY(S325-0)+4),1,4))+6)/7)</f>
        <v>6</v>
      </c>
      <c r="AB325" s="3" t="s">
        <v>1703</v>
      </c>
      <c r="AC325" s="7">
        <v>97</v>
      </c>
      <c r="AD325" s="7">
        <v>0</v>
      </c>
      <c r="AE325" s="7">
        <v>0</v>
      </c>
      <c r="AF325" s="3" t="s">
        <v>48</v>
      </c>
      <c r="AG325" s="7">
        <v>2023</v>
      </c>
      <c r="AH325" s="3" t="s">
        <v>133</v>
      </c>
      <c r="AI325" s="3" t="s">
        <v>106</v>
      </c>
      <c r="AJ325" s="3" t="s">
        <v>48</v>
      </c>
      <c r="AK325" s="3" t="s">
        <v>154</v>
      </c>
      <c r="AL325" s="3" t="s">
        <v>59</v>
      </c>
      <c r="AM325" s="3" t="s">
        <v>115</v>
      </c>
      <c r="AN325" s="3" t="s">
        <v>61</v>
      </c>
      <c r="AO325" s="3" t="s">
        <v>62</v>
      </c>
      <c r="AP325" s="3" t="s">
        <v>69</v>
      </c>
      <c r="AQ325" s="3" t="s">
        <v>61</v>
      </c>
      <c r="AR325" s="3" t="s">
        <v>48</v>
      </c>
    </row>
    <row r="326" spans="1:44" ht="30" customHeight="1">
      <c r="A326" s="3" t="s">
        <v>44</v>
      </c>
      <c r="B326" s="3" t="s">
        <v>45</v>
      </c>
      <c r="C326" s="3" t="s">
        <v>80</v>
      </c>
      <c r="D326" s="3" t="s">
        <v>81</v>
      </c>
      <c r="E326" s="3" t="s">
        <v>48</v>
      </c>
      <c r="F326" s="3" t="s">
        <v>81</v>
      </c>
      <c r="G326" s="3" t="s">
        <v>1876</v>
      </c>
      <c r="H326" s="5">
        <f>IF(DATEDIF(L326,S326,"m")&gt;12,DATEDIF(L326,S326,"y"),(DATEDIF(L326,S326,"m")/12))</f>
        <v>0.5</v>
      </c>
      <c r="I326" s="7">
        <f>DATEDIF(L326,S326,"M")</f>
        <v>6</v>
      </c>
      <c r="J326" s="7">
        <f>DATEDIF(L326,S326,"D")</f>
        <v>188</v>
      </c>
      <c r="K326" s="3" t="s">
        <v>51</v>
      </c>
      <c r="L326" s="8">
        <v>44773</v>
      </c>
      <c r="M326" s="3" t="s">
        <v>45</v>
      </c>
      <c r="N326" s="3" t="s">
        <v>83</v>
      </c>
      <c r="O326" s="3" t="s">
        <v>52</v>
      </c>
      <c r="P326" s="3" t="s">
        <v>176</v>
      </c>
      <c r="Q326" s="7">
        <v>1</v>
      </c>
      <c r="R326" s="8">
        <v>44963</v>
      </c>
      <c r="S326" s="8">
        <v>44961</v>
      </c>
      <c r="T326" s="3" t="s">
        <v>54</v>
      </c>
      <c r="U326" s="3" t="s">
        <v>55</v>
      </c>
      <c r="V326" s="9"/>
      <c r="W326" s="10">
        <v>44966</v>
      </c>
      <c r="X326" s="7">
        <v>3</v>
      </c>
      <c r="Y326" s="7">
        <v>2</v>
      </c>
      <c r="Z326" s="7">
        <v>2</v>
      </c>
      <c r="AA326" s="7">
        <f>INT((S326-DATE(YEAR(S326-WEEKDAY(S326-0)+4),1,4)+WEEKDAY(DATE(YEAR(S326-WEEKDAY(S326-0)+4),1,4))+6)/7)</f>
        <v>5</v>
      </c>
      <c r="AB326" s="3" t="s">
        <v>1877</v>
      </c>
      <c r="AC326" s="7">
        <v>13931</v>
      </c>
      <c r="AD326" s="7">
        <v>0</v>
      </c>
      <c r="AE326" s="7">
        <v>0</v>
      </c>
      <c r="AF326" s="3" t="s">
        <v>48</v>
      </c>
      <c r="AG326" s="7">
        <v>2023</v>
      </c>
      <c r="AH326" s="3" t="s">
        <v>86</v>
      </c>
      <c r="AI326" s="3" t="s">
        <v>48</v>
      </c>
      <c r="AJ326" s="3" t="s">
        <v>48</v>
      </c>
      <c r="AK326" s="3" t="s">
        <v>149</v>
      </c>
      <c r="AL326" s="3" t="s">
        <v>59</v>
      </c>
      <c r="AM326" s="3" t="s">
        <v>60</v>
      </c>
      <c r="AN326" s="3" t="s">
        <v>61</v>
      </c>
      <c r="AO326" s="3" t="s">
        <v>62</v>
      </c>
      <c r="AP326" s="3" t="s">
        <v>69</v>
      </c>
      <c r="AQ326" s="3" t="s">
        <v>61</v>
      </c>
      <c r="AR326" s="3" t="s">
        <v>48</v>
      </c>
    </row>
    <row r="327" spans="1:44" ht="30" customHeight="1">
      <c r="A327" s="3" t="s">
        <v>44</v>
      </c>
      <c r="B327" s="3" t="s">
        <v>45</v>
      </c>
      <c r="C327" s="3" t="s">
        <v>46</v>
      </c>
      <c r="D327" s="3" t="s">
        <v>130</v>
      </c>
      <c r="E327" s="3" t="s">
        <v>48</v>
      </c>
      <c r="F327" s="3" t="s">
        <v>131</v>
      </c>
      <c r="G327" s="3" t="s">
        <v>48</v>
      </c>
      <c r="H327" s="5">
        <f>IF(DATEDIF(L327,S327,"m")&gt;12,DATEDIF(L327,S327,"y"),(DATEDIF(L327,S327,"m")/12))</f>
        <v>0.58333333333333337</v>
      </c>
      <c r="I327" s="7">
        <f>DATEDIF(L327,S327,"M")</f>
        <v>7</v>
      </c>
      <c r="J327" s="7">
        <f>DATEDIF(L327,S327,"D")</f>
        <v>234</v>
      </c>
      <c r="K327" s="3" t="s">
        <v>64</v>
      </c>
      <c r="L327" s="8">
        <v>44729</v>
      </c>
      <c r="M327" s="3" t="s">
        <v>45</v>
      </c>
      <c r="N327" s="3" t="s">
        <v>83</v>
      </c>
      <c r="O327" s="3" t="s">
        <v>52</v>
      </c>
      <c r="P327" s="3" t="s">
        <v>176</v>
      </c>
      <c r="Q327" s="7">
        <v>0</v>
      </c>
      <c r="R327" s="8">
        <v>44966</v>
      </c>
      <c r="S327" s="8">
        <v>44963</v>
      </c>
      <c r="T327" s="3" t="s">
        <v>54</v>
      </c>
      <c r="U327" s="3" t="s">
        <v>55</v>
      </c>
      <c r="V327" s="9"/>
      <c r="W327" s="10">
        <v>44966</v>
      </c>
      <c r="X327" s="7">
        <v>0</v>
      </c>
      <c r="Y327" s="7">
        <v>3</v>
      </c>
      <c r="Z327" s="7">
        <v>2</v>
      </c>
      <c r="AA327" s="7">
        <f>INT((S327-DATE(YEAR(S327-WEEKDAY(S327-0)+4),1,4)+WEEKDAY(DATE(YEAR(S327-WEEKDAY(S327-0)+4),1,4))+6)/7)</f>
        <v>6</v>
      </c>
      <c r="AB327" s="3" t="s">
        <v>1898</v>
      </c>
      <c r="AC327" s="7">
        <v>95</v>
      </c>
      <c r="AD327" s="7">
        <v>0</v>
      </c>
      <c r="AE327" s="7">
        <v>0</v>
      </c>
      <c r="AF327" s="3" t="s">
        <v>48</v>
      </c>
      <c r="AG327" s="7">
        <v>2023</v>
      </c>
      <c r="AH327" s="3" t="s">
        <v>133</v>
      </c>
      <c r="AI327" s="3" t="s">
        <v>106</v>
      </c>
      <c r="AJ327" s="3" t="s">
        <v>48</v>
      </c>
      <c r="AK327" s="18" t="s">
        <v>154</v>
      </c>
      <c r="AL327" s="3" t="s">
        <v>59</v>
      </c>
      <c r="AM327" s="3" t="s">
        <v>115</v>
      </c>
      <c r="AN327" s="3" t="s">
        <v>61</v>
      </c>
      <c r="AO327" s="3" t="s">
        <v>62</v>
      </c>
      <c r="AP327" s="3" t="s">
        <v>69</v>
      </c>
      <c r="AQ327" s="3" t="s">
        <v>61</v>
      </c>
      <c r="AR327" s="3" t="s">
        <v>48</v>
      </c>
    </row>
    <row r="328" spans="1:44" ht="30" customHeight="1">
      <c r="A328" s="3" t="s">
        <v>44</v>
      </c>
      <c r="B328" s="3" t="s">
        <v>45</v>
      </c>
      <c r="C328" s="3" t="s">
        <v>80</v>
      </c>
      <c r="D328" s="3" t="s">
        <v>81</v>
      </c>
      <c r="E328" s="3" t="s">
        <v>48</v>
      </c>
      <c r="F328" s="3" t="s">
        <v>81</v>
      </c>
      <c r="G328" s="3" t="s">
        <v>2036</v>
      </c>
      <c r="H328" s="4">
        <f>IF(DATEDIF(L328,S328,"m")&gt;12,DATEDIF(L328,S328,"y"),(DATEDIF(L328,S328,"m")/12))</f>
        <v>67</v>
      </c>
      <c r="I328" s="7">
        <f>DATEDIF(L328,S328,"M")</f>
        <v>808</v>
      </c>
      <c r="J328" s="7">
        <f>DATEDIF(L328,S328,"D")</f>
        <v>24616</v>
      </c>
      <c r="K328" s="3" t="s">
        <v>64</v>
      </c>
      <c r="L328" s="8">
        <v>20346</v>
      </c>
      <c r="M328" s="3" t="s">
        <v>45</v>
      </c>
      <c r="N328" s="3" t="s">
        <v>159</v>
      </c>
      <c r="O328" s="3" t="s">
        <v>52</v>
      </c>
      <c r="P328" s="3" t="s">
        <v>298</v>
      </c>
      <c r="Q328" s="7">
        <v>1</v>
      </c>
      <c r="R328" s="8">
        <v>44963</v>
      </c>
      <c r="S328" s="8">
        <v>44962</v>
      </c>
      <c r="T328" s="3" t="s">
        <v>54</v>
      </c>
      <c r="U328" s="3" t="s">
        <v>55</v>
      </c>
      <c r="V328" s="9"/>
      <c r="W328" s="10">
        <v>44966</v>
      </c>
      <c r="X328" s="7">
        <v>3</v>
      </c>
      <c r="Y328" s="7">
        <v>1</v>
      </c>
      <c r="Z328" s="7">
        <v>2</v>
      </c>
      <c r="AA328" s="7">
        <f>INT((S328-DATE(YEAR(S328-WEEKDAY(S328-0)+4),1,4)+WEEKDAY(DATE(YEAR(S328-WEEKDAY(S328-0)+4),1,4))+6)/7)</f>
        <v>6</v>
      </c>
      <c r="AB328" s="3" t="s">
        <v>2037</v>
      </c>
      <c r="AC328" s="7">
        <v>13937</v>
      </c>
      <c r="AD328" s="7">
        <v>0</v>
      </c>
      <c r="AE328" s="7">
        <v>0</v>
      </c>
      <c r="AF328" s="3" t="s">
        <v>48</v>
      </c>
      <c r="AG328" s="7">
        <v>2023</v>
      </c>
      <c r="AH328" s="3" t="s">
        <v>86</v>
      </c>
      <c r="AI328" s="3" t="s">
        <v>48</v>
      </c>
      <c r="AJ328" s="3" t="s">
        <v>48</v>
      </c>
      <c r="AK328" s="3" t="s">
        <v>2038</v>
      </c>
      <c r="AL328" s="3" t="s">
        <v>59</v>
      </c>
      <c r="AM328" s="3" t="s">
        <v>60</v>
      </c>
      <c r="AN328" s="3" t="s">
        <v>69</v>
      </c>
      <c r="AO328" s="3" t="s">
        <v>62</v>
      </c>
      <c r="AP328" s="3" t="s">
        <v>69</v>
      </c>
      <c r="AQ328" s="3" t="s">
        <v>61</v>
      </c>
      <c r="AR328" s="3" t="s">
        <v>48</v>
      </c>
    </row>
    <row r="329" spans="1:44" ht="30" customHeight="1">
      <c r="A329" s="3" t="s">
        <v>44</v>
      </c>
      <c r="B329" s="3" t="s">
        <v>45</v>
      </c>
      <c r="C329" s="3" t="s">
        <v>80</v>
      </c>
      <c r="D329" s="3" t="s">
        <v>81</v>
      </c>
      <c r="E329" s="3" t="s">
        <v>48</v>
      </c>
      <c r="F329" s="3" t="s">
        <v>81</v>
      </c>
      <c r="G329" s="3" t="s">
        <v>2174</v>
      </c>
      <c r="H329" s="4">
        <f>IF(DATEDIF(L329,S329,"m")&gt;12,DATEDIF(L329,S329,"y"),(DATEDIF(L329,S329,"m")/12))</f>
        <v>57</v>
      </c>
      <c r="I329" s="7">
        <f>DATEDIF(L329,S329,"M")</f>
        <v>695</v>
      </c>
      <c r="J329" s="7">
        <f>DATEDIF(L329,S329,"D")</f>
        <v>21157</v>
      </c>
      <c r="K329" s="3" t="s">
        <v>51</v>
      </c>
      <c r="L329" s="8">
        <v>23801</v>
      </c>
      <c r="M329" s="3" t="s">
        <v>45</v>
      </c>
      <c r="N329" s="3" t="s">
        <v>65</v>
      </c>
      <c r="O329" s="3" t="s">
        <v>52</v>
      </c>
      <c r="P329" s="3" t="s">
        <v>91</v>
      </c>
      <c r="Q329" s="7">
        <v>1</v>
      </c>
      <c r="R329" s="8">
        <v>44961</v>
      </c>
      <c r="S329" s="8">
        <v>44958</v>
      </c>
      <c r="T329" s="3" t="s">
        <v>54</v>
      </c>
      <c r="U329" s="3" t="s">
        <v>55</v>
      </c>
      <c r="V329" s="9"/>
      <c r="W329" s="10">
        <v>44966</v>
      </c>
      <c r="X329" s="7">
        <v>5</v>
      </c>
      <c r="Y329" s="7">
        <v>3</v>
      </c>
      <c r="Z329" s="7">
        <v>2</v>
      </c>
      <c r="AA329" s="7">
        <f>INT((S329-DATE(YEAR(S329-WEEKDAY(S329-0)+4),1,4)+WEEKDAY(DATE(YEAR(S329-WEEKDAY(S329-0)+4),1,4))+6)/7)</f>
        <v>5</v>
      </c>
      <c r="AB329" s="3" t="s">
        <v>2175</v>
      </c>
      <c r="AC329" s="7">
        <v>13936</v>
      </c>
      <c r="AD329" s="7">
        <v>0</v>
      </c>
      <c r="AE329" s="7">
        <v>0</v>
      </c>
      <c r="AF329" s="3" t="s">
        <v>48</v>
      </c>
      <c r="AG329" s="7">
        <v>2023</v>
      </c>
      <c r="AH329" s="3" t="s">
        <v>86</v>
      </c>
      <c r="AI329" s="3" t="s">
        <v>48</v>
      </c>
      <c r="AJ329" s="3" t="s">
        <v>48</v>
      </c>
      <c r="AK329" s="3" t="s">
        <v>162</v>
      </c>
      <c r="AL329" s="3" t="s">
        <v>59</v>
      </c>
      <c r="AM329" s="3" t="s">
        <v>60</v>
      </c>
      <c r="AN329" s="3" t="s">
        <v>69</v>
      </c>
      <c r="AO329" s="3" t="s">
        <v>62</v>
      </c>
      <c r="AP329" s="3" t="s">
        <v>69</v>
      </c>
      <c r="AQ329" s="3" t="s">
        <v>61</v>
      </c>
      <c r="AR329" s="3" t="s">
        <v>48</v>
      </c>
    </row>
    <row r="330" spans="1:44" ht="30" customHeight="1">
      <c r="A330" s="3" t="s">
        <v>44</v>
      </c>
      <c r="B330" s="3" t="s">
        <v>45</v>
      </c>
      <c r="C330" s="3" t="s">
        <v>46</v>
      </c>
      <c r="D330" s="3" t="s">
        <v>130</v>
      </c>
      <c r="E330" s="3" t="s">
        <v>48</v>
      </c>
      <c r="F330" s="3" t="s">
        <v>131</v>
      </c>
      <c r="G330" s="3" t="s">
        <v>48</v>
      </c>
      <c r="H330" s="4">
        <f>IF(DATEDIF(L330,S330,"m")&gt;12,DATEDIF(L330,S330,"y"),(DATEDIF(L330,S330,"m")/12))</f>
        <v>11</v>
      </c>
      <c r="I330" s="7">
        <f>DATEDIF(L330,S330,"M")</f>
        <v>135</v>
      </c>
      <c r="J330" s="7">
        <f>DATEDIF(L330,S330,"D")</f>
        <v>4115</v>
      </c>
      <c r="K330" s="3" t="s">
        <v>64</v>
      </c>
      <c r="L330" s="8">
        <v>40845</v>
      </c>
      <c r="M330" s="3" t="s">
        <v>45</v>
      </c>
      <c r="N330" s="3" t="s">
        <v>83</v>
      </c>
      <c r="O330" s="3" t="s">
        <v>52</v>
      </c>
      <c r="P330" s="3" t="s">
        <v>103</v>
      </c>
      <c r="Q330" s="7">
        <v>0</v>
      </c>
      <c r="R330" s="8">
        <v>44966</v>
      </c>
      <c r="S330" s="8">
        <v>44960</v>
      </c>
      <c r="T330" s="3" t="s">
        <v>54</v>
      </c>
      <c r="U330" s="3" t="s">
        <v>55</v>
      </c>
      <c r="V330" s="9"/>
      <c r="W330" s="10">
        <v>44966</v>
      </c>
      <c r="X330" s="7">
        <v>0</v>
      </c>
      <c r="Y330" s="7">
        <v>6</v>
      </c>
      <c r="Z330" s="7">
        <v>2</v>
      </c>
      <c r="AA330" s="7">
        <f>INT((S330-DATE(YEAR(S330-WEEKDAY(S330-0)+4),1,4)+WEEKDAY(DATE(YEAR(S330-WEEKDAY(S330-0)+4),1,4))+6)/7)</f>
        <v>5</v>
      </c>
      <c r="AB330" s="3" t="s">
        <v>2250</v>
      </c>
      <c r="AC330" s="7">
        <v>98</v>
      </c>
      <c r="AD330" s="7">
        <v>0</v>
      </c>
      <c r="AE330" s="7">
        <v>0</v>
      </c>
      <c r="AF330" s="3" t="s">
        <v>48</v>
      </c>
      <c r="AG330" s="7">
        <v>2023</v>
      </c>
      <c r="AH330" s="3" t="s">
        <v>133</v>
      </c>
      <c r="AI330" s="3" t="s">
        <v>106</v>
      </c>
      <c r="AJ330" s="3" t="s">
        <v>48</v>
      </c>
      <c r="AK330" s="3" t="s">
        <v>98</v>
      </c>
      <c r="AL330" s="3" t="s">
        <v>59</v>
      </c>
      <c r="AM330" s="3" t="s">
        <v>115</v>
      </c>
      <c r="AN330" s="3" t="s">
        <v>61</v>
      </c>
      <c r="AO330" s="3" t="s">
        <v>62</v>
      </c>
      <c r="AP330" s="3" t="s">
        <v>69</v>
      </c>
      <c r="AQ330" s="3" t="s">
        <v>61</v>
      </c>
      <c r="AR330" s="3" t="s">
        <v>48</v>
      </c>
    </row>
    <row r="331" spans="1:44" ht="30" customHeight="1">
      <c r="A331" s="3" t="s">
        <v>44</v>
      </c>
      <c r="B331" s="3" t="s">
        <v>45</v>
      </c>
      <c r="C331" s="3" t="s">
        <v>46</v>
      </c>
      <c r="D331" s="3" t="s">
        <v>130</v>
      </c>
      <c r="E331" s="3" t="s">
        <v>48</v>
      </c>
      <c r="F331" s="3" t="s">
        <v>131</v>
      </c>
      <c r="G331" s="3" t="s">
        <v>48</v>
      </c>
      <c r="H331" s="4">
        <f>IF(DATEDIF(L331,S331,"m")&gt;12,DATEDIF(L331,S331,"y"),(DATEDIF(L331,S331,"m")/12))</f>
        <v>8</v>
      </c>
      <c r="I331" s="7">
        <f>DATEDIF(L331,S331,"M")</f>
        <v>103</v>
      </c>
      <c r="J331" s="7">
        <f>DATEDIF(L331,S331,"D")</f>
        <v>3147</v>
      </c>
      <c r="K331" s="3" t="s">
        <v>64</v>
      </c>
      <c r="L331" s="8">
        <v>41813</v>
      </c>
      <c r="M331" s="3" t="s">
        <v>45</v>
      </c>
      <c r="N331" s="3" t="s">
        <v>83</v>
      </c>
      <c r="O331" s="3" t="s">
        <v>52</v>
      </c>
      <c r="P331" s="3" t="s">
        <v>103</v>
      </c>
      <c r="Q331" s="7">
        <v>0</v>
      </c>
      <c r="R331" s="8">
        <v>44966</v>
      </c>
      <c r="S331" s="8">
        <v>44960</v>
      </c>
      <c r="T331" s="3" t="s">
        <v>54</v>
      </c>
      <c r="U331" s="3" t="s">
        <v>55</v>
      </c>
      <c r="V331" s="9"/>
      <c r="W331" s="10">
        <v>44966</v>
      </c>
      <c r="X331" s="7">
        <v>0</v>
      </c>
      <c r="Y331" s="7">
        <v>6</v>
      </c>
      <c r="Z331" s="7">
        <v>2</v>
      </c>
      <c r="AA331" s="7">
        <f>INT((S331-DATE(YEAR(S331-WEEKDAY(S331-0)+4),1,4)+WEEKDAY(DATE(YEAR(S331-WEEKDAY(S331-0)+4),1,4))+6)/7)</f>
        <v>5</v>
      </c>
      <c r="AB331" s="3" t="s">
        <v>2251</v>
      </c>
      <c r="AC331" s="7">
        <v>99</v>
      </c>
      <c r="AD331" s="7">
        <v>0</v>
      </c>
      <c r="AE331" s="7">
        <v>0</v>
      </c>
      <c r="AF331" s="3" t="s">
        <v>48</v>
      </c>
      <c r="AG331" s="7">
        <v>2023</v>
      </c>
      <c r="AH331" s="3" t="s">
        <v>133</v>
      </c>
      <c r="AI331" s="3" t="s">
        <v>106</v>
      </c>
      <c r="AJ331" s="3" t="s">
        <v>48</v>
      </c>
      <c r="AK331" s="3" t="s">
        <v>98</v>
      </c>
      <c r="AL331" s="3" t="s">
        <v>59</v>
      </c>
      <c r="AM331" s="3" t="s">
        <v>115</v>
      </c>
      <c r="AN331" s="3" t="s">
        <v>61</v>
      </c>
      <c r="AO331" s="3" t="s">
        <v>62</v>
      </c>
      <c r="AP331" s="3" t="s">
        <v>69</v>
      </c>
      <c r="AQ331" s="3" t="s">
        <v>61</v>
      </c>
      <c r="AR331" s="3" t="s">
        <v>48</v>
      </c>
    </row>
    <row r="332" spans="1:44" ht="30" customHeight="1">
      <c r="A332" s="3" t="s">
        <v>44</v>
      </c>
      <c r="B332" s="3" t="s">
        <v>45</v>
      </c>
      <c r="C332" s="3" t="s">
        <v>80</v>
      </c>
      <c r="D332" s="3" t="s">
        <v>81</v>
      </c>
      <c r="E332" s="3" t="s">
        <v>48</v>
      </c>
      <c r="F332" s="3" t="s">
        <v>81</v>
      </c>
      <c r="G332" s="3" t="s">
        <v>2417</v>
      </c>
      <c r="H332" s="4">
        <f>IF(DATEDIF(L332,S332,"m")&gt;12,DATEDIF(L332,S332,"y"),(DATEDIF(L332,S332,"m")/12))</f>
        <v>56</v>
      </c>
      <c r="I332" s="7">
        <f>DATEDIF(L332,S332,"M")</f>
        <v>674</v>
      </c>
      <c r="J332" s="7">
        <f>DATEDIF(L332,S332,"D")</f>
        <v>20520</v>
      </c>
      <c r="K332" s="3" t="s">
        <v>51</v>
      </c>
      <c r="L332" s="8">
        <v>24424</v>
      </c>
      <c r="M332" s="3" t="s">
        <v>45</v>
      </c>
      <c r="N332" s="3" t="s">
        <v>83</v>
      </c>
      <c r="O332" s="3" t="s">
        <v>52</v>
      </c>
      <c r="P332" s="3" t="s">
        <v>91</v>
      </c>
      <c r="Q332" s="7">
        <v>1</v>
      </c>
      <c r="R332" s="8">
        <v>44961</v>
      </c>
      <c r="S332" s="8">
        <v>44944</v>
      </c>
      <c r="T332" s="3" t="s">
        <v>54</v>
      </c>
      <c r="U332" s="3" t="s">
        <v>55</v>
      </c>
      <c r="V332" s="9"/>
      <c r="W332" s="10">
        <v>44966</v>
      </c>
      <c r="X332" s="7">
        <v>5</v>
      </c>
      <c r="Y332" s="7">
        <v>17</v>
      </c>
      <c r="Z332" s="7">
        <v>1</v>
      </c>
      <c r="AA332" s="7">
        <f>INT((S332-DATE(YEAR(S332-WEEKDAY(S332-0)+4),1,4)+WEEKDAY(DATE(YEAR(S332-WEEKDAY(S332-0)+4),1,4))+6)/7)</f>
        <v>3</v>
      </c>
      <c r="AB332" s="3" t="s">
        <v>2418</v>
      </c>
      <c r="AC332" s="7">
        <v>13945</v>
      </c>
      <c r="AD332" s="23">
        <v>0</v>
      </c>
      <c r="AE332" s="7">
        <v>0</v>
      </c>
      <c r="AF332" s="3" t="s">
        <v>48</v>
      </c>
      <c r="AG332" s="7">
        <v>2023</v>
      </c>
      <c r="AH332" s="18" t="s">
        <v>86</v>
      </c>
      <c r="AI332" s="3" t="s">
        <v>48</v>
      </c>
      <c r="AJ332" s="3" t="s">
        <v>48</v>
      </c>
      <c r="AK332" s="3" t="s">
        <v>606</v>
      </c>
      <c r="AL332" s="3" t="s">
        <v>59</v>
      </c>
      <c r="AM332" s="3" t="s">
        <v>60</v>
      </c>
      <c r="AN332" s="3" t="s">
        <v>69</v>
      </c>
      <c r="AO332" s="3" t="s">
        <v>62</v>
      </c>
      <c r="AP332" s="3" t="s">
        <v>69</v>
      </c>
      <c r="AQ332" s="3" t="s">
        <v>61</v>
      </c>
      <c r="AR332" s="3" t="s">
        <v>48</v>
      </c>
    </row>
    <row r="333" spans="1:44" ht="30" customHeight="1">
      <c r="A333" s="3" t="s">
        <v>44</v>
      </c>
      <c r="B333" s="3" t="s">
        <v>45</v>
      </c>
      <c r="C333" s="3" t="s">
        <v>46</v>
      </c>
      <c r="D333" s="3" t="s">
        <v>70</v>
      </c>
      <c r="E333" s="3" t="s">
        <v>48</v>
      </c>
      <c r="F333" s="3" t="s">
        <v>71</v>
      </c>
      <c r="G333" s="3" t="s">
        <v>434</v>
      </c>
      <c r="H333" s="4">
        <f>IF(DATEDIF(L333,S333,"m")&gt;12,DATEDIF(L333,S333,"y"),(DATEDIF(L333,S333,"m")/12))</f>
        <v>5</v>
      </c>
      <c r="I333" s="7">
        <f>DATEDIF(L333,S333,"M")</f>
        <v>60</v>
      </c>
      <c r="J333" s="7">
        <f>DATEDIF(L333,S333,"D")</f>
        <v>1853</v>
      </c>
      <c r="K333" s="3" t="s">
        <v>51</v>
      </c>
      <c r="L333" s="8">
        <v>43109</v>
      </c>
      <c r="M333" s="3" t="s">
        <v>45</v>
      </c>
      <c r="N333" s="3" t="s">
        <v>90</v>
      </c>
      <c r="O333" s="3" t="s">
        <v>52</v>
      </c>
      <c r="P333" s="3" t="s">
        <v>137</v>
      </c>
      <c r="Q333" s="7">
        <v>1</v>
      </c>
      <c r="R333" s="8">
        <v>44963</v>
      </c>
      <c r="S333" s="8">
        <v>44962</v>
      </c>
      <c r="T333" s="3" t="s">
        <v>54</v>
      </c>
      <c r="U333" s="3" t="s">
        <v>55</v>
      </c>
      <c r="V333" s="9"/>
      <c r="W333" s="10">
        <v>44967</v>
      </c>
      <c r="X333" s="7">
        <v>4</v>
      </c>
      <c r="Y333" s="7">
        <v>1</v>
      </c>
      <c r="Z333" s="7">
        <v>2</v>
      </c>
      <c r="AA333" s="7">
        <f>INT((S333-DATE(YEAR(S333-WEEKDAY(S333-0)+4),1,4)+WEEKDAY(DATE(YEAR(S333-WEEKDAY(S333-0)+4),1,4))+6)/7)</f>
        <v>6</v>
      </c>
      <c r="AB333" s="3" t="s">
        <v>435</v>
      </c>
      <c r="AC333" s="7">
        <v>656</v>
      </c>
      <c r="AD333" s="7">
        <v>0</v>
      </c>
      <c r="AE333" s="7">
        <v>1</v>
      </c>
      <c r="AF333" s="3" t="s">
        <v>48</v>
      </c>
      <c r="AG333" s="7">
        <v>2023</v>
      </c>
      <c r="AH333" s="3" t="s">
        <v>76</v>
      </c>
      <c r="AI333" s="3" t="s">
        <v>77</v>
      </c>
      <c r="AJ333" s="3" t="s">
        <v>78</v>
      </c>
      <c r="AK333" s="3" t="s">
        <v>162</v>
      </c>
      <c r="AL333" s="3" t="s">
        <v>59</v>
      </c>
      <c r="AM333" s="3" t="s">
        <v>60</v>
      </c>
      <c r="AN333" s="3" t="s">
        <v>61</v>
      </c>
      <c r="AO333" s="3" t="s">
        <v>62</v>
      </c>
      <c r="AP333" s="3" t="s">
        <v>69</v>
      </c>
      <c r="AQ333" s="3" t="s">
        <v>61</v>
      </c>
      <c r="AR333" s="3" t="s">
        <v>48</v>
      </c>
    </row>
    <row r="334" spans="1:44" ht="30" customHeight="1">
      <c r="A334" s="3" t="s">
        <v>44</v>
      </c>
      <c r="B334" s="3" t="s">
        <v>45</v>
      </c>
      <c r="C334" s="3" t="s">
        <v>46</v>
      </c>
      <c r="D334" s="3" t="s">
        <v>70</v>
      </c>
      <c r="E334" s="3" t="s">
        <v>48</v>
      </c>
      <c r="F334" s="3" t="s">
        <v>71</v>
      </c>
      <c r="G334" s="3" t="s">
        <v>856</v>
      </c>
      <c r="H334" s="4">
        <f>IF(DATEDIF(L334,S334,"m")&gt;12,DATEDIF(L334,S334,"y"),(DATEDIF(L334,S334,"m")/12))</f>
        <v>24</v>
      </c>
      <c r="I334" s="7">
        <f>DATEDIF(L334,S334,"M")</f>
        <v>298</v>
      </c>
      <c r="J334" s="7">
        <f>DATEDIF(L334,S334,"D")</f>
        <v>9078</v>
      </c>
      <c r="K334" s="3" t="s">
        <v>51</v>
      </c>
      <c r="L334" s="8">
        <v>35887</v>
      </c>
      <c r="M334" s="3" t="s">
        <v>45</v>
      </c>
      <c r="N334" s="3" t="s">
        <v>164</v>
      </c>
      <c r="O334" s="3" t="s">
        <v>52</v>
      </c>
      <c r="P334" s="3" t="s">
        <v>156</v>
      </c>
      <c r="Q334" s="7">
        <v>1</v>
      </c>
      <c r="R334" s="8">
        <v>44966</v>
      </c>
      <c r="S334" s="8">
        <v>44965</v>
      </c>
      <c r="T334" s="3" t="s">
        <v>54</v>
      </c>
      <c r="U334" s="3" t="s">
        <v>55</v>
      </c>
      <c r="V334" s="9"/>
      <c r="W334" s="10">
        <v>44967</v>
      </c>
      <c r="X334" s="7">
        <v>1</v>
      </c>
      <c r="Y334" s="7">
        <v>1</v>
      </c>
      <c r="Z334" s="7">
        <v>2</v>
      </c>
      <c r="AA334" s="7">
        <f>INT((S334-DATE(YEAR(S334-WEEKDAY(S334-0)+4),1,4)+WEEKDAY(DATE(YEAR(S334-WEEKDAY(S334-0)+4),1,4))+6)/7)</f>
        <v>6</v>
      </c>
      <c r="AB334" s="3" t="s">
        <v>857</v>
      </c>
      <c r="AC334" s="7">
        <v>661</v>
      </c>
      <c r="AD334" s="7">
        <v>0</v>
      </c>
      <c r="AE334" s="7">
        <v>1</v>
      </c>
      <c r="AF334" s="3" t="s">
        <v>48</v>
      </c>
      <c r="AG334" s="7">
        <v>2023</v>
      </c>
      <c r="AH334" s="3" t="s">
        <v>76</v>
      </c>
      <c r="AI334" s="3" t="s">
        <v>166</v>
      </c>
      <c r="AJ334" s="3" t="s">
        <v>78</v>
      </c>
      <c r="AK334" s="3" t="s">
        <v>858</v>
      </c>
      <c r="AL334" s="3" t="s">
        <v>59</v>
      </c>
      <c r="AM334" s="3" t="s">
        <v>60</v>
      </c>
      <c r="AN334" s="3" t="s">
        <v>61</v>
      </c>
      <c r="AO334" s="3" t="s">
        <v>62</v>
      </c>
      <c r="AP334" s="3" t="s">
        <v>69</v>
      </c>
      <c r="AQ334" s="3" t="s">
        <v>61</v>
      </c>
      <c r="AR334" s="3" t="s">
        <v>48</v>
      </c>
    </row>
    <row r="335" spans="1:44" ht="30" customHeight="1">
      <c r="A335" s="3" t="s">
        <v>44</v>
      </c>
      <c r="B335" s="3" t="s">
        <v>45</v>
      </c>
      <c r="C335" s="3" t="s">
        <v>46</v>
      </c>
      <c r="D335" s="3" t="s">
        <v>70</v>
      </c>
      <c r="E335" s="3" t="s">
        <v>48</v>
      </c>
      <c r="F335" s="3" t="s">
        <v>71</v>
      </c>
      <c r="G335" s="3" t="s">
        <v>1364</v>
      </c>
      <c r="H335" s="5">
        <f>IF(DATEDIF(L335,S335,"m")&gt;12,DATEDIF(L335,S335,"y"),(DATEDIF(L335,S335,"m")/12))</f>
        <v>0.25</v>
      </c>
      <c r="I335" s="7">
        <f>DATEDIF(L335,S335,"M")</f>
        <v>3</v>
      </c>
      <c r="J335" s="7">
        <f>DATEDIF(L335,S335,"D")</f>
        <v>99</v>
      </c>
      <c r="K335" s="3" t="s">
        <v>64</v>
      </c>
      <c r="L335" s="8">
        <v>44863</v>
      </c>
      <c r="M335" s="3" t="s">
        <v>45</v>
      </c>
      <c r="N335" s="3" t="s">
        <v>329</v>
      </c>
      <c r="O335" s="3" t="s">
        <v>52</v>
      </c>
      <c r="P335" s="3" t="s">
        <v>84</v>
      </c>
      <c r="Q335" s="7">
        <v>1</v>
      </c>
      <c r="R335" s="8">
        <v>44963</v>
      </c>
      <c r="S335" s="8">
        <v>44962</v>
      </c>
      <c r="T335" s="3" t="s">
        <v>54</v>
      </c>
      <c r="U335" s="3" t="s">
        <v>55</v>
      </c>
      <c r="V335" s="9"/>
      <c r="W335" s="10">
        <v>44967</v>
      </c>
      <c r="X335" s="7">
        <v>4</v>
      </c>
      <c r="Y335" s="7">
        <v>1</v>
      </c>
      <c r="Z335" s="7">
        <v>2</v>
      </c>
      <c r="AA335" s="7">
        <f>INT((S335-DATE(YEAR(S335-WEEKDAY(S335-0)+4),1,4)+WEEKDAY(DATE(YEAR(S335-WEEKDAY(S335-0)+4),1,4))+6)/7)</f>
        <v>6</v>
      </c>
      <c r="AB335" s="3" t="s">
        <v>1365</v>
      </c>
      <c r="AC335" s="7">
        <v>657</v>
      </c>
      <c r="AD335" s="7">
        <v>0</v>
      </c>
      <c r="AE335" s="7">
        <v>1</v>
      </c>
      <c r="AF335" s="3" t="s">
        <v>48</v>
      </c>
      <c r="AG335" s="7">
        <v>2023</v>
      </c>
      <c r="AH335" s="3" t="s">
        <v>76</v>
      </c>
      <c r="AI335" s="3" t="s">
        <v>166</v>
      </c>
      <c r="AJ335" s="3" t="s">
        <v>78</v>
      </c>
      <c r="AK335" s="3" t="s">
        <v>162</v>
      </c>
      <c r="AL335" s="3" t="s">
        <v>59</v>
      </c>
      <c r="AM335" s="3" t="s">
        <v>60</v>
      </c>
      <c r="AN335" s="3" t="s">
        <v>61</v>
      </c>
      <c r="AO335" s="3" t="s">
        <v>62</v>
      </c>
      <c r="AP335" s="3" t="s">
        <v>69</v>
      </c>
      <c r="AQ335" s="3" t="s">
        <v>61</v>
      </c>
      <c r="AR335" s="3" t="s">
        <v>48</v>
      </c>
    </row>
    <row r="336" spans="1:44" ht="30" customHeight="1">
      <c r="A336" s="3" t="s">
        <v>44</v>
      </c>
      <c r="B336" s="3" t="s">
        <v>45</v>
      </c>
      <c r="C336" s="3" t="s">
        <v>46</v>
      </c>
      <c r="D336" s="3" t="s">
        <v>70</v>
      </c>
      <c r="E336" s="3" t="s">
        <v>48</v>
      </c>
      <c r="F336" s="3" t="s">
        <v>71</v>
      </c>
      <c r="G336" s="3" t="s">
        <v>1440</v>
      </c>
      <c r="H336" s="4">
        <f>IF(DATEDIF(L336,S336,"m")&gt;12,DATEDIF(L336,S336,"y"),(DATEDIF(L336,S336,"m")/12))</f>
        <v>73</v>
      </c>
      <c r="I336" s="7">
        <f>DATEDIF(L336,S336,"M")</f>
        <v>881</v>
      </c>
      <c r="J336" s="7">
        <f>DATEDIF(L336,S336,"D")</f>
        <v>26820</v>
      </c>
      <c r="K336" s="3" t="s">
        <v>64</v>
      </c>
      <c r="L336" s="8">
        <v>18143</v>
      </c>
      <c r="M336" s="3" t="s">
        <v>45</v>
      </c>
      <c r="N336" s="3" t="s">
        <v>90</v>
      </c>
      <c r="O336" s="3" t="s">
        <v>52</v>
      </c>
      <c r="P336" s="3" t="s">
        <v>137</v>
      </c>
      <c r="Q336" s="7">
        <v>1</v>
      </c>
      <c r="R336" s="8">
        <v>44964</v>
      </c>
      <c r="S336" s="8">
        <v>44963</v>
      </c>
      <c r="T336" s="3" t="s">
        <v>54</v>
      </c>
      <c r="U336" s="3" t="s">
        <v>55</v>
      </c>
      <c r="V336" s="9"/>
      <c r="W336" s="10">
        <v>44967</v>
      </c>
      <c r="X336" s="7">
        <v>3</v>
      </c>
      <c r="Y336" s="7">
        <v>1</v>
      </c>
      <c r="Z336" s="7">
        <v>2</v>
      </c>
      <c r="AA336" s="7">
        <f>INT((S336-DATE(YEAR(S336-WEEKDAY(S336-0)+4),1,4)+WEEKDAY(DATE(YEAR(S336-WEEKDAY(S336-0)+4),1,4))+6)/7)</f>
        <v>6</v>
      </c>
      <c r="AB336" s="3" t="s">
        <v>1441</v>
      </c>
      <c r="AC336" s="7">
        <v>659</v>
      </c>
      <c r="AD336" s="7">
        <v>0</v>
      </c>
      <c r="AE336" s="7">
        <v>1</v>
      </c>
      <c r="AF336" s="3" t="s">
        <v>48</v>
      </c>
      <c r="AG336" s="7">
        <v>2023</v>
      </c>
      <c r="AH336" s="3" t="s">
        <v>76</v>
      </c>
      <c r="AI336" s="3" t="s">
        <v>166</v>
      </c>
      <c r="AJ336" s="3" t="s">
        <v>78</v>
      </c>
      <c r="AK336" s="3" t="s">
        <v>185</v>
      </c>
      <c r="AL336" s="3" t="s">
        <v>59</v>
      </c>
      <c r="AM336" s="3" t="s">
        <v>60</v>
      </c>
      <c r="AN336" s="3" t="s">
        <v>61</v>
      </c>
      <c r="AO336" s="3" t="s">
        <v>62</v>
      </c>
      <c r="AP336" s="3" t="s">
        <v>69</v>
      </c>
      <c r="AQ336" s="3" t="s">
        <v>69</v>
      </c>
      <c r="AR336" s="3" t="s">
        <v>48</v>
      </c>
    </row>
    <row r="337" spans="1:44" ht="30" customHeight="1">
      <c r="A337" s="3" t="s">
        <v>44</v>
      </c>
      <c r="B337" s="3" t="s">
        <v>45</v>
      </c>
      <c r="C337" s="3" t="s">
        <v>46</v>
      </c>
      <c r="D337" s="3" t="s">
        <v>70</v>
      </c>
      <c r="E337" s="3" t="s">
        <v>48</v>
      </c>
      <c r="F337" s="3" t="s">
        <v>71</v>
      </c>
      <c r="G337" s="3" t="s">
        <v>1547</v>
      </c>
      <c r="H337" s="4">
        <f>IF(DATEDIF(L337,S337,"m")&gt;12,DATEDIF(L337,S337,"y"),(DATEDIF(L337,S337,"m")/12))</f>
        <v>53</v>
      </c>
      <c r="I337" s="7">
        <f>DATEDIF(L337,S337,"M")</f>
        <v>638</v>
      </c>
      <c r="J337" s="7">
        <f>DATEDIF(L337,S337,"D")</f>
        <v>19432</v>
      </c>
      <c r="K337" s="3" t="s">
        <v>64</v>
      </c>
      <c r="L337" s="8">
        <v>25533</v>
      </c>
      <c r="M337" s="3" t="s">
        <v>45</v>
      </c>
      <c r="N337" s="3" t="s">
        <v>90</v>
      </c>
      <c r="O337" s="3" t="s">
        <v>52</v>
      </c>
      <c r="P337" s="3" t="s">
        <v>255</v>
      </c>
      <c r="Q337" s="7">
        <v>1</v>
      </c>
      <c r="R337" s="8">
        <v>44966</v>
      </c>
      <c r="S337" s="8">
        <v>44965</v>
      </c>
      <c r="T337" s="3" t="s">
        <v>54</v>
      </c>
      <c r="U337" s="3" t="s">
        <v>55</v>
      </c>
      <c r="V337" s="9"/>
      <c r="W337" s="10">
        <v>44967</v>
      </c>
      <c r="X337" s="7">
        <v>1</v>
      </c>
      <c r="Y337" s="7">
        <v>1</v>
      </c>
      <c r="Z337" s="7">
        <v>2</v>
      </c>
      <c r="AA337" s="7">
        <f>INT((S337-DATE(YEAR(S337-WEEKDAY(S337-0)+4),1,4)+WEEKDAY(DATE(YEAR(S337-WEEKDAY(S337-0)+4),1,4))+6)/7)</f>
        <v>6</v>
      </c>
      <c r="AB337" s="3" t="s">
        <v>1548</v>
      </c>
      <c r="AC337" s="7">
        <v>662</v>
      </c>
      <c r="AD337" s="7">
        <v>0</v>
      </c>
      <c r="AE337" s="7">
        <v>1</v>
      </c>
      <c r="AF337" s="3" t="s">
        <v>48</v>
      </c>
      <c r="AG337" s="7">
        <v>2023</v>
      </c>
      <c r="AH337" s="3" t="s">
        <v>76</v>
      </c>
      <c r="AI337" s="3" t="s">
        <v>166</v>
      </c>
      <c r="AJ337" s="3" t="s">
        <v>78</v>
      </c>
      <c r="AK337" s="3" t="s">
        <v>162</v>
      </c>
      <c r="AL337" s="3" t="s">
        <v>59</v>
      </c>
      <c r="AM337" s="3" t="s">
        <v>60</v>
      </c>
      <c r="AN337" s="3" t="s">
        <v>61</v>
      </c>
      <c r="AO337" s="3" t="s">
        <v>62</v>
      </c>
      <c r="AP337" s="3" t="s">
        <v>69</v>
      </c>
      <c r="AQ337" s="3" t="s">
        <v>61</v>
      </c>
      <c r="AR337" s="3" t="s">
        <v>48</v>
      </c>
    </row>
    <row r="338" spans="1:44" ht="30" customHeight="1">
      <c r="A338" s="3" t="s">
        <v>44</v>
      </c>
      <c r="B338" s="3" t="s">
        <v>45</v>
      </c>
      <c r="C338" s="3" t="s">
        <v>46</v>
      </c>
      <c r="D338" s="3" t="s">
        <v>70</v>
      </c>
      <c r="E338" s="3" t="s">
        <v>48</v>
      </c>
      <c r="F338" s="3" t="s">
        <v>71</v>
      </c>
      <c r="G338" s="3" t="s">
        <v>1560</v>
      </c>
      <c r="H338" s="4">
        <f>IF(DATEDIF(L338,S338,"m")&gt;12,DATEDIF(L338,S338,"y"),(DATEDIF(L338,S338,"m")/12))</f>
        <v>1</v>
      </c>
      <c r="I338" s="7">
        <f>DATEDIF(L338,S338,"M")</f>
        <v>13</v>
      </c>
      <c r="J338" s="7">
        <f>DATEDIF(L338,S338,"D")</f>
        <v>397</v>
      </c>
      <c r="K338" s="3" t="s">
        <v>64</v>
      </c>
      <c r="L338" s="8">
        <v>44568</v>
      </c>
      <c r="M338" s="3" t="s">
        <v>45</v>
      </c>
      <c r="N338" s="3" t="s">
        <v>159</v>
      </c>
      <c r="O338" s="3" t="s">
        <v>52</v>
      </c>
      <c r="P338" s="3" t="s">
        <v>103</v>
      </c>
      <c r="Q338" s="7">
        <v>1</v>
      </c>
      <c r="R338" s="8">
        <v>44966</v>
      </c>
      <c r="S338" s="8">
        <v>44965</v>
      </c>
      <c r="T338" s="3" t="s">
        <v>54</v>
      </c>
      <c r="U338" s="3" t="s">
        <v>55</v>
      </c>
      <c r="V338" s="9"/>
      <c r="W338" s="10">
        <v>44967</v>
      </c>
      <c r="X338" s="7">
        <v>1</v>
      </c>
      <c r="Y338" s="7">
        <v>1</v>
      </c>
      <c r="Z338" s="7">
        <v>2</v>
      </c>
      <c r="AA338" s="7">
        <f>INT((S338-DATE(YEAR(S338-WEEKDAY(S338-0)+4),1,4)+WEEKDAY(DATE(YEAR(S338-WEEKDAY(S338-0)+4),1,4))+6)/7)</f>
        <v>6</v>
      </c>
      <c r="AB338" s="3" t="s">
        <v>1561</v>
      </c>
      <c r="AC338" s="7">
        <v>663</v>
      </c>
      <c r="AD338" s="7">
        <v>0</v>
      </c>
      <c r="AE338" s="7">
        <v>1</v>
      </c>
      <c r="AF338" s="3" t="s">
        <v>48</v>
      </c>
      <c r="AG338" s="7">
        <v>2023</v>
      </c>
      <c r="AH338" s="3" t="s">
        <v>76</v>
      </c>
      <c r="AI338" s="3" t="s">
        <v>77</v>
      </c>
      <c r="AJ338" s="3" t="s">
        <v>78</v>
      </c>
      <c r="AK338" s="3" t="s">
        <v>349</v>
      </c>
      <c r="AL338" s="3" t="s">
        <v>59</v>
      </c>
      <c r="AM338" s="3" t="s">
        <v>60</v>
      </c>
      <c r="AN338" s="3" t="s">
        <v>61</v>
      </c>
      <c r="AO338" s="3" t="s">
        <v>62</v>
      </c>
      <c r="AP338" s="3" t="s">
        <v>69</v>
      </c>
      <c r="AQ338" s="3" t="s">
        <v>61</v>
      </c>
      <c r="AR338" s="3" t="s">
        <v>48</v>
      </c>
    </row>
    <row r="339" spans="1:44" ht="30" customHeight="1">
      <c r="A339" s="3" t="s">
        <v>44</v>
      </c>
      <c r="B339" s="3" t="s">
        <v>45</v>
      </c>
      <c r="C339" s="3" t="s">
        <v>46</v>
      </c>
      <c r="D339" s="3" t="s">
        <v>70</v>
      </c>
      <c r="E339" s="3" t="s">
        <v>48</v>
      </c>
      <c r="F339" s="3" t="s">
        <v>71</v>
      </c>
      <c r="G339" s="3" t="s">
        <v>1776</v>
      </c>
      <c r="H339" s="4">
        <f>IF(DATEDIF(L339,S339,"m")&gt;12,DATEDIF(L339,S339,"y"),(DATEDIF(L339,S339,"m")/12))</f>
        <v>7</v>
      </c>
      <c r="I339" s="7">
        <f>DATEDIF(L339,S339,"M")</f>
        <v>84</v>
      </c>
      <c r="J339" s="7">
        <f>DATEDIF(L339,S339,"D")</f>
        <v>2570</v>
      </c>
      <c r="K339" s="3" t="s">
        <v>64</v>
      </c>
      <c r="L339" s="8">
        <v>42391</v>
      </c>
      <c r="M339" s="3" t="s">
        <v>45</v>
      </c>
      <c r="N339" s="3" t="s">
        <v>329</v>
      </c>
      <c r="O339" s="3" t="s">
        <v>52</v>
      </c>
      <c r="P339" s="3" t="s">
        <v>298</v>
      </c>
      <c r="Q339" s="7">
        <v>1</v>
      </c>
      <c r="R339" s="8">
        <v>44962</v>
      </c>
      <c r="S339" s="8">
        <v>44961</v>
      </c>
      <c r="T339" s="3" t="s">
        <v>54</v>
      </c>
      <c r="U339" s="3" t="s">
        <v>55</v>
      </c>
      <c r="V339" s="9"/>
      <c r="W339" s="10">
        <v>44967</v>
      </c>
      <c r="X339" s="7">
        <v>5</v>
      </c>
      <c r="Y339" s="7">
        <v>1</v>
      </c>
      <c r="Z339" s="7">
        <v>2</v>
      </c>
      <c r="AA339" s="7">
        <f>INT((S339-DATE(YEAR(S339-WEEKDAY(S339-0)+4),1,4)+WEEKDAY(DATE(YEAR(S339-WEEKDAY(S339-0)+4),1,4))+6)/7)</f>
        <v>5</v>
      </c>
      <c r="AB339" s="3" t="s">
        <v>1777</v>
      </c>
      <c r="AC339" s="7">
        <v>655</v>
      </c>
      <c r="AD339" s="7">
        <v>0</v>
      </c>
      <c r="AE339" s="7">
        <v>1</v>
      </c>
      <c r="AF339" s="3" t="s">
        <v>48</v>
      </c>
      <c r="AG339" s="7">
        <v>2023</v>
      </c>
      <c r="AH339" s="3" t="s">
        <v>76</v>
      </c>
      <c r="AI339" s="3" t="s">
        <v>166</v>
      </c>
      <c r="AJ339" s="3" t="s">
        <v>78</v>
      </c>
      <c r="AK339" s="3" t="s">
        <v>1083</v>
      </c>
      <c r="AL339" s="3" t="s">
        <v>59</v>
      </c>
      <c r="AM339" s="3" t="s">
        <v>60</v>
      </c>
      <c r="AN339" s="3" t="s">
        <v>61</v>
      </c>
      <c r="AO339" s="3" t="s">
        <v>62</v>
      </c>
      <c r="AP339" s="3" t="s">
        <v>69</v>
      </c>
      <c r="AQ339" s="3" t="s">
        <v>61</v>
      </c>
      <c r="AR339" s="3" t="s">
        <v>48</v>
      </c>
    </row>
    <row r="340" spans="1:44" ht="30" customHeight="1">
      <c r="A340" s="3" t="s">
        <v>44</v>
      </c>
      <c r="B340" s="3" t="s">
        <v>45</v>
      </c>
      <c r="C340" s="3" t="s">
        <v>46</v>
      </c>
      <c r="D340" s="3" t="s">
        <v>70</v>
      </c>
      <c r="E340" s="3" t="s">
        <v>48</v>
      </c>
      <c r="F340" s="3" t="s">
        <v>71</v>
      </c>
      <c r="G340" s="3" t="s">
        <v>2014</v>
      </c>
      <c r="H340" s="4">
        <f>IF(DATEDIF(L340,S340,"m")&gt;12,DATEDIF(L340,S340,"y"),(DATEDIF(L340,S340,"m")/12))</f>
        <v>4</v>
      </c>
      <c r="I340" s="7">
        <f>DATEDIF(L340,S340,"M")</f>
        <v>58</v>
      </c>
      <c r="J340" s="7">
        <f>DATEDIF(L340,S340,"D")</f>
        <v>1784</v>
      </c>
      <c r="K340" s="3" t="s">
        <v>51</v>
      </c>
      <c r="L340" s="8">
        <v>43178</v>
      </c>
      <c r="M340" s="3" t="s">
        <v>45</v>
      </c>
      <c r="N340" s="3" t="s">
        <v>329</v>
      </c>
      <c r="O340" s="3" t="s">
        <v>52</v>
      </c>
      <c r="P340" s="3" t="s">
        <v>2015</v>
      </c>
      <c r="Q340" s="7">
        <v>1</v>
      </c>
      <c r="R340" s="8">
        <v>44963</v>
      </c>
      <c r="S340" s="8">
        <v>44962</v>
      </c>
      <c r="T340" s="3" t="s">
        <v>54</v>
      </c>
      <c r="U340" s="3" t="s">
        <v>55</v>
      </c>
      <c r="V340" s="9"/>
      <c r="W340" s="10">
        <v>44967</v>
      </c>
      <c r="X340" s="7">
        <v>4</v>
      </c>
      <c r="Y340" s="7">
        <v>1</v>
      </c>
      <c r="Z340" s="7">
        <v>2</v>
      </c>
      <c r="AA340" s="7">
        <f>INT((S340-DATE(YEAR(S340-WEEKDAY(S340-0)+4),1,4)+WEEKDAY(DATE(YEAR(S340-WEEKDAY(S340-0)+4),1,4))+6)/7)</f>
        <v>6</v>
      </c>
      <c r="AB340" s="3" t="s">
        <v>2016</v>
      </c>
      <c r="AC340" s="7">
        <v>658</v>
      </c>
      <c r="AD340" s="7">
        <v>0</v>
      </c>
      <c r="AE340" s="7">
        <v>1</v>
      </c>
      <c r="AF340" s="3" t="s">
        <v>48</v>
      </c>
      <c r="AG340" s="7">
        <v>2023</v>
      </c>
      <c r="AH340" s="3" t="s">
        <v>76</v>
      </c>
      <c r="AI340" s="3" t="s">
        <v>166</v>
      </c>
      <c r="AJ340" s="3" t="s">
        <v>78</v>
      </c>
      <c r="AK340" s="3" t="s">
        <v>547</v>
      </c>
      <c r="AL340" s="3" t="s">
        <v>59</v>
      </c>
      <c r="AM340" s="3" t="s">
        <v>60</v>
      </c>
      <c r="AN340" s="3" t="s">
        <v>61</v>
      </c>
      <c r="AO340" s="3" t="s">
        <v>62</v>
      </c>
      <c r="AP340" s="3" t="s">
        <v>69</v>
      </c>
      <c r="AQ340" s="3" t="s">
        <v>61</v>
      </c>
      <c r="AR340" s="3" t="s">
        <v>48</v>
      </c>
    </row>
    <row r="341" spans="1:44" ht="30" customHeight="1">
      <c r="A341" s="3" t="s">
        <v>44</v>
      </c>
      <c r="B341" s="3" t="s">
        <v>45</v>
      </c>
      <c r="C341" s="3" t="s">
        <v>46</v>
      </c>
      <c r="D341" s="3" t="s">
        <v>70</v>
      </c>
      <c r="E341" s="3" t="s">
        <v>48</v>
      </c>
      <c r="F341" s="3" t="s">
        <v>71</v>
      </c>
      <c r="G341" s="3" t="s">
        <v>2434</v>
      </c>
      <c r="H341" s="4">
        <f>IF(DATEDIF(L341,S341,"m")&gt;12,DATEDIF(L341,S341,"y"),(DATEDIF(L341,S341,"m")/12))</f>
        <v>2</v>
      </c>
      <c r="I341" s="7">
        <f>DATEDIF(L341,S341,"M")</f>
        <v>31</v>
      </c>
      <c r="J341" s="7">
        <f>DATEDIF(L341,S341,"D")</f>
        <v>963</v>
      </c>
      <c r="K341" s="3" t="s">
        <v>64</v>
      </c>
      <c r="L341" s="8">
        <v>44002</v>
      </c>
      <c r="M341" s="3" t="s">
        <v>45</v>
      </c>
      <c r="N341" s="3" t="s">
        <v>90</v>
      </c>
      <c r="O341" s="3" t="s">
        <v>52</v>
      </c>
      <c r="P341" s="3" t="s">
        <v>176</v>
      </c>
      <c r="Q341" s="7">
        <v>1</v>
      </c>
      <c r="R341" s="8">
        <v>44966</v>
      </c>
      <c r="S341" s="8">
        <v>44965</v>
      </c>
      <c r="T341" s="3" t="s">
        <v>54</v>
      </c>
      <c r="U341" s="3" t="s">
        <v>55</v>
      </c>
      <c r="V341" s="9"/>
      <c r="W341" s="10">
        <v>44967</v>
      </c>
      <c r="X341" s="7">
        <v>1</v>
      </c>
      <c r="Y341" s="7">
        <v>1</v>
      </c>
      <c r="Z341" s="7">
        <v>2</v>
      </c>
      <c r="AA341" s="7">
        <f>INT((S341-DATE(YEAR(S341-WEEKDAY(S341-0)+4),1,4)+WEEKDAY(DATE(YEAR(S341-WEEKDAY(S341-0)+4),1,4))+6)/7)</f>
        <v>6</v>
      </c>
      <c r="AB341" s="3" t="s">
        <v>2435</v>
      </c>
      <c r="AC341" s="7">
        <v>664</v>
      </c>
      <c r="AD341" s="7">
        <v>0</v>
      </c>
      <c r="AE341" s="7">
        <v>1</v>
      </c>
      <c r="AF341" s="3" t="s">
        <v>48</v>
      </c>
      <c r="AG341" s="7">
        <v>2023</v>
      </c>
      <c r="AH341" s="3" t="s">
        <v>76</v>
      </c>
      <c r="AI341" s="3" t="s">
        <v>166</v>
      </c>
      <c r="AJ341" s="3" t="s">
        <v>78</v>
      </c>
      <c r="AK341" s="18" t="s">
        <v>257</v>
      </c>
      <c r="AL341" s="3" t="s">
        <v>59</v>
      </c>
      <c r="AM341" s="3" t="s">
        <v>60</v>
      </c>
      <c r="AN341" s="3" t="s">
        <v>61</v>
      </c>
      <c r="AO341" s="3" t="s">
        <v>62</v>
      </c>
      <c r="AP341" s="3" t="s">
        <v>69</v>
      </c>
      <c r="AQ341" s="3" t="s">
        <v>61</v>
      </c>
      <c r="AR341" s="3" t="s">
        <v>48</v>
      </c>
    </row>
    <row r="342" spans="1:44" ht="30" customHeight="1">
      <c r="A342" s="3" t="s">
        <v>44</v>
      </c>
      <c r="B342" s="3" t="s">
        <v>45</v>
      </c>
      <c r="C342" s="3" t="s">
        <v>46</v>
      </c>
      <c r="D342" s="3" t="s">
        <v>70</v>
      </c>
      <c r="E342" s="3" t="s">
        <v>48</v>
      </c>
      <c r="F342" s="3" t="s">
        <v>71</v>
      </c>
      <c r="G342" s="3" t="s">
        <v>2436</v>
      </c>
      <c r="H342" s="4">
        <f>IF(DATEDIF(L342,S342,"m")&gt;12,DATEDIF(L342,S342,"y"),(DATEDIF(L342,S342,"m")/12))</f>
        <v>5</v>
      </c>
      <c r="I342" s="7">
        <f>DATEDIF(L342,S342,"M")</f>
        <v>69</v>
      </c>
      <c r="J342" s="7">
        <f>DATEDIF(L342,S342,"D")</f>
        <v>2130</v>
      </c>
      <c r="K342" s="3" t="s">
        <v>64</v>
      </c>
      <c r="L342" s="8">
        <v>42834</v>
      </c>
      <c r="M342" s="3" t="s">
        <v>45</v>
      </c>
      <c r="N342" s="3" t="s">
        <v>164</v>
      </c>
      <c r="O342" s="3" t="s">
        <v>52</v>
      </c>
      <c r="P342" s="3" t="s">
        <v>91</v>
      </c>
      <c r="Q342" s="7">
        <v>1</v>
      </c>
      <c r="R342" s="8">
        <v>44965</v>
      </c>
      <c r="S342" s="8">
        <v>44964</v>
      </c>
      <c r="T342" s="3" t="s">
        <v>54</v>
      </c>
      <c r="U342" s="3" t="s">
        <v>55</v>
      </c>
      <c r="V342" s="9"/>
      <c r="W342" s="10">
        <v>44967</v>
      </c>
      <c r="X342" s="7">
        <v>2</v>
      </c>
      <c r="Y342" s="7">
        <v>1</v>
      </c>
      <c r="Z342" s="7">
        <v>2</v>
      </c>
      <c r="AA342" s="7">
        <f>INT((S342-DATE(YEAR(S342-WEEKDAY(S342-0)+4),1,4)+WEEKDAY(DATE(YEAR(S342-WEEKDAY(S342-0)+4),1,4))+6)/7)</f>
        <v>6</v>
      </c>
      <c r="AB342" s="3" t="s">
        <v>2437</v>
      </c>
      <c r="AC342" s="7">
        <v>660</v>
      </c>
      <c r="AD342" s="7">
        <v>0</v>
      </c>
      <c r="AE342" s="7">
        <v>1</v>
      </c>
      <c r="AF342" s="3" t="s">
        <v>48</v>
      </c>
      <c r="AG342" s="7">
        <v>2023</v>
      </c>
      <c r="AH342" s="3" t="s">
        <v>76</v>
      </c>
      <c r="AI342" s="3" t="s">
        <v>166</v>
      </c>
      <c r="AJ342" s="3" t="s">
        <v>78</v>
      </c>
      <c r="AK342" s="3" t="s">
        <v>2438</v>
      </c>
      <c r="AL342" s="3" t="s">
        <v>59</v>
      </c>
      <c r="AM342" s="3" t="s">
        <v>60</v>
      </c>
      <c r="AN342" s="3" t="s">
        <v>61</v>
      </c>
      <c r="AO342" s="3" t="s">
        <v>62</v>
      </c>
      <c r="AP342" s="3" t="s">
        <v>69</v>
      </c>
      <c r="AQ342" s="3" t="s">
        <v>61</v>
      </c>
      <c r="AR342" s="3" t="s">
        <v>48</v>
      </c>
    </row>
    <row r="343" spans="1:44" ht="30" customHeight="1">
      <c r="A343" s="3" t="s">
        <v>44</v>
      </c>
      <c r="B343" s="3" t="s">
        <v>45</v>
      </c>
      <c r="C343" s="3" t="s">
        <v>46</v>
      </c>
      <c r="D343" s="3" t="s">
        <v>47</v>
      </c>
      <c r="E343" s="3" t="s">
        <v>48</v>
      </c>
      <c r="F343" s="3" t="s">
        <v>49</v>
      </c>
      <c r="G343" s="3" t="s">
        <v>217</v>
      </c>
      <c r="H343" s="4">
        <f>IF(DATEDIF(L343,S343,"m")&gt;12,DATEDIF(L343,S343,"y"),(DATEDIF(L343,S343,"m")/12))</f>
        <v>45</v>
      </c>
      <c r="I343" s="7">
        <f>DATEDIF(L343,S343,"M")</f>
        <v>551</v>
      </c>
      <c r="J343" s="7">
        <f>DATEDIF(L343,S343,"D")</f>
        <v>16800</v>
      </c>
      <c r="K343" s="3" t="s">
        <v>51</v>
      </c>
      <c r="L343" s="8">
        <v>28158</v>
      </c>
      <c r="M343" s="3" t="s">
        <v>45</v>
      </c>
      <c r="N343" s="3" t="s">
        <v>49</v>
      </c>
      <c r="O343" s="3" t="s">
        <v>52</v>
      </c>
      <c r="P343" s="3" t="s">
        <v>218</v>
      </c>
      <c r="Q343" s="7">
        <v>0</v>
      </c>
      <c r="R343" s="8">
        <v>44963</v>
      </c>
      <c r="S343" s="8">
        <v>44958</v>
      </c>
      <c r="T343" s="3" t="s">
        <v>54</v>
      </c>
      <c r="U343" s="3" t="s">
        <v>55</v>
      </c>
      <c r="V343" s="9"/>
      <c r="W343" s="10">
        <v>44970</v>
      </c>
      <c r="X343" s="7">
        <v>7</v>
      </c>
      <c r="Y343" s="7">
        <v>5</v>
      </c>
      <c r="Z343" s="7">
        <v>2</v>
      </c>
      <c r="AA343" s="7">
        <f>INT((S343-DATE(YEAR(S343-WEEKDAY(S343-0)+4),1,4)+WEEKDAY(DATE(YEAR(S343-WEEKDAY(S343-0)+4),1,4))+6)/7)</f>
        <v>5</v>
      </c>
      <c r="AB343" s="3" t="s">
        <v>219</v>
      </c>
      <c r="AC343" s="7">
        <v>35</v>
      </c>
      <c r="AD343" s="7">
        <v>0</v>
      </c>
      <c r="AE343" s="7">
        <v>0</v>
      </c>
      <c r="AF343" s="3" t="s">
        <v>48</v>
      </c>
      <c r="AG343" s="7">
        <v>2023</v>
      </c>
      <c r="AH343" s="3" t="s">
        <v>57</v>
      </c>
      <c r="AI343" s="3" t="s">
        <v>48</v>
      </c>
      <c r="AJ343" s="3" t="s">
        <v>48</v>
      </c>
      <c r="AK343" s="3" t="s">
        <v>220</v>
      </c>
      <c r="AL343" s="3" t="s">
        <v>59</v>
      </c>
      <c r="AM343" s="3" t="s">
        <v>60</v>
      </c>
      <c r="AN343" s="3" t="s">
        <v>61</v>
      </c>
      <c r="AO343" s="3" t="s">
        <v>62</v>
      </c>
      <c r="AP343" s="3" t="s">
        <v>69</v>
      </c>
      <c r="AQ343" s="3" t="s">
        <v>61</v>
      </c>
      <c r="AR343" s="3" t="s">
        <v>48</v>
      </c>
    </row>
    <row r="344" spans="1:44" ht="30" customHeight="1">
      <c r="A344" s="3" t="s">
        <v>44</v>
      </c>
      <c r="B344" s="3" t="s">
        <v>45</v>
      </c>
      <c r="C344" s="3" t="s">
        <v>46</v>
      </c>
      <c r="D344" s="3" t="s">
        <v>100</v>
      </c>
      <c r="E344" s="3" t="s">
        <v>48</v>
      </c>
      <c r="F344" s="3" t="s">
        <v>101</v>
      </c>
      <c r="G344" s="3" t="s">
        <v>239</v>
      </c>
      <c r="H344" s="4">
        <f>IF(DATEDIF(L344,S344,"m")&gt;12,DATEDIF(L344,S344,"y"),(DATEDIF(L344,S344,"m")/12))</f>
        <v>5</v>
      </c>
      <c r="I344" s="7">
        <f>DATEDIF(L344,S344,"M")</f>
        <v>63</v>
      </c>
      <c r="J344" s="7">
        <f>DATEDIF(L344,S344,"D")</f>
        <v>1926</v>
      </c>
      <c r="K344" s="3" t="s">
        <v>51</v>
      </c>
      <c r="L344" s="8">
        <v>43031</v>
      </c>
      <c r="M344" s="3" t="s">
        <v>45</v>
      </c>
      <c r="N344" s="3" t="s">
        <v>101</v>
      </c>
      <c r="O344" s="3" t="s">
        <v>52</v>
      </c>
      <c r="P344" s="3" t="s">
        <v>169</v>
      </c>
      <c r="Q344" s="7">
        <v>0</v>
      </c>
      <c r="R344" s="8">
        <v>44963</v>
      </c>
      <c r="S344" s="8">
        <v>44957</v>
      </c>
      <c r="T344" s="3" t="s">
        <v>54</v>
      </c>
      <c r="U344" s="3" t="s">
        <v>55</v>
      </c>
      <c r="V344" s="9"/>
      <c r="W344" s="10">
        <v>44970</v>
      </c>
      <c r="X344" s="7">
        <v>7</v>
      </c>
      <c r="Y344" s="7">
        <v>6</v>
      </c>
      <c r="Z344" s="7">
        <v>1</v>
      </c>
      <c r="AA344" s="7">
        <f>INT((S344-DATE(YEAR(S344-WEEKDAY(S344-0)+4),1,4)+WEEKDAY(DATE(YEAR(S344-WEEKDAY(S344-0)+4),1,4))+6)/7)</f>
        <v>5</v>
      </c>
      <c r="AB344" s="3" t="s">
        <v>240</v>
      </c>
      <c r="AC344" s="7">
        <v>20</v>
      </c>
      <c r="AD344" s="7">
        <v>0</v>
      </c>
      <c r="AE344" s="7">
        <v>0</v>
      </c>
      <c r="AF344" s="3" t="s">
        <v>48</v>
      </c>
      <c r="AG344" s="7">
        <v>2023</v>
      </c>
      <c r="AH344" s="3" t="s">
        <v>105</v>
      </c>
      <c r="AI344" s="3" t="s">
        <v>106</v>
      </c>
      <c r="AJ344" s="3" t="s">
        <v>100</v>
      </c>
      <c r="AK344" s="3" t="s">
        <v>241</v>
      </c>
      <c r="AL344" s="3" t="s">
        <v>59</v>
      </c>
      <c r="AM344" s="3" t="s">
        <v>99</v>
      </c>
      <c r="AN344" s="3" t="s">
        <v>61</v>
      </c>
      <c r="AO344" s="3" t="s">
        <v>62</v>
      </c>
      <c r="AP344" s="3" t="s">
        <v>69</v>
      </c>
      <c r="AQ344" s="3" t="s">
        <v>61</v>
      </c>
      <c r="AR344" s="3" t="s">
        <v>48</v>
      </c>
    </row>
    <row r="345" spans="1:44" ht="30" customHeight="1">
      <c r="A345" s="3" t="s">
        <v>44</v>
      </c>
      <c r="B345" s="3" t="s">
        <v>45</v>
      </c>
      <c r="C345" s="3" t="s">
        <v>46</v>
      </c>
      <c r="D345" s="3" t="s">
        <v>47</v>
      </c>
      <c r="E345" s="3" t="s">
        <v>48</v>
      </c>
      <c r="F345" s="3" t="s">
        <v>49</v>
      </c>
      <c r="G345" s="3" t="s">
        <v>247</v>
      </c>
      <c r="H345" s="4">
        <f>IF(DATEDIF(L345,S345,"m")&gt;12,DATEDIF(L345,S345,"y"),(DATEDIF(L345,S345,"m")/12))</f>
        <v>8</v>
      </c>
      <c r="I345" s="7">
        <f>DATEDIF(L345,S345,"M")</f>
        <v>96</v>
      </c>
      <c r="J345" s="7">
        <f>DATEDIF(L345,S345,"D")</f>
        <v>2943</v>
      </c>
      <c r="K345" s="3" t="s">
        <v>51</v>
      </c>
      <c r="L345" s="8">
        <v>42020</v>
      </c>
      <c r="M345" s="3" t="s">
        <v>45</v>
      </c>
      <c r="N345" s="3" t="s">
        <v>65</v>
      </c>
      <c r="O345" s="3" t="s">
        <v>52</v>
      </c>
      <c r="P345" s="3" t="s">
        <v>84</v>
      </c>
      <c r="Q345" s="7">
        <v>0</v>
      </c>
      <c r="R345" s="8">
        <v>44967</v>
      </c>
      <c r="S345" s="8">
        <v>44963</v>
      </c>
      <c r="T345" s="3" t="s">
        <v>54</v>
      </c>
      <c r="U345" s="3" t="s">
        <v>55</v>
      </c>
      <c r="V345" s="9"/>
      <c r="W345" s="10">
        <v>44970</v>
      </c>
      <c r="X345" s="7">
        <v>3</v>
      </c>
      <c r="Y345" s="7">
        <v>4</v>
      </c>
      <c r="Z345" s="7">
        <v>2</v>
      </c>
      <c r="AA345" s="7">
        <f>INT((S345-DATE(YEAR(S345-WEEKDAY(S345-0)+4),1,4)+WEEKDAY(DATE(YEAR(S345-WEEKDAY(S345-0)+4),1,4))+6)/7)</f>
        <v>6</v>
      </c>
      <c r="AB345" s="3" t="s">
        <v>248</v>
      </c>
      <c r="AC345" s="7">
        <v>44</v>
      </c>
      <c r="AD345" s="7">
        <v>0</v>
      </c>
      <c r="AE345" s="7">
        <v>0</v>
      </c>
      <c r="AF345" s="3" t="s">
        <v>48</v>
      </c>
      <c r="AG345" s="7">
        <v>2023</v>
      </c>
      <c r="AH345" s="3" t="s">
        <v>57</v>
      </c>
      <c r="AI345" s="3" t="s">
        <v>48</v>
      </c>
      <c r="AJ345" s="3" t="s">
        <v>48</v>
      </c>
      <c r="AK345" s="3" t="s">
        <v>249</v>
      </c>
      <c r="AL345" s="3" t="s">
        <v>59</v>
      </c>
      <c r="AM345" s="3" t="s">
        <v>60</v>
      </c>
      <c r="AN345" s="3" t="s">
        <v>61</v>
      </c>
      <c r="AO345" s="3" t="s">
        <v>62</v>
      </c>
      <c r="AP345" s="3" t="s">
        <v>69</v>
      </c>
      <c r="AQ345" s="3" t="s">
        <v>61</v>
      </c>
      <c r="AR345" s="3" t="s">
        <v>48</v>
      </c>
    </row>
    <row r="346" spans="1:44" ht="30" customHeight="1">
      <c r="A346" s="3" t="s">
        <v>44</v>
      </c>
      <c r="B346" s="3" t="s">
        <v>45</v>
      </c>
      <c r="C346" s="3" t="s">
        <v>46</v>
      </c>
      <c r="D346" s="3" t="s">
        <v>100</v>
      </c>
      <c r="E346" s="3" t="s">
        <v>48</v>
      </c>
      <c r="F346" s="3" t="s">
        <v>101</v>
      </c>
      <c r="G346" s="3" t="s">
        <v>280</v>
      </c>
      <c r="H346" s="4">
        <f>IF(DATEDIF(L346,S346,"m")&gt;12,DATEDIF(L346,S346,"y"),(DATEDIF(L346,S346,"m")/12))</f>
        <v>8</v>
      </c>
      <c r="I346" s="7">
        <f>DATEDIF(L346,S346,"M")</f>
        <v>101</v>
      </c>
      <c r="J346" s="7">
        <f>DATEDIF(L346,S346,"D")</f>
        <v>3105</v>
      </c>
      <c r="K346" s="3" t="s">
        <v>64</v>
      </c>
      <c r="L346" s="8">
        <v>41853</v>
      </c>
      <c r="M346" s="3" t="s">
        <v>45</v>
      </c>
      <c r="N346" s="3" t="s">
        <v>101</v>
      </c>
      <c r="O346" s="3" t="s">
        <v>52</v>
      </c>
      <c r="P346" s="3" t="s">
        <v>84</v>
      </c>
      <c r="Q346" s="7">
        <v>0</v>
      </c>
      <c r="R346" s="8">
        <v>44963</v>
      </c>
      <c r="S346" s="8">
        <v>44958</v>
      </c>
      <c r="T346" s="3" t="s">
        <v>54</v>
      </c>
      <c r="U346" s="3" t="s">
        <v>55</v>
      </c>
      <c r="V346" s="9"/>
      <c r="W346" s="10">
        <v>44970</v>
      </c>
      <c r="X346" s="7">
        <v>7</v>
      </c>
      <c r="Y346" s="7">
        <v>5</v>
      </c>
      <c r="Z346" s="7">
        <v>2</v>
      </c>
      <c r="AA346" s="7">
        <f>INT((S346-DATE(YEAR(S346-WEEKDAY(S346-0)+4),1,4)+WEEKDAY(DATE(YEAR(S346-WEEKDAY(S346-0)+4),1,4))+6)/7)</f>
        <v>5</v>
      </c>
      <c r="AB346" s="3" t="s">
        <v>281</v>
      </c>
      <c r="AC346" s="7">
        <v>23</v>
      </c>
      <c r="AD346" s="7">
        <v>0</v>
      </c>
      <c r="AE346" s="7">
        <v>0</v>
      </c>
      <c r="AF346" s="3" t="s">
        <v>48</v>
      </c>
      <c r="AG346" s="7">
        <v>2023</v>
      </c>
      <c r="AH346" s="3" t="s">
        <v>105</v>
      </c>
      <c r="AI346" s="3" t="s">
        <v>106</v>
      </c>
      <c r="AJ346" s="3" t="s">
        <v>100</v>
      </c>
      <c r="AK346" s="3" t="s">
        <v>282</v>
      </c>
      <c r="AL346" s="3" t="s">
        <v>59</v>
      </c>
      <c r="AM346" s="3" t="s">
        <v>99</v>
      </c>
      <c r="AN346" s="3" t="s">
        <v>61</v>
      </c>
      <c r="AO346" s="3" t="s">
        <v>62</v>
      </c>
      <c r="AP346" s="3" t="s">
        <v>69</v>
      </c>
      <c r="AQ346" s="3" t="s">
        <v>61</v>
      </c>
      <c r="AR346" s="3" t="s">
        <v>48</v>
      </c>
    </row>
    <row r="347" spans="1:44" ht="30" customHeight="1">
      <c r="A347" s="3" t="s">
        <v>44</v>
      </c>
      <c r="B347" s="3" t="s">
        <v>45</v>
      </c>
      <c r="C347" s="3" t="s">
        <v>46</v>
      </c>
      <c r="D347" s="3" t="s">
        <v>108</v>
      </c>
      <c r="E347" s="3" t="s">
        <v>48</v>
      </c>
      <c r="F347" s="3" t="s">
        <v>108</v>
      </c>
      <c r="G347" s="3" t="s">
        <v>821</v>
      </c>
      <c r="H347" s="4">
        <f>IF(DATEDIF(L347,S347,"m")&gt;12,DATEDIF(L347,S347,"y"),(DATEDIF(L347,S347,"m")/12))</f>
        <v>21</v>
      </c>
      <c r="I347" s="7">
        <f>DATEDIF(L347,S347,"M")</f>
        <v>262</v>
      </c>
      <c r="J347" s="7">
        <f>DATEDIF(L347,S347,"D")</f>
        <v>7988</v>
      </c>
      <c r="K347" s="3" t="s">
        <v>64</v>
      </c>
      <c r="L347" s="8">
        <v>36974</v>
      </c>
      <c r="M347" s="3" t="s">
        <v>45</v>
      </c>
      <c r="N347" s="3" t="s">
        <v>73</v>
      </c>
      <c r="O347" s="3" t="s">
        <v>52</v>
      </c>
      <c r="P347" s="3" t="s">
        <v>822</v>
      </c>
      <c r="Q347" s="7">
        <v>0</v>
      </c>
      <c r="R347" s="8">
        <v>44964</v>
      </c>
      <c r="S347" s="8">
        <v>44962</v>
      </c>
      <c r="T347" s="3" t="s">
        <v>54</v>
      </c>
      <c r="U347" s="3" t="s">
        <v>55</v>
      </c>
      <c r="V347" s="9"/>
      <c r="W347" s="10">
        <v>44971</v>
      </c>
      <c r="X347" s="7">
        <v>7</v>
      </c>
      <c r="Y347" s="7">
        <v>2</v>
      </c>
      <c r="Z347" s="7">
        <v>2</v>
      </c>
      <c r="AA347" s="7">
        <f>INT((S347-DATE(YEAR(S347-WEEKDAY(S347-0)+4),1,4)+WEEKDAY(DATE(YEAR(S347-WEEKDAY(S347-0)+4),1,4))+6)/7)</f>
        <v>6</v>
      </c>
      <c r="AB347" s="3" t="s">
        <v>823</v>
      </c>
      <c r="AC347" s="7">
        <v>220</v>
      </c>
      <c r="AD347" s="7">
        <v>0</v>
      </c>
      <c r="AE347" s="7">
        <v>0</v>
      </c>
      <c r="AF347" s="3" t="s">
        <v>48</v>
      </c>
      <c r="AG347" s="7">
        <v>2023</v>
      </c>
      <c r="AH347" s="3" t="s">
        <v>112</v>
      </c>
      <c r="AI347" s="3" t="s">
        <v>113</v>
      </c>
      <c r="AJ347" s="3" t="s">
        <v>48</v>
      </c>
      <c r="AK347" s="12" t="s">
        <v>119</v>
      </c>
      <c r="AL347" s="3" t="s">
        <v>59</v>
      </c>
      <c r="AM347" s="3" t="s">
        <v>115</v>
      </c>
      <c r="AN347" s="3" t="s">
        <v>61</v>
      </c>
      <c r="AO347" s="3" t="s">
        <v>62</v>
      </c>
      <c r="AP347" s="3" t="s">
        <v>69</v>
      </c>
      <c r="AQ347" s="3" t="s">
        <v>61</v>
      </c>
      <c r="AR347" s="3" t="s">
        <v>48</v>
      </c>
    </row>
    <row r="348" spans="1:44" ht="30" customHeight="1">
      <c r="A348" s="3" t="s">
        <v>44</v>
      </c>
      <c r="B348" s="3" t="s">
        <v>45</v>
      </c>
      <c r="C348" s="3" t="s">
        <v>46</v>
      </c>
      <c r="D348" s="3" t="s">
        <v>186</v>
      </c>
      <c r="E348" s="3" t="s">
        <v>48</v>
      </c>
      <c r="F348" s="3" t="s">
        <v>186</v>
      </c>
      <c r="G348" s="3" t="s">
        <v>48</v>
      </c>
      <c r="H348" s="4">
        <f>IF(DATEDIF(L348,S348,"m")&gt;12,DATEDIF(L348,S348,"y"),(DATEDIF(L348,S348,"m")/12))</f>
        <v>53</v>
      </c>
      <c r="I348" s="7">
        <f>DATEDIF(L348,S348,"M")</f>
        <v>645</v>
      </c>
      <c r="J348" s="7">
        <f>DATEDIF(L348,S348,"D")</f>
        <v>19661</v>
      </c>
      <c r="K348" s="3" t="s">
        <v>64</v>
      </c>
      <c r="L348" s="8">
        <v>25305</v>
      </c>
      <c r="M348" s="3" t="s">
        <v>45</v>
      </c>
      <c r="N348" s="3" t="s">
        <v>187</v>
      </c>
      <c r="O348" s="3" t="s">
        <v>52</v>
      </c>
      <c r="P348" s="3" t="s">
        <v>503</v>
      </c>
      <c r="Q348" s="7">
        <v>0</v>
      </c>
      <c r="R348" s="8">
        <v>44966</v>
      </c>
      <c r="S348" s="8">
        <v>44966</v>
      </c>
      <c r="T348" s="3" t="s">
        <v>54</v>
      </c>
      <c r="U348" s="3" t="s">
        <v>55</v>
      </c>
      <c r="V348" s="9"/>
      <c r="W348" s="10">
        <v>44970</v>
      </c>
      <c r="X348" s="7">
        <v>4</v>
      </c>
      <c r="Y348" s="7">
        <v>0</v>
      </c>
      <c r="Z348" s="7">
        <v>2</v>
      </c>
      <c r="AA348" s="7">
        <f>INT((S348-DATE(YEAR(S348-WEEKDAY(S348-0)+4),1,4)+WEEKDAY(DATE(YEAR(S348-WEEKDAY(S348-0)+4),1,4))+6)/7)</f>
        <v>6</v>
      </c>
      <c r="AB348" s="3" t="s">
        <v>504</v>
      </c>
      <c r="AC348" s="7">
        <v>77</v>
      </c>
      <c r="AD348" s="7">
        <v>0</v>
      </c>
      <c r="AE348" s="7">
        <v>0</v>
      </c>
      <c r="AF348" s="3" t="s">
        <v>48</v>
      </c>
      <c r="AG348" s="7">
        <v>2023</v>
      </c>
      <c r="AH348" s="3" t="s">
        <v>190</v>
      </c>
      <c r="AI348" s="3" t="s">
        <v>191</v>
      </c>
      <c r="AJ348" s="3" t="s">
        <v>186</v>
      </c>
      <c r="AK348" s="3" t="s">
        <v>505</v>
      </c>
      <c r="AL348" s="3" t="s">
        <v>59</v>
      </c>
      <c r="AM348" s="3" t="s">
        <v>115</v>
      </c>
      <c r="AN348" s="3" t="s">
        <v>61</v>
      </c>
      <c r="AO348" s="3" t="s">
        <v>62</v>
      </c>
      <c r="AP348" s="3" t="s">
        <v>69</v>
      </c>
      <c r="AQ348" s="3" t="s">
        <v>61</v>
      </c>
      <c r="AR348" s="3" t="s">
        <v>48</v>
      </c>
    </row>
    <row r="349" spans="1:44" ht="30" customHeight="1">
      <c r="A349" s="3" t="s">
        <v>44</v>
      </c>
      <c r="B349" s="3" t="s">
        <v>45</v>
      </c>
      <c r="C349" s="3" t="s">
        <v>46</v>
      </c>
      <c r="D349" s="3" t="s">
        <v>186</v>
      </c>
      <c r="E349" s="3" t="s">
        <v>48</v>
      </c>
      <c r="F349" s="3" t="s">
        <v>271</v>
      </c>
      <c r="G349" s="3" t="s">
        <v>853</v>
      </c>
      <c r="H349" s="4">
        <f>IF(DATEDIF(L349,S349,"m")&gt;12,DATEDIF(L349,S349,"y"),(DATEDIF(L349,S349,"m")/12))</f>
        <v>80</v>
      </c>
      <c r="I349" s="7">
        <f>DATEDIF(L349,S349,"M")</f>
        <v>967</v>
      </c>
      <c r="J349" s="7">
        <f>DATEDIF(L349,S349,"D")</f>
        <v>29455</v>
      </c>
      <c r="K349" s="3" t="s">
        <v>51</v>
      </c>
      <c r="L349" s="8">
        <v>15513</v>
      </c>
      <c r="M349" s="3" t="s">
        <v>45</v>
      </c>
      <c r="N349" s="3" t="s">
        <v>187</v>
      </c>
      <c r="O349" s="3" t="s">
        <v>52</v>
      </c>
      <c r="P349" s="3" t="s">
        <v>854</v>
      </c>
      <c r="Q349" s="7">
        <v>0</v>
      </c>
      <c r="R349" s="8">
        <v>44968</v>
      </c>
      <c r="S349" s="8">
        <v>44968</v>
      </c>
      <c r="T349" s="3" t="s">
        <v>54</v>
      </c>
      <c r="U349" s="3" t="s">
        <v>55</v>
      </c>
      <c r="V349" s="9"/>
      <c r="W349" s="10">
        <v>44970</v>
      </c>
      <c r="X349" s="7">
        <v>2</v>
      </c>
      <c r="Y349" s="7">
        <v>0</v>
      </c>
      <c r="Z349" s="7">
        <v>2</v>
      </c>
      <c r="AA349" s="7">
        <f>INT((S349-DATE(YEAR(S349-WEEKDAY(S349-0)+4),1,4)+WEEKDAY(DATE(YEAR(S349-WEEKDAY(S349-0)+4),1,4))+6)/7)</f>
        <v>6</v>
      </c>
      <c r="AB349" s="3" t="s">
        <v>855</v>
      </c>
      <c r="AC349" s="7">
        <v>110</v>
      </c>
      <c r="AD349" s="7">
        <v>0</v>
      </c>
      <c r="AE349" s="7">
        <v>0</v>
      </c>
      <c r="AF349" s="3" t="s">
        <v>48</v>
      </c>
      <c r="AG349" s="7">
        <v>2023</v>
      </c>
      <c r="AH349" s="3" t="s">
        <v>276</v>
      </c>
      <c r="AI349" s="3" t="s">
        <v>191</v>
      </c>
      <c r="AJ349" s="3" t="s">
        <v>186</v>
      </c>
      <c r="AK349" s="3" t="s">
        <v>260</v>
      </c>
      <c r="AL349" s="3" t="s">
        <v>59</v>
      </c>
      <c r="AM349" s="3" t="s">
        <v>60</v>
      </c>
      <c r="AN349" s="3" t="s">
        <v>61</v>
      </c>
      <c r="AO349" s="3" t="s">
        <v>62</v>
      </c>
      <c r="AP349" s="3" t="s">
        <v>69</v>
      </c>
      <c r="AQ349" s="3" t="s">
        <v>61</v>
      </c>
      <c r="AR349" s="3" t="s">
        <v>48</v>
      </c>
    </row>
    <row r="350" spans="1:44" ht="30" customHeight="1">
      <c r="A350" s="3" t="s">
        <v>44</v>
      </c>
      <c r="B350" s="3" t="s">
        <v>45</v>
      </c>
      <c r="C350" s="3" t="s">
        <v>46</v>
      </c>
      <c r="D350" s="3" t="s">
        <v>186</v>
      </c>
      <c r="E350" s="3" t="s">
        <v>48</v>
      </c>
      <c r="F350" s="3" t="s">
        <v>271</v>
      </c>
      <c r="G350" s="3" t="s">
        <v>897</v>
      </c>
      <c r="H350" s="4">
        <f>IF(DATEDIF(L350,S350,"m")&gt;12,DATEDIF(L350,S350,"y"),(DATEDIF(L350,S350,"m")/12))</f>
        <v>30</v>
      </c>
      <c r="I350" s="7">
        <f>DATEDIF(L350,S350,"M")</f>
        <v>362</v>
      </c>
      <c r="J350" s="7">
        <f>DATEDIF(L350,S350,"D")</f>
        <v>11021</v>
      </c>
      <c r="K350" s="3" t="s">
        <v>51</v>
      </c>
      <c r="L350" s="8">
        <v>33940</v>
      </c>
      <c r="M350" s="3" t="s">
        <v>45</v>
      </c>
      <c r="N350" s="3" t="s">
        <v>203</v>
      </c>
      <c r="O350" s="3" t="s">
        <v>52</v>
      </c>
      <c r="P350" s="3" t="s">
        <v>898</v>
      </c>
      <c r="Q350" s="7">
        <v>0</v>
      </c>
      <c r="R350" s="8">
        <v>44965</v>
      </c>
      <c r="S350" s="8">
        <v>44961</v>
      </c>
      <c r="T350" s="3" t="s">
        <v>54</v>
      </c>
      <c r="U350" s="3" t="s">
        <v>55</v>
      </c>
      <c r="V350" s="9"/>
      <c r="W350" s="10">
        <v>44970</v>
      </c>
      <c r="X350" s="7">
        <v>5</v>
      </c>
      <c r="Y350" s="7">
        <v>4</v>
      </c>
      <c r="Z350" s="7">
        <v>2</v>
      </c>
      <c r="AA350" s="7">
        <f>INT((S350-DATE(YEAR(S350-WEEKDAY(S350-0)+4),1,4)+WEEKDAY(DATE(YEAR(S350-WEEKDAY(S350-0)+4),1,4))+6)/7)</f>
        <v>5</v>
      </c>
      <c r="AB350" s="3" t="s">
        <v>899</v>
      </c>
      <c r="AC350" s="7">
        <v>109</v>
      </c>
      <c r="AD350" s="7">
        <v>0</v>
      </c>
      <c r="AE350" s="7">
        <v>0</v>
      </c>
      <c r="AF350" s="3" t="s">
        <v>48</v>
      </c>
      <c r="AG350" s="7">
        <v>2023</v>
      </c>
      <c r="AH350" s="3" t="s">
        <v>276</v>
      </c>
      <c r="AI350" s="3" t="s">
        <v>106</v>
      </c>
      <c r="AJ350" s="3" t="s">
        <v>186</v>
      </c>
      <c r="AK350" s="3" t="s">
        <v>149</v>
      </c>
      <c r="AL350" s="3" t="s">
        <v>59</v>
      </c>
      <c r="AM350" s="3" t="s">
        <v>60</v>
      </c>
      <c r="AN350" s="3" t="s">
        <v>61</v>
      </c>
      <c r="AO350" s="3" t="s">
        <v>62</v>
      </c>
      <c r="AP350" s="3" t="s">
        <v>69</v>
      </c>
      <c r="AQ350" s="3" t="s">
        <v>61</v>
      </c>
      <c r="AR350" s="3" t="s">
        <v>48</v>
      </c>
    </row>
    <row r="351" spans="1:44" ht="30" customHeight="1">
      <c r="A351" s="3" t="s">
        <v>44</v>
      </c>
      <c r="B351" s="3" t="s">
        <v>45</v>
      </c>
      <c r="C351" s="3" t="s">
        <v>46</v>
      </c>
      <c r="D351" s="3" t="s">
        <v>100</v>
      </c>
      <c r="E351" s="3" t="s">
        <v>48</v>
      </c>
      <c r="F351" s="3" t="s">
        <v>101</v>
      </c>
      <c r="G351" s="3" t="s">
        <v>1102</v>
      </c>
      <c r="H351" s="4">
        <f>IF(DATEDIF(L351,S351,"m")&gt;12,DATEDIF(L351,S351,"y"),(DATEDIF(L351,S351,"m")/12))</f>
        <v>7</v>
      </c>
      <c r="I351" s="7">
        <f>DATEDIF(L351,S351,"M")</f>
        <v>87</v>
      </c>
      <c r="J351" s="7">
        <f>DATEDIF(L351,S351,"D")</f>
        <v>2652</v>
      </c>
      <c r="K351" s="3" t="s">
        <v>51</v>
      </c>
      <c r="L351" s="8">
        <v>42307</v>
      </c>
      <c r="M351" s="3" t="s">
        <v>45</v>
      </c>
      <c r="N351" s="3" t="s">
        <v>65</v>
      </c>
      <c r="O351" s="3" t="s">
        <v>52</v>
      </c>
      <c r="P351" s="3" t="s">
        <v>176</v>
      </c>
      <c r="Q351" s="7">
        <v>0</v>
      </c>
      <c r="R351" s="8">
        <v>44964</v>
      </c>
      <c r="S351" s="8">
        <v>44959</v>
      </c>
      <c r="T351" s="3" t="s">
        <v>54</v>
      </c>
      <c r="U351" s="3" t="s">
        <v>55</v>
      </c>
      <c r="V351" s="9"/>
      <c r="W351" s="10">
        <v>44970</v>
      </c>
      <c r="X351" s="7">
        <v>6</v>
      </c>
      <c r="Y351" s="7">
        <v>5</v>
      </c>
      <c r="Z351" s="7">
        <v>2</v>
      </c>
      <c r="AA351" s="7">
        <f>INT((S351-DATE(YEAR(S351-WEEKDAY(S351-0)+4),1,4)+WEEKDAY(DATE(YEAR(S351-WEEKDAY(S351-0)+4),1,4))+6)/7)</f>
        <v>5</v>
      </c>
      <c r="AB351" s="3" t="s">
        <v>1103</v>
      </c>
      <c r="AC351" s="7">
        <v>28</v>
      </c>
      <c r="AD351" s="7">
        <v>0</v>
      </c>
      <c r="AE351" s="7">
        <v>0</v>
      </c>
      <c r="AF351" s="3" t="s">
        <v>48</v>
      </c>
      <c r="AG351" s="7">
        <v>2023</v>
      </c>
      <c r="AH351" s="3" t="s">
        <v>105</v>
      </c>
      <c r="AI351" s="3" t="s">
        <v>106</v>
      </c>
      <c r="AJ351" s="3" t="s">
        <v>252</v>
      </c>
      <c r="AK351" s="3" t="s">
        <v>253</v>
      </c>
      <c r="AL351" s="3" t="s">
        <v>59</v>
      </c>
      <c r="AM351" s="3" t="s">
        <v>99</v>
      </c>
      <c r="AN351" s="3" t="s">
        <v>61</v>
      </c>
      <c r="AO351" s="3" t="s">
        <v>62</v>
      </c>
      <c r="AP351" s="3" t="s">
        <v>69</v>
      </c>
      <c r="AQ351" s="3" t="s">
        <v>61</v>
      </c>
      <c r="AR351" s="3" t="s">
        <v>48</v>
      </c>
    </row>
    <row r="352" spans="1:44" ht="30" customHeight="1">
      <c r="A352" s="3" t="s">
        <v>44</v>
      </c>
      <c r="B352" s="3" t="s">
        <v>45</v>
      </c>
      <c r="C352" s="3" t="s">
        <v>46</v>
      </c>
      <c r="D352" s="3" t="s">
        <v>186</v>
      </c>
      <c r="E352" s="3" t="s">
        <v>48</v>
      </c>
      <c r="F352" s="3" t="s">
        <v>271</v>
      </c>
      <c r="G352" s="3" t="s">
        <v>1313</v>
      </c>
      <c r="H352" s="4">
        <f>IF(DATEDIF(L352,S352,"m")&gt;12,DATEDIF(L352,S352,"y"),(DATEDIF(L352,S352,"m")/12))</f>
        <v>4</v>
      </c>
      <c r="I352" s="7">
        <f>DATEDIF(L352,S352,"M")</f>
        <v>54</v>
      </c>
      <c r="J352" s="7">
        <f>DATEDIF(L352,S352,"D")</f>
        <v>1665</v>
      </c>
      <c r="K352" s="3" t="s">
        <v>51</v>
      </c>
      <c r="L352" s="8">
        <v>43294</v>
      </c>
      <c r="M352" s="3" t="s">
        <v>45</v>
      </c>
      <c r="N352" s="3" t="s">
        <v>187</v>
      </c>
      <c r="O352" s="3" t="s">
        <v>52</v>
      </c>
      <c r="P352" s="3" t="s">
        <v>1314</v>
      </c>
      <c r="Q352" s="7">
        <v>0</v>
      </c>
      <c r="R352" s="8">
        <v>44962</v>
      </c>
      <c r="S352" s="8">
        <v>44959</v>
      </c>
      <c r="T352" s="3" t="s">
        <v>54</v>
      </c>
      <c r="U352" s="3" t="s">
        <v>55</v>
      </c>
      <c r="V352" s="9"/>
      <c r="W352" s="10">
        <v>44970</v>
      </c>
      <c r="X352" s="7">
        <v>8</v>
      </c>
      <c r="Y352" s="7">
        <v>3</v>
      </c>
      <c r="Z352" s="7">
        <v>2</v>
      </c>
      <c r="AA352" s="7">
        <f>INT((S352-DATE(YEAR(S352-WEEKDAY(S352-0)+4),1,4)+WEEKDAY(DATE(YEAR(S352-WEEKDAY(S352-0)+4),1,4))+6)/7)</f>
        <v>5</v>
      </c>
      <c r="AB352" s="3" t="s">
        <v>1315</v>
      </c>
      <c r="AC352" s="7">
        <v>107</v>
      </c>
      <c r="AD352" s="7">
        <v>0</v>
      </c>
      <c r="AE352" s="7">
        <v>0</v>
      </c>
      <c r="AF352" s="3" t="s">
        <v>48</v>
      </c>
      <c r="AG352" s="7">
        <v>2023</v>
      </c>
      <c r="AH352" s="3" t="s">
        <v>276</v>
      </c>
      <c r="AI352" s="3" t="s">
        <v>191</v>
      </c>
      <c r="AJ352" s="3" t="s">
        <v>186</v>
      </c>
      <c r="AK352" s="3" t="s">
        <v>192</v>
      </c>
      <c r="AL352" s="3" t="s">
        <v>59</v>
      </c>
      <c r="AM352" s="3" t="s">
        <v>60</v>
      </c>
      <c r="AN352" s="3" t="s">
        <v>61</v>
      </c>
      <c r="AO352" s="3" t="s">
        <v>62</v>
      </c>
      <c r="AP352" s="3" t="s">
        <v>69</v>
      </c>
      <c r="AQ352" s="3" t="s">
        <v>61</v>
      </c>
      <c r="AR352" s="3" t="s">
        <v>48</v>
      </c>
    </row>
    <row r="353" spans="1:44" ht="30" customHeight="1">
      <c r="A353" s="3" t="s">
        <v>44</v>
      </c>
      <c r="B353" s="3" t="s">
        <v>45</v>
      </c>
      <c r="C353" s="3" t="s">
        <v>46</v>
      </c>
      <c r="D353" s="3" t="s">
        <v>47</v>
      </c>
      <c r="E353" s="3" t="s">
        <v>48</v>
      </c>
      <c r="F353" s="3" t="s">
        <v>49</v>
      </c>
      <c r="G353" s="3" t="s">
        <v>1377</v>
      </c>
      <c r="H353" s="4">
        <f>IF(DATEDIF(L353,S353,"m")&gt;12,DATEDIF(L353,S353,"y"),(DATEDIF(L353,S353,"m")/12))</f>
        <v>48</v>
      </c>
      <c r="I353" s="7">
        <f>DATEDIF(L353,S353,"M")</f>
        <v>578</v>
      </c>
      <c r="J353" s="7">
        <f>DATEDIF(L353,S353,"D")</f>
        <v>17607</v>
      </c>
      <c r="K353" s="3" t="s">
        <v>51</v>
      </c>
      <c r="L353" s="8">
        <v>27353</v>
      </c>
      <c r="M353" s="3" t="s">
        <v>45</v>
      </c>
      <c r="N353" s="3" t="s">
        <v>65</v>
      </c>
      <c r="O353" s="3" t="s">
        <v>52</v>
      </c>
      <c r="P353" s="3" t="s">
        <v>137</v>
      </c>
      <c r="Q353" s="7">
        <v>0</v>
      </c>
      <c r="R353" s="8">
        <v>44967</v>
      </c>
      <c r="S353" s="8">
        <v>44960</v>
      </c>
      <c r="T353" s="3" t="s">
        <v>54</v>
      </c>
      <c r="U353" s="3" t="s">
        <v>55</v>
      </c>
      <c r="V353" s="9"/>
      <c r="W353" s="10">
        <v>44970</v>
      </c>
      <c r="X353" s="7">
        <v>3</v>
      </c>
      <c r="Y353" s="7">
        <v>7</v>
      </c>
      <c r="Z353" s="7">
        <v>2</v>
      </c>
      <c r="AA353" s="7">
        <f>INT((S353-DATE(YEAR(S353-WEEKDAY(S353-0)+4),1,4)+WEEKDAY(DATE(YEAR(S353-WEEKDAY(S353-0)+4),1,4))+6)/7)</f>
        <v>5</v>
      </c>
      <c r="AB353" s="3" t="s">
        <v>1378</v>
      </c>
      <c r="AC353" s="7">
        <v>45</v>
      </c>
      <c r="AD353" s="7">
        <v>0</v>
      </c>
      <c r="AE353" s="7">
        <v>0</v>
      </c>
      <c r="AF353" s="3" t="s">
        <v>48</v>
      </c>
      <c r="AG353" s="7">
        <v>2023</v>
      </c>
      <c r="AH353" s="3" t="s">
        <v>57</v>
      </c>
      <c r="AI353" s="3" t="s">
        <v>48</v>
      </c>
      <c r="AJ353" s="3" t="s">
        <v>48</v>
      </c>
      <c r="AK353" s="3" t="s">
        <v>1379</v>
      </c>
      <c r="AL353" s="3" t="s">
        <v>59</v>
      </c>
      <c r="AM353" s="3" t="s">
        <v>60</v>
      </c>
      <c r="AN353" s="3" t="s">
        <v>61</v>
      </c>
      <c r="AO353" s="3" t="s">
        <v>62</v>
      </c>
      <c r="AP353" s="3" t="s">
        <v>69</v>
      </c>
      <c r="AQ353" s="3" t="s">
        <v>61</v>
      </c>
      <c r="AR353" s="3" t="s">
        <v>48</v>
      </c>
    </row>
    <row r="354" spans="1:44" ht="30" customHeight="1">
      <c r="A354" s="3" t="s">
        <v>44</v>
      </c>
      <c r="B354" s="3" t="s">
        <v>45</v>
      </c>
      <c r="C354" s="3" t="s">
        <v>46</v>
      </c>
      <c r="D354" s="3" t="s">
        <v>100</v>
      </c>
      <c r="E354" s="3" t="s">
        <v>48</v>
      </c>
      <c r="F354" s="3" t="s">
        <v>101</v>
      </c>
      <c r="G354" s="3" t="s">
        <v>1395</v>
      </c>
      <c r="H354" s="4">
        <f>IF(DATEDIF(L354,S354,"m")&gt;12,DATEDIF(L354,S354,"y"),(DATEDIF(L354,S354,"m")/12))</f>
        <v>1</v>
      </c>
      <c r="I354" s="7">
        <f>DATEDIF(L354,S354,"M")</f>
        <v>19</v>
      </c>
      <c r="J354" s="7">
        <f>DATEDIF(L354,S354,"D")</f>
        <v>589</v>
      </c>
      <c r="K354" s="3" t="s">
        <v>51</v>
      </c>
      <c r="L354" s="8">
        <v>44370</v>
      </c>
      <c r="M354" s="3" t="s">
        <v>45</v>
      </c>
      <c r="N354" s="3" t="s">
        <v>65</v>
      </c>
      <c r="O354" s="3" t="s">
        <v>52</v>
      </c>
      <c r="P354" s="3" t="s">
        <v>91</v>
      </c>
      <c r="Q354" s="7">
        <v>0</v>
      </c>
      <c r="R354" s="8">
        <v>44962</v>
      </c>
      <c r="S354" s="8">
        <v>44959</v>
      </c>
      <c r="T354" s="3" t="s">
        <v>54</v>
      </c>
      <c r="U354" s="3" t="s">
        <v>55</v>
      </c>
      <c r="V354" s="9"/>
      <c r="W354" s="10">
        <v>44970</v>
      </c>
      <c r="X354" s="7">
        <v>8</v>
      </c>
      <c r="Y354" s="7">
        <v>3</v>
      </c>
      <c r="Z354" s="7">
        <v>2</v>
      </c>
      <c r="AA354" s="7">
        <f>INT((S354-DATE(YEAR(S354-WEEKDAY(S354-0)+4),1,4)+WEEKDAY(DATE(YEAR(S354-WEEKDAY(S354-0)+4),1,4))+6)/7)</f>
        <v>5</v>
      </c>
      <c r="AB354" s="3" t="s">
        <v>1396</v>
      </c>
      <c r="AC354" s="7">
        <v>18</v>
      </c>
      <c r="AD354" s="7">
        <v>0</v>
      </c>
      <c r="AE354" s="7">
        <v>0</v>
      </c>
      <c r="AF354" s="3" t="s">
        <v>48</v>
      </c>
      <c r="AG354" s="7">
        <v>2023</v>
      </c>
      <c r="AH354" s="3" t="s">
        <v>105</v>
      </c>
      <c r="AI354" s="3" t="s">
        <v>106</v>
      </c>
      <c r="AJ354" s="3" t="s">
        <v>252</v>
      </c>
      <c r="AK354" s="3" t="s">
        <v>232</v>
      </c>
      <c r="AL354" s="3" t="s">
        <v>59</v>
      </c>
      <c r="AM354" s="3" t="s">
        <v>99</v>
      </c>
      <c r="AN354" s="3" t="s">
        <v>61</v>
      </c>
      <c r="AO354" s="3" t="s">
        <v>62</v>
      </c>
      <c r="AP354" s="3" t="s">
        <v>69</v>
      </c>
      <c r="AQ354" s="3" t="s">
        <v>61</v>
      </c>
      <c r="AR354" s="3" t="s">
        <v>48</v>
      </c>
    </row>
    <row r="355" spans="1:44" ht="30" customHeight="1">
      <c r="A355" s="3" t="s">
        <v>44</v>
      </c>
      <c r="B355" s="3" t="s">
        <v>45</v>
      </c>
      <c r="C355" s="3" t="s">
        <v>46</v>
      </c>
      <c r="D355" s="3" t="s">
        <v>47</v>
      </c>
      <c r="E355" s="3" t="s">
        <v>48</v>
      </c>
      <c r="F355" s="3" t="s">
        <v>49</v>
      </c>
      <c r="G355" s="3" t="s">
        <v>1432</v>
      </c>
      <c r="H355" s="4">
        <f>IF(DATEDIF(L355,S355,"m")&gt;12,DATEDIF(L355,S355,"y"),(DATEDIF(L355,S355,"m")/12))</f>
        <v>4</v>
      </c>
      <c r="I355" s="7">
        <f>DATEDIF(L355,S355,"M")</f>
        <v>55</v>
      </c>
      <c r="J355" s="7">
        <f>DATEDIF(L355,S355,"D")</f>
        <v>1679</v>
      </c>
      <c r="K355" s="3" t="s">
        <v>51</v>
      </c>
      <c r="L355" s="8">
        <v>43279</v>
      </c>
      <c r="M355" s="3" t="s">
        <v>45</v>
      </c>
      <c r="N355" s="3" t="s">
        <v>49</v>
      </c>
      <c r="O355" s="3" t="s">
        <v>52</v>
      </c>
      <c r="P355" s="3" t="s">
        <v>1433</v>
      </c>
      <c r="Q355" s="7">
        <v>0</v>
      </c>
      <c r="R355" s="8">
        <v>44965</v>
      </c>
      <c r="S355" s="8">
        <v>44958</v>
      </c>
      <c r="T355" s="3" t="s">
        <v>54</v>
      </c>
      <c r="U355" s="3" t="s">
        <v>55</v>
      </c>
      <c r="V355" s="9"/>
      <c r="W355" s="10">
        <v>44970</v>
      </c>
      <c r="X355" s="7">
        <v>5</v>
      </c>
      <c r="Y355" s="7">
        <v>7</v>
      </c>
      <c r="Z355" s="7">
        <v>2</v>
      </c>
      <c r="AA355" s="7">
        <f>INT((S355-DATE(YEAR(S355-WEEKDAY(S355-0)+4),1,4)+WEEKDAY(DATE(YEAR(S355-WEEKDAY(S355-0)+4),1,4))+6)/7)</f>
        <v>5</v>
      </c>
      <c r="AB355" s="3" t="s">
        <v>1434</v>
      </c>
      <c r="AC355" s="7">
        <v>37</v>
      </c>
      <c r="AD355" s="7">
        <v>0</v>
      </c>
      <c r="AE355" s="7">
        <v>0</v>
      </c>
      <c r="AF355" s="3" t="s">
        <v>48</v>
      </c>
      <c r="AG355" s="7">
        <v>2023</v>
      </c>
      <c r="AH355" s="3" t="s">
        <v>57</v>
      </c>
      <c r="AI355" s="3" t="s">
        <v>48</v>
      </c>
      <c r="AJ355" s="3" t="s">
        <v>48</v>
      </c>
      <c r="AK355" s="3" t="s">
        <v>813</v>
      </c>
      <c r="AL355" s="3" t="s">
        <v>59</v>
      </c>
      <c r="AM355" s="3" t="s">
        <v>60</v>
      </c>
      <c r="AN355" s="3" t="s">
        <v>61</v>
      </c>
      <c r="AO355" s="3" t="s">
        <v>62</v>
      </c>
      <c r="AP355" s="3" t="s">
        <v>69</v>
      </c>
      <c r="AQ355" s="3" t="s">
        <v>61</v>
      </c>
      <c r="AR355" s="3" t="s">
        <v>48</v>
      </c>
    </row>
    <row r="356" spans="1:44" ht="30" customHeight="1">
      <c r="A356" s="3" t="s">
        <v>44</v>
      </c>
      <c r="B356" s="3" t="s">
        <v>45</v>
      </c>
      <c r="C356" s="3" t="s">
        <v>46</v>
      </c>
      <c r="D356" s="3" t="s">
        <v>186</v>
      </c>
      <c r="E356" s="3" t="s">
        <v>48</v>
      </c>
      <c r="F356" s="3" t="s">
        <v>186</v>
      </c>
      <c r="G356" s="3" t="s">
        <v>48</v>
      </c>
      <c r="H356" s="4">
        <f>IF(DATEDIF(L356,S356,"m")&gt;12,DATEDIF(L356,S356,"y"),(DATEDIF(L356,S356,"m")/12))</f>
        <v>63</v>
      </c>
      <c r="I356" s="7">
        <f>DATEDIF(L356,S356,"M")</f>
        <v>763</v>
      </c>
      <c r="J356" s="7">
        <f>DATEDIF(L356,S356,"D")</f>
        <v>23247</v>
      </c>
      <c r="K356" s="3" t="s">
        <v>64</v>
      </c>
      <c r="L356" s="8">
        <v>21715</v>
      </c>
      <c r="M356" s="3" t="s">
        <v>45</v>
      </c>
      <c r="N356" s="3" t="s">
        <v>187</v>
      </c>
      <c r="O356" s="3" t="s">
        <v>52</v>
      </c>
      <c r="P356" s="3" t="s">
        <v>975</v>
      </c>
      <c r="Q356" s="7">
        <v>0</v>
      </c>
      <c r="R356" s="8">
        <v>44966</v>
      </c>
      <c r="S356" s="8">
        <v>44962</v>
      </c>
      <c r="T356" s="3" t="s">
        <v>54</v>
      </c>
      <c r="U356" s="3" t="s">
        <v>55</v>
      </c>
      <c r="V356" s="9"/>
      <c r="W356" s="10">
        <v>44970</v>
      </c>
      <c r="X356" s="7">
        <v>4</v>
      </c>
      <c r="Y356" s="7">
        <v>4</v>
      </c>
      <c r="Z356" s="7">
        <v>2</v>
      </c>
      <c r="AA356" s="7">
        <f>INT((S356-DATE(YEAR(S356-WEEKDAY(S356-0)+4),1,4)+WEEKDAY(DATE(YEAR(S356-WEEKDAY(S356-0)+4),1,4))+6)/7)</f>
        <v>6</v>
      </c>
      <c r="AB356" s="3" t="s">
        <v>1458</v>
      </c>
      <c r="AC356" s="7">
        <v>76</v>
      </c>
      <c r="AD356" s="7">
        <v>0</v>
      </c>
      <c r="AE356" s="7">
        <v>0</v>
      </c>
      <c r="AF356" s="3" t="s">
        <v>48</v>
      </c>
      <c r="AG356" s="7">
        <v>2023</v>
      </c>
      <c r="AH356" s="3" t="s">
        <v>190</v>
      </c>
      <c r="AI356" s="3" t="s">
        <v>191</v>
      </c>
      <c r="AJ356" s="3" t="s">
        <v>186</v>
      </c>
      <c r="AK356" s="3" t="s">
        <v>1459</v>
      </c>
      <c r="AL356" s="3" t="s">
        <v>59</v>
      </c>
      <c r="AM356" s="3" t="s">
        <v>115</v>
      </c>
      <c r="AN356" s="3" t="s">
        <v>61</v>
      </c>
      <c r="AO356" s="3" t="s">
        <v>62</v>
      </c>
      <c r="AP356" s="3" t="s">
        <v>69</v>
      </c>
      <c r="AQ356" s="3" t="s">
        <v>61</v>
      </c>
      <c r="AR356" s="3" t="s">
        <v>48</v>
      </c>
    </row>
    <row r="357" spans="1:44" ht="30" customHeight="1">
      <c r="A357" s="3" t="s">
        <v>44</v>
      </c>
      <c r="B357" s="3" t="s">
        <v>45</v>
      </c>
      <c r="C357" s="3" t="s">
        <v>46</v>
      </c>
      <c r="D357" s="3" t="s">
        <v>200</v>
      </c>
      <c r="E357" s="3" t="s">
        <v>48</v>
      </c>
      <c r="F357" s="3" t="s">
        <v>201</v>
      </c>
      <c r="G357" s="3" t="s">
        <v>1488</v>
      </c>
      <c r="H357" s="4">
        <f>IF(DATEDIF(L357,S357,"m")&gt;12,DATEDIF(L357,S357,"y"),(DATEDIF(L357,S357,"m")/12))</f>
        <v>1</v>
      </c>
      <c r="I357" s="7">
        <f>DATEDIF(L357,S357,"M")</f>
        <v>16</v>
      </c>
      <c r="J357" s="7">
        <f>DATEDIF(L357,S357,"D")</f>
        <v>516</v>
      </c>
      <c r="K357" s="3" t="s">
        <v>64</v>
      </c>
      <c r="L357" s="8">
        <v>44445</v>
      </c>
      <c r="M357" s="3" t="s">
        <v>45</v>
      </c>
      <c r="N357" s="3" t="s">
        <v>159</v>
      </c>
      <c r="O357" s="3" t="s">
        <v>52</v>
      </c>
      <c r="P357" s="3" t="s">
        <v>1489</v>
      </c>
      <c r="Q357" s="7">
        <v>1</v>
      </c>
      <c r="R357" s="8">
        <v>44962</v>
      </c>
      <c r="S357" s="8">
        <v>44961</v>
      </c>
      <c r="T357" s="3" t="s">
        <v>54</v>
      </c>
      <c r="U357" s="3" t="s">
        <v>55</v>
      </c>
      <c r="V357" s="9"/>
      <c r="W357" s="10">
        <v>44970</v>
      </c>
      <c r="X357" s="7">
        <v>8</v>
      </c>
      <c r="Y357" s="7">
        <v>1</v>
      </c>
      <c r="Z357" s="7">
        <v>2</v>
      </c>
      <c r="AA357" s="7">
        <f>INT((S357-DATE(YEAR(S357-WEEKDAY(S357-0)+4),1,4)+WEEKDAY(DATE(YEAR(S357-WEEKDAY(S357-0)+4),1,4))+6)/7)</f>
        <v>5</v>
      </c>
      <c r="AB357" s="3" t="s">
        <v>1490</v>
      </c>
      <c r="AC357" s="7">
        <v>16</v>
      </c>
      <c r="AD357" s="7">
        <v>0</v>
      </c>
      <c r="AE357" s="7">
        <v>0</v>
      </c>
      <c r="AF357" s="3" t="s">
        <v>48</v>
      </c>
      <c r="AG357" s="7">
        <v>2023</v>
      </c>
      <c r="AH357" s="12" t="s">
        <v>206</v>
      </c>
      <c r="AI357" s="3" t="s">
        <v>113</v>
      </c>
      <c r="AJ357" s="3" t="s">
        <v>208</v>
      </c>
      <c r="AK357" s="3" t="s">
        <v>468</v>
      </c>
      <c r="AL357" s="3" t="s">
        <v>59</v>
      </c>
      <c r="AM357" s="3" t="s">
        <v>99</v>
      </c>
      <c r="AN357" s="3" t="s">
        <v>61</v>
      </c>
      <c r="AO357" s="3" t="s">
        <v>62</v>
      </c>
      <c r="AP357" s="3" t="s">
        <v>69</v>
      </c>
      <c r="AQ357" s="3" t="s">
        <v>61</v>
      </c>
      <c r="AR357" s="3" t="s">
        <v>48</v>
      </c>
    </row>
    <row r="358" spans="1:44" ht="30" customHeight="1">
      <c r="A358" s="3" t="s">
        <v>44</v>
      </c>
      <c r="B358" s="3" t="s">
        <v>45</v>
      </c>
      <c r="C358" s="3" t="s">
        <v>46</v>
      </c>
      <c r="D358" s="3" t="s">
        <v>100</v>
      </c>
      <c r="E358" s="3" t="s">
        <v>48</v>
      </c>
      <c r="F358" s="3" t="s">
        <v>101</v>
      </c>
      <c r="G358" s="3" t="s">
        <v>1654</v>
      </c>
      <c r="H358" s="4">
        <f>IF(DATEDIF(L358,S358,"m")&gt;12,DATEDIF(L358,S358,"y"),(DATEDIF(L358,S358,"m")/12))</f>
        <v>29</v>
      </c>
      <c r="I358" s="7">
        <f>DATEDIF(L358,S358,"M")</f>
        <v>353</v>
      </c>
      <c r="J358" s="7">
        <f>DATEDIF(L358,S358,"D")</f>
        <v>10758</v>
      </c>
      <c r="K358" s="3" t="s">
        <v>51</v>
      </c>
      <c r="L358" s="8">
        <v>34199</v>
      </c>
      <c r="M358" s="3" t="s">
        <v>45</v>
      </c>
      <c r="N358" s="3" t="s">
        <v>101</v>
      </c>
      <c r="O358" s="3" t="s">
        <v>52</v>
      </c>
      <c r="P358" s="3" t="s">
        <v>169</v>
      </c>
      <c r="Q358" s="7">
        <v>0</v>
      </c>
      <c r="R358" s="8">
        <v>44963</v>
      </c>
      <c r="S358" s="8">
        <v>44957</v>
      </c>
      <c r="T358" s="3" t="s">
        <v>54</v>
      </c>
      <c r="U358" s="3" t="s">
        <v>55</v>
      </c>
      <c r="V358" s="9"/>
      <c r="W358" s="10">
        <v>44970</v>
      </c>
      <c r="X358" s="7">
        <v>7</v>
      </c>
      <c r="Y358" s="7">
        <v>6</v>
      </c>
      <c r="Z358" s="7">
        <v>1</v>
      </c>
      <c r="AA358" s="7">
        <f>INT((S358-DATE(YEAR(S358-WEEKDAY(S358-0)+4),1,4)+WEEKDAY(DATE(YEAR(S358-WEEKDAY(S358-0)+4),1,4))+6)/7)</f>
        <v>5</v>
      </c>
      <c r="AB358" s="3" t="s">
        <v>1655</v>
      </c>
      <c r="AC358" s="7">
        <v>19</v>
      </c>
      <c r="AD358" s="7">
        <v>0</v>
      </c>
      <c r="AE358" s="7">
        <v>0</v>
      </c>
      <c r="AF358" s="3" t="s">
        <v>48</v>
      </c>
      <c r="AG358" s="7">
        <v>2023</v>
      </c>
      <c r="AH358" s="3" t="s">
        <v>105</v>
      </c>
      <c r="AI358" s="3" t="s">
        <v>106</v>
      </c>
      <c r="AJ358" s="3" t="s">
        <v>100</v>
      </c>
      <c r="AK358" s="3" t="s">
        <v>316</v>
      </c>
      <c r="AL358" s="3" t="s">
        <v>59</v>
      </c>
      <c r="AM358" s="3" t="s">
        <v>99</v>
      </c>
      <c r="AN358" s="3" t="s">
        <v>61</v>
      </c>
      <c r="AO358" s="3" t="s">
        <v>62</v>
      </c>
      <c r="AP358" s="3" t="s">
        <v>69</v>
      </c>
      <c r="AQ358" s="3" t="s">
        <v>61</v>
      </c>
      <c r="AR358" s="3" t="s">
        <v>48</v>
      </c>
    </row>
    <row r="359" spans="1:44" ht="30" customHeight="1">
      <c r="A359" s="3" t="s">
        <v>44</v>
      </c>
      <c r="B359" s="3" t="s">
        <v>45</v>
      </c>
      <c r="C359" s="3" t="s">
        <v>46</v>
      </c>
      <c r="D359" s="3" t="s">
        <v>100</v>
      </c>
      <c r="E359" s="3" t="s">
        <v>48</v>
      </c>
      <c r="F359" s="3" t="s">
        <v>101</v>
      </c>
      <c r="G359" s="3" t="s">
        <v>1658</v>
      </c>
      <c r="H359" s="4">
        <f>IF(DATEDIF(L359,S359,"m")&gt;12,DATEDIF(L359,S359,"y"),(DATEDIF(L359,S359,"m")/12))</f>
        <v>25</v>
      </c>
      <c r="I359" s="7">
        <f>DATEDIF(L359,S359,"M")</f>
        <v>307</v>
      </c>
      <c r="J359" s="7">
        <f>DATEDIF(L359,S359,"D")</f>
        <v>9367</v>
      </c>
      <c r="K359" s="3" t="s">
        <v>51</v>
      </c>
      <c r="L359" s="8">
        <v>35595</v>
      </c>
      <c r="M359" s="3" t="s">
        <v>45</v>
      </c>
      <c r="N359" s="3" t="s">
        <v>65</v>
      </c>
      <c r="O359" s="3" t="s">
        <v>52</v>
      </c>
      <c r="P359" s="3" t="s">
        <v>110</v>
      </c>
      <c r="Q359" s="7">
        <v>0</v>
      </c>
      <c r="R359" s="8">
        <v>44963</v>
      </c>
      <c r="S359" s="8">
        <v>44962</v>
      </c>
      <c r="T359" s="3" t="s">
        <v>54</v>
      </c>
      <c r="U359" s="3" t="s">
        <v>55</v>
      </c>
      <c r="V359" s="9"/>
      <c r="W359" s="10">
        <v>44970</v>
      </c>
      <c r="X359" s="7">
        <v>7</v>
      </c>
      <c r="Y359" s="7">
        <v>1</v>
      </c>
      <c r="Z359" s="7">
        <v>2</v>
      </c>
      <c r="AA359" s="7">
        <f>INT((S359-DATE(YEAR(S359-WEEKDAY(S359-0)+4),1,4)+WEEKDAY(DATE(YEAR(S359-WEEKDAY(S359-0)+4),1,4))+6)/7)</f>
        <v>6</v>
      </c>
      <c r="AB359" s="3" t="s">
        <v>1659</v>
      </c>
      <c r="AC359" s="7">
        <v>26</v>
      </c>
      <c r="AD359" s="7">
        <v>0</v>
      </c>
      <c r="AE359" s="7">
        <v>0</v>
      </c>
      <c r="AF359" s="3" t="s">
        <v>48</v>
      </c>
      <c r="AG359" s="7">
        <v>2023</v>
      </c>
      <c r="AH359" s="3" t="s">
        <v>105</v>
      </c>
      <c r="AI359" s="3" t="s">
        <v>106</v>
      </c>
      <c r="AJ359" s="3" t="s">
        <v>252</v>
      </c>
      <c r="AK359" s="3" t="s">
        <v>704</v>
      </c>
      <c r="AL359" s="3" t="s">
        <v>59</v>
      </c>
      <c r="AM359" s="3" t="s">
        <v>99</v>
      </c>
      <c r="AN359" s="3" t="s">
        <v>61</v>
      </c>
      <c r="AO359" s="3" t="s">
        <v>62</v>
      </c>
      <c r="AP359" s="3" t="s">
        <v>69</v>
      </c>
      <c r="AQ359" s="3" t="s">
        <v>61</v>
      </c>
      <c r="AR359" s="3" t="s">
        <v>48</v>
      </c>
    </row>
    <row r="360" spans="1:44" ht="30" customHeight="1">
      <c r="A360" s="3" t="s">
        <v>44</v>
      </c>
      <c r="B360" s="3" t="s">
        <v>45</v>
      </c>
      <c r="C360" s="3" t="s">
        <v>46</v>
      </c>
      <c r="D360" s="3" t="s">
        <v>108</v>
      </c>
      <c r="E360" s="3" t="s">
        <v>48</v>
      </c>
      <c r="F360" s="3" t="s">
        <v>108</v>
      </c>
      <c r="G360" s="3" t="s">
        <v>1420</v>
      </c>
      <c r="H360" s="5">
        <f>IF(DATEDIF(L360,S360,"m")&gt;12,DATEDIF(L360,S360,"y"),(DATEDIF(L360,S360,"m")/12))</f>
        <v>0.25</v>
      </c>
      <c r="I360" s="7">
        <f>DATEDIF(L360,S360,"M")</f>
        <v>3</v>
      </c>
      <c r="J360" s="7">
        <f>DATEDIF(L360,S360,"D")</f>
        <v>120</v>
      </c>
      <c r="K360" s="3" t="s">
        <v>51</v>
      </c>
      <c r="L360" s="8">
        <v>44841</v>
      </c>
      <c r="M360" s="3" t="s">
        <v>45</v>
      </c>
      <c r="N360" s="3" t="s">
        <v>73</v>
      </c>
      <c r="O360" s="3" t="s">
        <v>52</v>
      </c>
      <c r="P360" s="3" t="s">
        <v>284</v>
      </c>
      <c r="Q360" s="7">
        <v>0</v>
      </c>
      <c r="R360" s="8">
        <v>44963</v>
      </c>
      <c r="S360" s="8">
        <v>44961</v>
      </c>
      <c r="T360" s="3" t="s">
        <v>54</v>
      </c>
      <c r="U360" s="3" t="s">
        <v>55</v>
      </c>
      <c r="V360" s="9"/>
      <c r="W360" s="10">
        <v>44971</v>
      </c>
      <c r="X360" s="7">
        <v>8</v>
      </c>
      <c r="Y360" s="7">
        <v>2</v>
      </c>
      <c r="Z360" s="7">
        <v>2</v>
      </c>
      <c r="AA360" s="7">
        <f>INT((S360-DATE(YEAR(S360-WEEKDAY(S360-0)+4),1,4)+WEEKDAY(DATE(YEAR(S360-WEEKDAY(S360-0)+4),1,4))+6)/7)</f>
        <v>5</v>
      </c>
      <c r="AB360" s="3" t="s">
        <v>1421</v>
      </c>
      <c r="AC360" s="7">
        <v>214</v>
      </c>
      <c r="AD360" s="7">
        <v>0</v>
      </c>
      <c r="AE360" s="7">
        <v>0</v>
      </c>
      <c r="AF360" s="3" t="s">
        <v>48</v>
      </c>
      <c r="AG360" s="7">
        <v>2023</v>
      </c>
      <c r="AH360" s="3" t="s">
        <v>112</v>
      </c>
      <c r="AI360" s="3" t="s">
        <v>113</v>
      </c>
      <c r="AJ360" s="3" t="s">
        <v>48</v>
      </c>
      <c r="AK360" s="12" t="s">
        <v>119</v>
      </c>
      <c r="AL360" s="3" t="s">
        <v>59</v>
      </c>
      <c r="AM360" s="3" t="s">
        <v>115</v>
      </c>
      <c r="AN360" s="3" t="s">
        <v>61</v>
      </c>
      <c r="AO360" s="3" t="s">
        <v>62</v>
      </c>
      <c r="AP360" s="3" t="s">
        <v>69</v>
      </c>
      <c r="AQ360" s="3" t="s">
        <v>61</v>
      </c>
      <c r="AR360" s="3" t="s">
        <v>48</v>
      </c>
    </row>
    <row r="361" spans="1:44" ht="30" customHeight="1">
      <c r="A361" s="3" t="s">
        <v>44</v>
      </c>
      <c r="B361" s="3" t="s">
        <v>45</v>
      </c>
      <c r="C361" s="3" t="s">
        <v>46</v>
      </c>
      <c r="D361" s="3" t="s">
        <v>108</v>
      </c>
      <c r="E361" s="3" t="s">
        <v>48</v>
      </c>
      <c r="F361" s="3" t="s">
        <v>108</v>
      </c>
      <c r="G361" s="3" t="s">
        <v>1426</v>
      </c>
      <c r="H361" s="4">
        <f>IF(DATEDIF(L361,S361,"m")&gt;12,DATEDIF(L361,S361,"y"),(DATEDIF(L361,S361,"m")/12))</f>
        <v>5</v>
      </c>
      <c r="I361" s="7">
        <f>DATEDIF(L361,S361,"M")</f>
        <v>63</v>
      </c>
      <c r="J361" s="7">
        <f>DATEDIF(L361,S361,"D")</f>
        <v>1944</v>
      </c>
      <c r="K361" s="3" t="s">
        <v>64</v>
      </c>
      <c r="L361" s="8">
        <v>43016</v>
      </c>
      <c r="M361" s="3" t="s">
        <v>45</v>
      </c>
      <c r="N361" s="3" t="s">
        <v>73</v>
      </c>
      <c r="O361" s="3" t="s">
        <v>52</v>
      </c>
      <c r="P361" s="3" t="s">
        <v>284</v>
      </c>
      <c r="Q361" s="7">
        <v>0</v>
      </c>
      <c r="R361" s="8">
        <v>44963</v>
      </c>
      <c r="S361" s="8">
        <v>44960</v>
      </c>
      <c r="T361" s="3" t="s">
        <v>54</v>
      </c>
      <c r="U361" s="3" t="s">
        <v>55</v>
      </c>
      <c r="V361" s="9"/>
      <c r="W361" s="10">
        <v>44971</v>
      </c>
      <c r="X361" s="7">
        <v>8</v>
      </c>
      <c r="Y361" s="7">
        <v>3</v>
      </c>
      <c r="Z361" s="7">
        <v>2</v>
      </c>
      <c r="AA361" s="7">
        <f>INT((S361-DATE(YEAR(S361-WEEKDAY(S361-0)+4),1,4)+WEEKDAY(DATE(YEAR(S361-WEEKDAY(S361-0)+4),1,4))+6)/7)</f>
        <v>5</v>
      </c>
      <c r="AB361" s="3" t="s">
        <v>1427</v>
      </c>
      <c r="AC361" s="7">
        <v>215</v>
      </c>
      <c r="AD361" s="7">
        <v>0</v>
      </c>
      <c r="AE361" s="7">
        <v>0</v>
      </c>
      <c r="AF361" s="3" t="s">
        <v>48</v>
      </c>
      <c r="AG361" s="7">
        <v>2023</v>
      </c>
      <c r="AH361" s="3" t="s">
        <v>112</v>
      </c>
      <c r="AI361" s="3" t="s">
        <v>113</v>
      </c>
      <c r="AJ361" s="3" t="s">
        <v>48</v>
      </c>
      <c r="AK361" s="12" t="s">
        <v>119</v>
      </c>
      <c r="AL361" s="3" t="s">
        <v>59</v>
      </c>
      <c r="AM361" s="3" t="s">
        <v>115</v>
      </c>
      <c r="AN361" s="3" t="s">
        <v>61</v>
      </c>
      <c r="AO361" s="3" t="s">
        <v>62</v>
      </c>
      <c r="AP361" s="3" t="s">
        <v>69</v>
      </c>
      <c r="AQ361" s="3" t="s">
        <v>61</v>
      </c>
      <c r="AR361" s="3" t="s">
        <v>48</v>
      </c>
    </row>
    <row r="362" spans="1:44" ht="30" customHeight="1">
      <c r="A362" s="3" t="s">
        <v>44</v>
      </c>
      <c r="B362" s="3" t="s">
        <v>45</v>
      </c>
      <c r="C362" s="3" t="s">
        <v>46</v>
      </c>
      <c r="D362" s="3" t="s">
        <v>47</v>
      </c>
      <c r="E362" s="3" t="s">
        <v>48</v>
      </c>
      <c r="F362" s="3" t="s">
        <v>49</v>
      </c>
      <c r="G362" s="3" t="s">
        <v>1785</v>
      </c>
      <c r="H362" s="4">
        <f>IF(DATEDIF(L362,S362,"m")&gt;12,DATEDIF(L362,S362,"y"),(DATEDIF(L362,S362,"m")/12))</f>
        <v>1</v>
      </c>
      <c r="I362" s="7">
        <f>DATEDIF(L362,S362,"M")</f>
        <v>16</v>
      </c>
      <c r="J362" s="7">
        <f>DATEDIF(L362,S362,"D")</f>
        <v>514</v>
      </c>
      <c r="K362" s="3" t="s">
        <v>64</v>
      </c>
      <c r="L362" s="8">
        <v>44449</v>
      </c>
      <c r="M362" s="3" t="s">
        <v>45</v>
      </c>
      <c r="N362" s="3" t="s">
        <v>49</v>
      </c>
      <c r="O362" s="3" t="s">
        <v>52</v>
      </c>
      <c r="P362" s="3" t="s">
        <v>1786</v>
      </c>
      <c r="Q362" s="7">
        <v>0</v>
      </c>
      <c r="R362" s="8">
        <v>44966</v>
      </c>
      <c r="S362" s="8">
        <v>44963</v>
      </c>
      <c r="T362" s="3" t="s">
        <v>54</v>
      </c>
      <c r="U362" s="3" t="s">
        <v>55</v>
      </c>
      <c r="V362" s="9"/>
      <c r="W362" s="10">
        <v>44970</v>
      </c>
      <c r="X362" s="7">
        <v>4</v>
      </c>
      <c r="Y362" s="7">
        <v>3</v>
      </c>
      <c r="Z362" s="7">
        <v>2</v>
      </c>
      <c r="AA362" s="7">
        <f>INT((S362-DATE(YEAR(S362-WEEKDAY(S362-0)+4),1,4)+WEEKDAY(DATE(YEAR(S362-WEEKDAY(S362-0)+4),1,4))+6)/7)</f>
        <v>6</v>
      </c>
      <c r="AB362" s="3" t="s">
        <v>1787</v>
      </c>
      <c r="AC362" s="7">
        <v>40</v>
      </c>
      <c r="AD362" s="7">
        <v>0</v>
      </c>
      <c r="AE362" s="7">
        <v>0</v>
      </c>
      <c r="AF362" s="3" t="s">
        <v>48</v>
      </c>
      <c r="AG362" s="7">
        <v>2023</v>
      </c>
      <c r="AH362" s="3" t="s">
        <v>57</v>
      </c>
      <c r="AI362" s="3" t="s">
        <v>48</v>
      </c>
      <c r="AJ362" s="3" t="s">
        <v>48</v>
      </c>
      <c r="AK362" s="3" t="s">
        <v>58</v>
      </c>
      <c r="AL362" s="3" t="s">
        <v>59</v>
      </c>
      <c r="AM362" s="3" t="s">
        <v>60</v>
      </c>
      <c r="AN362" s="3" t="s">
        <v>61</v>
      </c>
      <c r="AO362" s="3" t="s">
        <v>62</v>
      </c>
      <c r="AP362" s="3" t="s">
        <v>69</v>
      </c>
      <c r="AQ362" s="3" t="s">
        <v>61</v>
      </c>
      <c r="AR362" s="3" t="s">
        <v>48</v>
      </c>
    </row>
    <row r="363" spans="1:44" ht="30" customHeight="1">
      <c r="A363" s="3" t="s">
        <v>44</v>
      </c>
      <c r="B363" s="3" t="s">
        <v>45</v>
      </c>
      <c r="C363" s="3" t="s">
        <v>46</v>
      </c>
      <c r="D363" s="3" t="s">
        <v>108</v>
      </c>
      <c r="E363" s="3" t="s">
        <v>48</v>
      </c>
      <c r="F363" s="3" t="s">
        <v>108</v>
      </c>
      <c r="G363" s="3" t="s">
        <v>1505</v>
      </c>
      <c r="H363" s="4">
        <f>IF(DATEDIF(L363,S363,"m")&gt;12,DATEDIF(L363,S363,"y"),(DATEDIF(L363,S363,"m")/12))</f>
        <v>72</v>
      </c>
      <c r="I363" s="7">
        <f>DATEDIF(L363,S363,"M")</f>
        <v>867</v>
      </c>
      <c r="J363" s="7">
        <f>DATEDIF(L363,S363,"D")</f>
        <v>26394</v>
      </c>
      <c r="K363" s="3" t="s">
        <v>64</v>
      </c>
      <c r="L363" s="8">
        <v>18568</v>
      </c>
      <c r="M363" s="3" t="s">
        <v>45</v>
      </c>
      <c r="N363" s="3" t="s">
        <v>73</v>
      </c>
      <c r="O363" s="3" t="s">
        <v>52</v>
      </c>
      <c r="P363" s="3" t="s">
        <v>962</v>
      </c>
      <c r="Q363" s="7">
        <v>0</v>
      </c>
      <c r="R363" s="8">
        <v>44965</v>
      </c>
      <c r="S363" s="8">
        <v>44962</v>
      </c>
      <c r="T363" s="3" t="s">
        <v>54</v>
      </c>
      <c r="U363" s="3" t="s">
        <v>55</v>
      </c>
      <c r="V363" s="9"/>
      <c r="W363" s="10">
        <v>44971</v>
      </c>
      <c r="X363" s="7">
        <v>6</v>
      </c>
      <c r="Y363" s="7">
        <v>3</v>
      </c>
      <c r="Z363" s="7">
        <v>2</v>
      </c>
      <c r="AA363" s="7">
        <f>INT((S363-DATE(YEAR(S363-WEEKDAY(S363-0)+4),1,4)+WEEKDAY(DATE(YEAR(S363-WEEKDAY(S363-0)+4),1,4))+6)/7)</f>
        <v>6</v>
      </c>
      <c r="AB363" s="3" t="s">
        <v>1506</v>
      </c>
      <c r="AC363" s="7">
        <v>241</v>
      </c>
      <c r="AD363" s="7">
        <v>0</v>
      </c>
      <c r="AE363" s="7">
        <v>0</v>
      </c>
      <c r="AF363" s="3" t="s">
        <v>48</v>
      </c>
      <c r="AG363" s="7">
        <v>2023</v>
      </c>
      <c r="AH363" s="3" t="s">
        <v>112</v>
      </c>
      <c r="AI363" s="3" t="s">
        <v>113</v>
      </c>
      <c r="AJ363" s="3" t="s">
        <v>48</v>
      </c>
      <c r="AK363" s="12" t="s">
        <v>119</v>
      </c>
      <c r="AL363" s="3" t="s">
        <v>59</v>
      </c>
      <c r="AM363" s="3" t="s">
        <v>115</v>
      </c>
      <c r="AN363" s="3" t="s">
        <v>61</v>
      </c>
      <c r="AO363" s="3" t="s">
        <v>62</v>
      </c>
      <c r="AP363" s="3" t="s">
        <v>69</v>
      </c>
      <c r="AQ363" s="3" t="s">
        <v>61</v>
      </c>
      <c r="AR363" s="3" t="s">
        <v>48</v>
      </c>
    </row>
    <row r="364" spans="1:44" ht="30" customHeight="1">
      <c r="A364" s="3" t="s">
        <v>44</v>
      </c>
      <c r="B364" s="3" t="s">
        <v>45</v>
      </c>
      <c r="C364" s="3" t="s">
        <v>46</v>
      </c>
      <c r="D364" s="3" t="s">
        <v>100</v>
      </c>
      <c r="E364" s="3" t="s">
        <v>48</v>
      </c>
      <c r="F364" s="3" t="s">
        <v>101</v>
      </c>
      <c r="G364" s="3" t="s">
        <v>1866</v>
      </c>
      <c r="H364" s="4">
        <f>IF(DATEDIF(L364,S364,"m")&gt;12,DATEDIF(L364,S364,"y"),(DATEDIF(L364,S364,"m")/12))</f>
        <v>7</v>
      </c>
      <c r="I364" s="7">
        <f>DATEDIF(L364,S364,"M")</f>
        <v>85</v>
      </c>
      <c r="J364" s="7">
        <f>DATEDIF(L364,S364,"D")</f>
        <v>2597</v>
      </c>
      <c r="K364" s="3" t="s">
        <v>64</v>
      </c>
      <c r="L364" s="8">
        <v>42362</v>
      </c>
      <c r="M364" s="3" t="s">
        <v>45</v>
      </c>
      <c r="N364" s="3" t="s">
        <v>101</v>
      </c>
      <c r="O364" s="3" t="s">
        <v>52</v>
      </c>
      <c r="P364" s="3" t="s">
        <v>295</v>
      </c>
      <c r="Q364" s="7">
        <v>0</v>
      </c>
      <c r="R364" s="8">
        <v>44963</v>
      </c>
      <c r="S364" s="8">
        <v>44959</v>
      </c>
      <c r="T364" s="3" t="s">
        <v>54</v>
      </c>
      <c r="U364" s="3" t="s">
        <v>55</v>
      </c>
      <c r="V364" s="9"/>
      <c r="W364" s="10">
        <v>44970</v>
      </c>
      <c r="X364" s="7">
        <v>7</v>
      </c>
      <c r="Y364" s="7">
        <v>4</v>
      </c>
      <c r="Z364" s="7">
        <v>2</v>
      </c>
      <c r="AA364" s="7">
        <f>INT((S364-DATE(YEAR(S364-WEEKDAY(S364-0)+4),1,4)+WEEKDAY(DATE(YEAR(S364-WEEKDAY(S364-0)+4),1,4))+6)/7)</f>
        <v>5</v>
      </c>
      <c r="AB364" s="3" t="s">
        <v>1867</v>
      </c>
      <c r="AC364" s="7">
        <v>25</v>
      </c>
      <c r="AD364" s="7">
        <v>0</v>
      </c>
      <c r="AE364" s="7">
        <v>0</v>
      </c>
      <c r="AF364" s="3" t="s">
        <v>48</v>
      </c>
      <c r="AG364" s="7">
        <v>2023</v>
      </c>
      <c r="AH364" s="3" t="s">
        <v>105</v>
      </c>
      <c r="AI364" s="3" t="s">
        <v>106</v>
      </c>
      <c r="AJ364" s="3" t="s">
        <v>100</v>
      </c>
      <c r="AK364" s="18" t="s">
        <v>162</v>
      </c>
      <c r="AL364" s="3" t="s">
        <v>59</v>
      </c>
      <c r="AM364" s="3" t="s">
        <v>99</v>
      </c>
      <c r="AN364" s="3" t="s">
        <v>61</v>
      </c>
      <c r="AO364" s="3" t="s">
        <v>62</v>
      </c>
      <c r="AP364" s="3" t="s">
        <v>69</v>
      </c>
      <c r="AQ364" s="3" t="s">
        <v>61</v>
      </c>
      <c r="AR364" s="3" t="s">
        <v>48</v>
      </c>
    </row>
    <row r="365" spans="1:44" ht="30" customHeight="1">
      <c r="A365" s="3" t="s">
        <v>44</v>
      </c>
      <c r="B365" s="3" t="s">
        <v>45</v>
      </c>
      <c r="C365" s="3" t="s">
        <v>46</v>
      </c>
      <c r="D365" s="3" t="s">
        <v>186</v>
      </c>
      <c r="E365" s="3" t="s">
        <v>48</v>
      </c>
      <c r="F365" s="3" t="s">
        <v>271</v>
      </c>
      <c r="G365" s="3" t="s">
        <v>1874</v>
      </c>
      <c r="H365" s="5">
        <f>IF(DATEDIF(L365,S365,"m")&gt;12,DATEDIF(L365,S365,"y"),(DATEDIF(L365,S365,"m")/12))</f>
        <v>0.25</v>
      </c>
      <c r="I365" s="7">
        <f>DATEDIF(L365,S365,"M")</f>
        <v>3</v>
      </c>
      <c r="J365" s="7">
        <f>DATEDIF(L365,S365,"D")</f>
        <v>110</v>
      </c>
      <c r="K365" s="3" t="s">
        <v>51</v>
      </c>
      <c r="L365" s="8">
        <v>44849</v>
      </c>
      <c r="M365" s="3" t="s">
        <v>45</v>
      </c>
      <c r="N365" s="3" t="s">
        <v>187</v>
      </c>
      <c r="O365" s="3" t="s">
        <v>52</v>
      </c>
      <c r="P365" s="3" t="s">
        <v>658</v>
      </c>
      <c r="Q365" s="7">
        <v>0</v>
      </c>
      <c r="R365" s="8">
        <v>44962</v>
      </c>
      <c r="S365" s="8">
        <v>44959</v>
      </c>
      <c r="T365" s="3" t="s">
        <v>54</v>
      </c>
      <c r="U365" s="3" t="s">
        <v>55</v>
      </c>
      <c r="V365" s="9"/>
      <c r="W365" s="10">
        <v>44970</v>
      </c>
      <c r="X365" s="7">
        <v>8</v>
      </c>
      <c r="Y365" s="7">
        <v>3</v>
      </c>
      <c r="Z365" s="7">
        <v>2</v>
      </c>
      <c r="AA365" s="7">
        <f>INT((S365-DATE(YEAR(S365-WEEKDAY(S365-0)+4),1,4)+WEEKDAY(DATE(YEAR(S365-WEEKDAY(S365-0)+4),1,4))+6)/7)</f>
        <v>5</v>
      </c>
      <c r="AB365" s="3" t="s">
        <v>1875</v>
      </c>
      <c r="AC365" s="7">
        <v>106</v>
      </c>
      <c r="AD365" s="7">
        <v>0</v>
      </c>
      <c r="AE365" s="7">
        <v>0</v>
      </c>
      <c r="AF365" s="3" t="s">
        <v>48</v>
      </c>
      <c r="AG365" s="7">
        <v>2023</v>
      </c>
      <c r="AH365" s="3" t="s">
        <v>276</v>
      </c>
      <c r="AI365" s="3" t="s">
        <v>191</v>
      </c>
      <c r="AJ365" s="3" t="s">
        <v>186</v>
      </c>
      <c r="AK365" s="3" t="s">
        <v>192</v>
      </c>
      <c r="AL365" s="3" t="s">
        <v>59</v>
      </c>
      <c r="AM365" s="3" t="s">
        <v>60</v>
      </c>
      <c r="AN365" s="3" t="s">
        <v>61</v>
      </c>
      <c r="AO365" s="3" t="s">
        <v>62</v>
      </c>
      <c r="AP365" s="3" t="s">
        <v>69</v>
      </c>
      <c r="AQ365" s="3" t="s">
        <v>61</v>
      </c>
      <c r="AR365" s="3" t="s">
        <v>48</v>
      </c>
    </row>
    <row r="366" spans="1:44" ht="30" customHeight="1">
      <c r="A366" s="3" t="s">
        <v>44</v>
      </c>
      <c r="B366" s="3" t="s">
        <v>45</v>
      </c>
      <c r="C366" s="3" t="s">
        <v>46</v>
      </c>
      <c r="D366" s="3" t="s">
        <v>47</v>
      </c>
      <c r="E366" s="3" t="s">
        <v>48</v>
      </c>
      <c r="F366" s="3" t="s">
        <v>49</v>
      </c>
      <c r="G366" s="3" t="s">
        <v>1908</v>
      </c>
      <c r="H366" s="4">
        <f>IF(DATEDIF(L366,S366,"m")&gt;12,DATEDIF(L366,S366,"y"),(DATEDIF(L366,S366,"m")/12))</f>
        <v>22</v>
      </c>
      <c r="I366" s="7">
        <f>DATEDIF(L366,S366,"M")</f>
        <v>268</v>
      </c>
      <c r="J366" s="7">
        <f>DATEDIF(L366,S366,"D")</f>
        <v>8175</v>
      </c>
      <c r="K366" s="3" t="s">
        <v>51</v>
      </c>
      <c r="L366" s="8">
        <v>36785</v>
      </c>
      <c r="M366" s="3" t="s">
        <v>45</v>
      </c>
      <c r="N366" s="3" t="s">
        <v>65</v>
      </c>
      <c r="O366" s="3" t="s">
        <v>52</v>
      </c>
      <c r="P366" s="3" t="s">
        <v>103</v>
      </c>
      <c r="Q366" s="7">
        <v>0</v>
      </c>
      <c r="R366" s="8">
        <v>44967</v>
      </c>
      <c r="S366" s="8">
        <v>44960</v>
      </c>
      <c r="T366" s="3" t="s">
        <v>54</v>
      </c>
      <c r="U366" s="3" t="s">
        <v>55</v>
      </c>
      <c r="V366" s="9"/>
      <c r="W366" s="10">
        <v>44970</v>
      </c>
      <c r="X366" s="7">
        <v>3</v>
      </c>
      <c r="Y366" s="7">
        <v>7</v>
      </c>
      <c r="Z366" s="7">
        <v>2</v>
      </c>
      <c r="AA366" s="7">
        <f>INT((S366-DATE(YEAR(S366-WEEKDAY(S366-0)+4),1,4)+WEEKDAY(DATE(YEAR(S366-WEEKDAY(S366-0)+4),1,4))+6)/7)</f>
        <v>5</v>
      </c>
      <c r="AB366" s="3" t="s">
        <v>1909</v>
      </c>
      <c r="AC366" s="7">
        <v>46</v>
      </c>
      <c r="AD366" s="7">
        <v>0</v>
      </c>
      <c r="AE366" s="7">
        <v>0</v>
      </c>
      <c r="AF366" s="3" t="s">
        <v>48</v>
      </c>
      <c r="AG366" s="7">
        <v>2023</v>
      </c>
      <c r="AH366" s="18" t="s">
        <v>57</v>
      </c>
      <c r="AI366" s="3" t="s">
        <v>48</v>
      </c>
      <c r="AJ366" s="3" t="s">
        <v>48</v>
      </c>
      <c r="AK366" s="3" t="s">
        <v>1910</v>
      </c>
      <c r="AL366" s="3" t="s">
        <v>59</v>
      </c>
      <c r="AM366" s="3" t="s">
        <v>60</v>
      </c>
      <c r="AN366" s="3" t="s">
        <v>61</v>
      </c>
      <c r="AO366" s="3" t="s">
        <v>62</v>
      </c>
      <c r="AP366" s="3" t="s">
        <v>69</v>
      </c>
      <c r="AQ366" s="3" t="s">
        <v>61</v>
      </c>
      <c r="AR366" s="3" t="s">
        <v>48</v>
      </c>
    </row>
    <row r="367" spans="1:44" ht="30" customHeight="1">
      <c r="A367" s="3" t="s">
        <v>44</v>
      </c>
      <c r="B367" s="3" t="s">
        <v>45</v>
      </c>
      <c r="C367" s="3" t="s">
        <v>46</v>
      </c>
      <c r="D367" s="3" t="s">
        <v>100</v>
      </c>
      <c r="E367" s="3" t="s">
        <v>48</v>
      </c>
      <c r="F367" s="3" t="s">
        <v>101</v>
      </c>
      <c r="G367" s="3" t="s">
        <v>1914</v>
      </c>
      <c r="H367" s="4">
        <f>IF(DATEDIF(L367,S367,"m")&gt;12,DATEDIF(L367,S367,"y"),(DATEDIF(L367,S367,"m")/12))</f>
        <v>47</v>
      </c>
      <c r="I367" s="7">
        <f>DATEDIF(L367,S367,"M")</f>
        <v>567</v>
      </c>
      <c r="J367" s="7">
        <f>DATEDIF(L367,S367,"D")</f>
        <v>17289</v>
      </c>
      <c r="K367" s="3" t="s">
        <v>64</v>
      </c>
      <c r="L367" s="8">
        <v>27672</v>
      </c>
      <c r="M367" s="3" t="s">
        <v>45</v>
      </c>
      <c r="N367" s="3" t="s">
        <v>101</v>
      </c>
      <c r="O367" s="3" t="s">
        <v>52</v>
      </c>
      <c r="P367" s="3" t="s">
        <v>298</v>
      </c>
      <c r="Q367" s="7">
        <v>0</v>
      </c>
      <c r="R367" s="8">
        <v>44963</v>
      </c>
      <c r="S367" s="8">
        <v>44961</v>
      </c>
      <c r="T367" s="3" t="s">
        <v>54</v>
      </c>
      <c r="U367" s="3" t="s">
        <v>55</v>
      </c>
      <c r="V367" s="9"/>
      <c r="W367" s="10">
        <v>44970</v>
      </c>
      <c r="X367" s="7">
        <v>7</v>
      </c>
      <c r="Y367" s="7">
        <v>2</v>
      </c>
      <c r="Z367" s="7">
        <v>2</v>
      </c>
      <c r="AA367" s="7">
        <f>INT((S367-DATE(YEAR(S367-WEEKDAY(S367-0)+4),1,4)+WEEKDAY(DATE(YEAR(S367-WEEKDAY(S367-0)+4),1,4))+6)/7)</f>
        <v>5</v>
      </c>
      <c r="AB367" s="3" t="s">
        <v>1915</v>
      </c>
      <c r="AC367" s="7">
        <v>22</v>
      </c>
      <c r="AD367" s="7">
        <v>0</v>
      </c>
      <c r="AE367" s="7">
        <v>0</v>
      </c>
      <c r="AF367" s="3" t="s">
        <v>48</v>
      </c>
      <c r="AG367" s="7">
        <v>2023</v>
      </c>
      <c r="AH367" s="3" t="s">
        <v>105</v>
      </c>
      <c r="AI367" s="3" t="s">
        <v>106</v>
      </c>
      <c r="AJ367" s="3" t="s">
        <v>100</v>
      </c>
      <c r="AK367" s="3" t="s">
        <v>865</v>
      </c>
      <c r="AL367" s="3" t="s">
        <v>59</v>
      </c>
      <c r="AM367" s="3" t="s">
        <v>99</v>
      </c>
      <c r="AN367" s="3" t="s">
        <v>61</v>
      </c>
      <c r="AO367" s="3" t="s">
        <v>62</v>
      </c>
      <c r="AP367" s="3" t="s">
        <v>69</v>
      </c>
      <c r="AQ367" s="3" t="s">
        <v>61</v>
      </c>
      <c r="AR367" s="3" t="s">
        <v>48</v>
      </c>
    </row>
    <row r="368" spans="1:44" ht="30" customHeight="1">
      <c r="A368" s="3" t="s">
        <v>44</v>
      </c>
      <c r="B368" s="3" t="s">
        <v>45</v>
      </c>
      <c r="C368" s="3" t="s">
        <v>46</v>
      </c>
      <c r="D368" s="3" t="s">
        <v>100</v>
      </c>
      <c r="E368" s="3" t="s">
        <v>48</v>
      </c>
      <c r="F368" s="3" t="s">
        <v>101</v>
      </c>
      <c r="G368" s="3" t="s">
        <v>2063</v>
      </c>
      <c r="H368" s="4">
        <f>IF(DATEDIF(L368,S368,"m")&gt;12,DATEDIF(L368,S368,"y"),(DATEDIF(L368,S368,"m")/12))</f>
        <v>13</v>
      </c>
      <c r="I368" s="7">
        <f>DATEDIF(L368,S368,"M")</f>
        <v>160</v>
      </c>
      <c r="J368" s="7">
        <f>DATEDIF(L368,S368,"D")</f>
        <v>4882</v>
      </c>
      <c r="K368" s="3" t="s">
        <v>51</v>
      </c>
      <c r="L368" s="8">
        <v>40075</v>
      </c>
      <c r="M368" s="3" t="s">
        <v>45</v>
      </c>
      <c r="N368" s="3" t="s">
        <v>101</v>
      </c>
      <c r="O368" s="3" t="s">
        <v>52</v>
      </c>
      <c r="P368" s="3" t="s">
        <v>91</v>
      </c>
      <c r="Q368" s="7">
        <v>0</v>
      </c>
      <c r="R368" s="8">
        <v>44964</v>
      </c>
      <c r="S368" s="8">
        <v>44957</v>
      </c>
      <c r="T368" s="3" t="s">
        <v>54</v>
      </c>
      <c r="U368" s="3" t="s">
        <v>55</v>
      </c>
      <c r="V368" s="9"/>
      <c r="W368" s="10">
        <v>44970</v>
      </c>
      <c r="X368" s="7">
        <v>6</v>
      </c>
      <c r="Y368" s="7">
        <v>7</v>
      </c>
      <c r="Z368" s="7">
        <v>1</v>
      </c>
      <c r="AA368" s="7">
        <f>INT((S368-DATE(YEAR(S368-WEEKDAY(S368-0)+4),1,4)+WEEKDAY(DATE(YEAR(S368-WEEKDAY(S368-0)+4),1,4))+6)/7)</f>
        <v>5</v>
      </c>
      <c r="AB368" s="3" t="s">
        <v>2064</v>
      </c>
      <c r="AC368" s="7">
        <v>27</v>
      </c>
      <c r="AD368" s="7">
        <v>0</v>
      </c>
      <c r="AE368" s="7">
        <v>0</v>
      </c>
      <c r="AF368" s="3" t="s">
        <v>48</v>
      </c>
      <c r="AG368" s="7">
        <v>2023</v>
      </c>
      <c r="AH368" s="3" t="s">
        <v>105</v>
      </c>
      <c r="AI368" s="3" t="s">
        <v>106</v>
      </c>
      <c r="AJ368" s="3" t="s">
        <v>100</v>
      </c>
      <c r="AK368" s="3" t="s">
        <v>241</v>
      </c>
      <c r="AL368" s="3" t="s">
        <v>59</v>
      </c>
      <c r="AM368" s="3" t="s">
        <v>99</v>
      </c>
      <c r="AN368" s="3" t="s">
        <v>61</v>
      </c>
      <c r="AO368" s="3" t="s">
        <v>62</v>
      </c>
      <c r="AP368" s="3" t="s">
        <v>69</v>
      </c>
      <c r="AQ368" s="3" t="s">
        <v>61</v>
      </c>
      <c r="AR368" s="3" t="s">
        <v>48</v>
      </c>
    </row>
    <row r="369" spans="1:44" ht="30" customHeight="1">
      <c r="A369" s="3" t="s">
        <v>44</v>
      </c>
      <c r="B369" s="3" t="s">
        <v>45</v>
      </c>
      <c r="C369" s="3" t="s">
        <v>46</v>
      </c>
      <c r="D369" s="3" t="s">
        <v>108</v>
      </c>
      <c r="E369" s="3" t="s">
        <v>48</v>
      </c>
      <c r="F369" s="3" t="s">
        <v>108</v>
      </c>
      <c r="G369" s="3" t="s">
        <v>1556</v>
      </c>
      <c r="H369" s="4">
        <f>IF(DATEDIF(L369,S369,"m")&gt;12,DATEDIF(L369,S369,"y"),(DATEDIF(L369,S369,"m")/12))</f>
        <v>4</v>
      </c>
      <c r="I369" s="7">
        <f>DATEDIF(L369,S369,"M")</f>
        <v>49</v>
      </c>
      <c r="J369" s="7">
        <f>DATEDIF(L369,S369,"D")</f>
        <v>1493</v>
      </c>
      <c r="K369" s="3" t="s">
        <v>51</v>
      </c>
      <c r="L369" s="8">
        <v>43468</v>
      </c>
      <c r="M369" s="3" t="s">
        <v>45</v>
      </c>
      <c r="N369" s="3" t="s">
        <v>73</v>
      </c>
      <c r="O369" s="3" t="s">
        <v>52</v>
      </c>
      <c r="P369" s="3" t="s">
        <v>664</v>
      </c>
      <c r="Q369" s="7">
        <v>0</v>
      </c>
      <c r="R369" s="8">
        <v>44963</v>
      </c>
      <c r="S369" s="8">
        <v>44961</v>
      </c>
      <c r="T369" s="3" t="s">
        <v>54</v>
      </c>
      <c r="U369" s="3" t="s">
        <v>55</v>
      </c>
      <c r="V369" s="9"/>
      <c r="W369" s="10">
        <v>44971</v>
      </c>
      <c r="X369" s="7">
        <v>8</v>
      </c>
      <c r="Y369" s="7">
        <v>2</v>
      </c>
      <c r="Z369" s="7">
        <v>2</v>
      </c>
      <c r="AA369" s="7">
        <f>INT((S369-DATE(YEAR(S369-WEEKDAY(S369-0)+4),1,4)+WEEKDAY(DATE(YEAR(S369-WEEKDAY(S369-0)+4),1,4))+6)/7)</f>
        <v>5</v>
      </c>
      <c r="AB369" s="3" t="s">
        <v>1557</v>
      </c>
      <c r="AC369" s="7">
        <v>209</v>
      </c>
      <c r="AD369" s="7">
        <v>0</v>
      </c>
      <c r="AE369" s="7">
        <v>0</v>
      </c>
      <c r="AF369" s="3" t="s">
        <v>48</v>
      </c>
      <c r="AG369" s="7">
        <v>2023</v>
      </c>
      <c r="AH369" s="3" t="s">
        <v>112</v>
      </c>
      <c r="AI369" s="3" t="s">
        <v>113</v>
      </c>
      <c r="AJ369" s="3" t="s">
        <v>48</v>
      </c>
      <c r="AK369" s="12" t="s">
        <v>119</v>
      </c>
      <c r="AL369" s="3" t="s">
        <v>59</v>
      </c>
      <c r="AM369" s="3" t="s">
        <v>115</v>
      </c>
      <c r="AN369" s="3" t="s">
        <v>61</v>
      </c>
      <c r="AO369" s="3" t="s">
        <v>62</v>
      </c>
      <c r="AP369" s="3" t="s">
        <v>69</v>
      </c>
      <c r="AQ369" s="3" t="s">
        <v>61</v>
      </c>
      <c r="AR369" s="3" t="s">
        <v>48</v>
      </c>
    </row>
    <row r="370" spans="1:44" ht="30" customHeight="1">
      <c r="A370" s="3" t="s">
        <v>44</v>
      </c>
      <c r="B370" s="3" t="s">
        <v>45</v>
      </c>
      <c r="C370" s="3" t="s">
        <v>46</v>
      </c>
      <c r="D370" s="3" t="s">
        <v>108</v>
      </c>
      <c r="E370" s="3" t="s">
        <v>48</v>
      </c>
      <c r="F370" s="3" t="s">
        <v>108</v>
      </c>
      <c r="G370" s="3" t="s">
        <v>1989</v>
      </c>
      <c r="H370" s="4">
        <f>IF(DATEDIF(L370,S370,"m")&gt;12,DATEDIF(L370,S370,"y"),(DATEDIF(L370,S370,"m")/12))</f>
        <v>2</v>
      </c>
      <c r="I370" s="7">
        <f>DATEDIF(L370,S370,"M")</f>
        <v>30</v>
      </c>
      <c r="J370" s="7">
        <f>DATEDIF(L370,S370,"D")</f>
        <v>916</v>
      </c>
      <c r="K370" s="3" t="s">
        <v>51</v>
      </c>
      <c r="L370" s="8">
        <v>44042</v>
      </c>
      <c r="M370" s="3" t="s">
        <v>45</v>
      </c>
      <c r="N370" s="3" t="s">
        <v>73</v>
      </c>
      <c r="O370" s="3" t="s">
        <v>52</v>
      </c>
      <c r="P370" s="3" t="s">
        <v>91</v>
      </c>
      <c r="Q370" s="7">
        <v>0</v>
      </c>
      <c r="R370" s="8">
        <v>44964</v>
      </c>
      <c r="S370" s="8">
        <v>44958</v>
      </c>
      <c r="T370" s="3" t="s">
        <v>54</v>
      </c>
      <c r="U370" s="3" t="s">
        <v>55</v>
      </c>
      <c r="V370" s="9"/>
      <c r="W370" s="10">
        <v>44971</v>
      </c>
      <c r="X370" s="7">
        <v>7</v>
      </c>
      <c r="Y370" s="7">
        <v>6</v>
      </c>
      <c r="Z370" s="7">
        <v>2</v>
      </c>
      <c r="AA370" s="7">
        <f>INT((S370-DATE(YEAR(S370-WEEKDAY(S370-0)+4),1,4)+WEEKDAY(DATE(YEAR(S370-WEEKDAY(S370-0)+4),1,4))+6)/7)</f>
        <v>5</v>
      </c>
      <c r="AB370" s="3" t="s">
        <v>1990</v>
      </c>
      <c r="AC370" s="7">
        <v>236</v>
      </c>
      <c r="AD370" s="7">
        <v>0</v>
      </c>
      <c r="AE370" s="7">
        <v>0</v>
      </c>
      <c r="AF370" s="3" t="s">
        <v>48</v>
      </c>
      <c r="AG370" s="7">
        <v>2023</v>
      </c>
      <c r="AH370" s="3" t="s">
        <v>112</v>
      </c>
      <c r="AI370" s="3" t="s">
        <v>113</v>
      </c>
      <c r="AJ370" s="3" t="s">
        <v>48</v>
      </c>
      <c r="AK370" s="12" t="s">
        <v>119</v>
      </c>
      <c r="AL370" s="3" t="s">
        <v>59</v>
      </c>
      <c r="AM370" s="3" t="s">
        <v>115</v>
      </c>
      <c r="AN370" s="3" t="s">
        <v>61</v>
      </c>
      <c r="AO370" s="3" t="s">
        <v>62</v>
      </c>
      <c r="AP370" s="3" t="s">
        <v>69</v>
      </c>
      <c r="AQ370" s="3" t="s">
        <v>61</v>
      </c>
      <c r="AR370" s="3" t="s">
        <v>48</v>
      </c>
    </row>
    <row r="371" spans="1:44" ht="30" customHeight="1">
      <c r="A371" s="3" t="s">
        <v>44</v>
      </c>
      <c r="B371" s="3" t="s">
        <v>45</v>
      </c>
      <c r="C371" s="3" t="s">
        <v>46</v>
      </c>
      <c r="D371" s="3" t="s">
        <v>186</v>
      </c>
      <c r="E371" s="3" t="s">
        <v>48</v>
      </c>
      <c r="F371" s="3" t="s">
        <v>271</v>
      </c>
      <c r="G371" s="3" t="s">
        <v>2150</v>
      </c>
      <c r="H371" s="4">
        <f>IF(DATEDIF(L371,S371,"m")&gt;12,DATEDIF(L371,S371,"y"),(DATEDIF(L371,S371,"m")/12))</f>
        <v>1</v>
      </c>
      <c r="I371" s="7">
        <f>DATEDIF(L371,S371,"M")</f>
        <v>12</v>
      </c>
      <c r="J371" s="7">
        <f>DATEDIF(L371,S371,"D")</f>
        <v>393</v>
      </c>
      <c r="K371" s="3" t="s">
        <v>51</v>
      </c>
      <c r="L371" s="8">
        <v>44568</v>
      </c>
      <c r="M371" s="3" t="s">
        <v>45</v>
      </c>
      <c r="N371" s="3" t="s">
        <v>187</v>
      </c>
      <c r="O371" s="3" t="s">
        <v>52</v>
      </c>
      <c r="P371" s="3" t="s">
        <v>2151</v>
      </c>
      <c r="Q371" s="7">
        <v>0</v>
      </c>
      <c r="R371" s="8">
        <v>44962</v>
      </c>
      <c r="S371" s="8">
        <v>44961</v>
      </c>
      <c r="T371" s="3" t="s">
        <v>54</v>
      </c>
      <c r="U371" s="3" t="s">
        <v>55</v>
      </c>
      <c r="V371" s="9"/>
      <c r="W371" s="10">
        <v>44970</v>
      </c>
      <c r="X371" s="7">
        <v>8</v>
      </c>
      <c r="Y371" s="7">
        <v>1</v>
      </c>
      <c r="Z371" s="7">
        <v>2</v>
      </c>
      <c r="AA371" s="7">
        <f>INT((S371-DATE(YEAR(S371-WEEKDAY(S371-0)+4),1,4)+WEEKDAY(DATE(YEAR(S371-WEEKDAY(S371-0)+4),1,4))+6)/7)</f>
        <v>5</v>
      </c>
      <c r="AB371" s="3" t="s">
        <v>2152</v>
      </c>
      <c r="AC371" s="7">
        <v>104</v>
      </c>
      <c r="AD371" s="7">
        <v>0</v>
      </c>
      <c r="AE371" s="7">
        <v>0</v>
      </c>
      <c r="AF371" s="3" t="s">
        <v>48</v>
      </c>
      <c r="AG371" s="7">
        <v>2023</v>
      </c>
      <c r="AH371" s="3" t="s">
        <v>276</v>
      </c>
      <c r="AI371" s="3" t="s">
        <v>191</v>
      </c>
      <c r="AJ371" s="3" t="s">
        <v>186</v>
      </c>
      <c r="AK371" s="3" t="s">
        <v>192</v>
      </c>
      <c r="AL371" s="3" t="s">
        <v>59</v>
      </c>
      <c r="AM371" s="3" t="s">
        <v>60</v>
      </c>
      <c r="AN371" s="3" t="s">
        <v>61</v>
      </c>
      <c r="AO371" s="3" t="s">
        <v>62</v>
      </c>
      <c r="AP371" s="3" t="s">
        <v>69</v>
      </c>
      <c r="AQ371" s="3" t="s">
        <v>61</v>
      </c>
      <c r="AR371" s="3" t="s">
        <v>48</v>
      </c>
    </row>
    <row r="372" spans="1:44" ht="30" customHeight="1">
      <c r="A372" s="3" t="s">
        <v>44</v>
      </c>
      <c r="B372" s="3" t="s">
        <v>45</v>
      </c>
      <c r="C372" s="3" t="s">
        <v>46</v>
      </c>
      <c r="D372" s="3" t="s">
        <v>186</v>
      </c>
      <c r="E372" s="3" t="s">
        <v>48</v>
      </c>
      <c r="F372" s="3" t="s">
        <v>271</v>
      </c>
      <c r="G372" s="3" t="s">
        <v>2286</v>
      </c>
      <c r="H372" s="5">
        <f>IF(DATEDIF(L372,S372,"m")&gt;12,DATEDIF(L372,S372,"y"),(DATEDIF(L372,S372,"m")/12))</f>
        <v>0.33333333333333331</v>
      </c>
      <c r="I372" s="7">
        <f>DATEDIF(L372,S372,"M")</f>
        <v>4</v>
      </c>
      <c r="J372" s="7">
        <f>DATEDIF(L372,S372,"D")</f>
        <v>150</v>
      </c>
      <c r="K372" s="3" t="s">
        <v>64</v>
      </c>
      <c r="L372" s="8">
        <v>44811</v>
      </c>
      <c r="M372" s="3" t="s">
        <v>45</v>
      </c>
      <c r="N372" s="3" t="s">
        <v>187</v>
      </c>
      <c r="O372" s="3" t="s">
        <v>52</v>
      </c>
      <c r="P372" s="3" t="s">
        <v>1189</v>
      </c>
      <c r="Q372" s="7">
        <v>0</v>
      </c>
      <c r="R372" s="8">
        <v>44962</v>
      </c>
      <c r="S372" s="8">
        <v>44961</v>
      </c>
      <c r="T372" s="3" t="s">
        <v>54</v>
      </c>
      <c r="U372" s="3" t="s">
        <v>55</v>
      </c>
      <c r="V372" s="9"/>
      <c r="W372" s="10">
        <v>44970</v>
      </c>
      <c r="X372" s="7">
        <v>8</v>
      </c>
      <c r="Y372" s="7">
        <v>1</v>
      </c>
      <c r="Z372" s="7">
        <v>2</v>
      </c>
      <c r="AA372" s="7">
        <f>INT((S372-DATE(YEAR(S372-WEEKDAY(S372-0)+4),1,4)+WEEKDAY(DATE(YEAR(S372-WEEKDAY(S372-0)+4),1,4))+6)/7)</f>
        <v>5</v>
      </c>
      <c r="AB372" s="3" t="s">
        <v>2287</v>
      </c>
      <c r="AC372" s="7">
        <v>105</v>
      </c>
      <c r="AD372" s="7">
        <v>0</v>
      </c>
      <c r="AE372" s="7">
        <v>0</v>
      </c>
      <c r="AF372" s="3" t="s">
        <v>48</v>
      </c>
      <c r="AG372" s="7">
        <v>2023</v>
      </c>
      <c r="AH372" s="3" t="s">
        <v>276</v>
      </c>
      <c r="AI372" s="3" t="s">
        <v>191</v>
      </c>
      <c r="AJ372" s="3" t="s">
        <v>186</v>
      </c>
      <c r="AK372" s="3" t="s">
        <v>505</v>
      </c>
      <c r="AL372" s="3" t="s">
        <v>59</v>
      </c>
      <c r="AM372" s="3" t="s">
        <v>60</v>
      </c>
      <c r="AN372" s="3" t="s">
        <v>61</v>
      </c>
      <c r="AO372" s="3" t="s">
        <v>62</v>
      </c>
      <c r="AP372" s="3" t="s">
        <v>69</v>
      </c>
      <c r="AQ372" s="3" t="s">
        <v>61</v>
      </c>
      <c r="AR372" s="3" t="s">
        <v>48</v>
      </c>
    </row>
    <row r="373" spans="1:44" ht="30" customHeight="1">
      <c r="A373" s="3" t="s">
        <v>44</v>
      </c>
      <c r="B373" s="3" t="s">
        <v>45</v>
      </c>
      <c r="C373" s="3" t="s">
        <v>46</v>
      </c>
      <c r="D373" s="3" t="s">
        <v>100</v>
      </c>
      <c r="E373" s="3" t="s">
        <v>48</v>
      </c>
      <c r="F373" s="3" t="s">
        <v>101</v>
      </c>
      <c r="G373" s="3" t="s">
        <v>2368</v>
      </c>
      <c r="H373" s="5">
        <f>IF(DATEDIF(L373,S373,"m")&gt;12,DATEDIF(L373,S373,"y"),(DATEDIF(L373,S373,"m")/12))</f>
        <v>0.25</v>
      </c>
      <c r="I373" s="7">
        <f>DATEDIF(L373,S373,"M")</f>
        <v>3</v>
      </c>
      <c r="J373" s="7">
        <f>DATEDIF(L373,S373,"D")</f>
        <v>105</v>
      </c>
      <c r="K373" s="3" t="s">
        <v>51</v>
      </c>
      <c r="L373" s="8">
        <v>44854</v>
      </c>
      <c r="M373" s="3" t="s">
        <v>45</v>
      </c>
      <c r="N373" s="3" t="s">
        <v>65</v>
      </c>
      <c r="O373" s="3" t="s">
        <v>52</v>
      </c>
      <c r="P373" s="3" t="s">
        <v>91</v>
      </c>
      <c r="Q373" s="7">
        <v>0</v>
      </c>
      <c r="R373" s="8">
        <v>44962</v>
      </c>
      <c r="S373" s="8">
        <v>44959</v>
      </c>
      <c r="T373" s="3" t="s">
        <v>54</v>
      </c>
      <c r="U373" s="3" t="s">
        <v>55</v>
      </c>
      <c r="V373" s="9"/>
      <c r="W373" s="10">
        <v>44970</v>
      </c>
      <c r="X373" s="7">
        <v>8</v>
      </c>
      <c r="Y373" s="7">
        <v>3</v>
      </c>
      <c r="Z373" s="7">
        <v>2</v>
      </c>
      <c r="AA373" s="7">
        <f>INT((S373-DATE(YEAR(S373-WEEKDAY(S373-0)+4),1,4)+WEEKDAY(DATE(YEAR(S373-WEEKDAY(S373-0)+4),1,4))+6)/7)</f>
        <v>5</v>
      </c>
      <c r="AB373" s="3" t="s">
        <v>2369</v>
      </c>
      <c r="AC373" s="7">
        <v>17</v>
      </c>
      <c r="AD373" s="7">
        <v>0</v>
      </c>
      <c r="AE373" s="7">
        <v>0</v>
      </c>
      <c r="AF373" s="3" t="s">
        <v>48</v>
      </c>
      <c r="AG373" s="7">
        <v>2023</v>
      </c>
      <c r="AH373" s="3" t="s">
        <v>105</v>
      </c>
      <c r="AI373" s="3" t="s">
        <v>106</v>
      </c>
      <c r="AJ373" s="3" t="s">
        <v>252</v>
      </c>
      <c r="AK373" s="3" t="s">
        <v>590</v>
      </c>
      <c r="AL373" s="3" t="s">
        <v>59</v>
      </c>
      <c r="AM373" s="3" t="s">
        <v>99</v>
      </c>
      <c r="AN373" s="3" t="s">
        <v>61</v>
      </c>
      <c r="AO373" s="3" t="s">
        <v>62</v>
      </c>
      <c r="AP373" s="3" t="s">
        <v>69</v>
      </c>
      <c r="AQ373" s="3" t="s">
        <v>61</v>
      </c>
      <c r="AR373" s="3" t="s">
        <v>48</v>
      </c>
    </row>
    <row r="374" spans="1:44" ht="30" customHeight="1">
      <c r="A374" s="3" t="s">
        <v>44</v>
      </c>
      <c r="B374" s="3" t="s">
        <v>45</v>
      </c>
      <c r="C374" s="3" t="s">
        <v>46</v>
      </c>
      <c r="D374" s="3" t="s">
        <v>186</v>
      </c>
      <c r="E374" s="3" t="s">
        <v>48</v>
      </c>
      <c r="F374" s="3" t="s">
        <v>271</v>
      </c>
      <c r="G374" s="3" t="s">
        <v>2643</v>
      </c>
      <c r="H374" s="4">
        <f>IF(DATEDIF(L374,S374,"m")&gt;12,DATEDIF(L374,S374,"y"),(DATEDIF(L374,S374,"m")/12))</f>
        <v>1</v>
      </c>
      <c r="I374" s="7">
        <f>DATEDIF(L374,S374,"M")</f>
        <v>15</v>
      </c>
      <c r="J374" s="7">
        <f>DATEDIF(L374,S374,"D")</f>
        <v>478</v>
      </c>
      <c r="K374" s="3" t="s">
        <v>64</v>
      </c>
      <c r="L374" s="8">
        <v>44483</v>
      </c>
      <c r="M374" s="3" t="s">
        <v>45</v>
      </c>
      <c r="N374" s="3" t="s">
        <v>187</v>
      </c>
      <c r="O374" s="3" t="s">
        <v>52</v>
      </c>
      <c r="P374" s="3" t="s">
        <v>160</v>
      </c>
      <c r="Q374" s="7">
        <v>0</v>
      </c>
      <c r="R374" s="8">
        <v>44962</v>
      </c>
      <c r="S374" s="8">
        <v>44961</v>
      </c>
      <c r="T374" s="3" t="s">
        <v>54</v>
      </c>
      <c r="U374" s="3" t="s">
        <v>55</v>
      </c>
      <c r="V374" s="9"/>
      <c r="W374" s="10">
        <v>44970</v>
      </c>
      <c r="X374" s="7">
        <v>8</v>
      </c>
      <c r="Y374" s="7">
        <v>1</v>
      </c>
      <c r="Z374" s="7">
        <v>2</v>
      </c>
      <c r="AA374" s="7">
        <f>INT((S374-DATE(YEAR(S374-WEEKDAY(S374-0)+4),1,4)+WEEKDAY(DATE(YEAR(S374-WEEKDAY(S374-0)+4),1,4))+6)/7)</f>
        <v>5</v>
      </c>
      <c r="AB374" s="3" t="s">
        <v>2644</v>
      </c>
      <c r="AC374" s="7">
        <v>108</v>
      </c>
      <c r="AD374" s="7">
        <v>0</v>
      </c>
      <c r="AE374" s="7">
        <v>0</v>
      </c>
      <c r="AF374" s="3" t="s">
        <v>48</v>
      </c>
      <c r="AG374" s="7">
        <v>2023</v>
      </c>
      <c r="AH374" s="3" t="s">
        <v>276</v>
      </c>
      <c r="AI374" s="3" t="s">
        <v>191</v>
      </c>
      <c r="AJ374" s="3" t="s">
        <v>186</v>
      </c>
      <c r="AK374" s="3" t="s">
        <v>260</v>
      </c>
      <c r="AL374" s="3" t="s">
        <v>59</v>
      </c>
      <c r="AM374" s="3" t="s">
        <v>60</v>
      </c>
      <c r="AN374" s="3" t="s">
        <v>61</v>
      </c>
      <c r="AO374" s="3" t="s">
        <v>62</v>
      </c>
      <c r="AP374" s="3" t="s">
        <v>69</v>
      </c>
      <c r="AQ374" s="3" t="s">
        <v>61</v>
      </c>
      <c r="AR374" s="3" t="s">
        <v>48</v>
      </c>
    </row>
    <row r="375" spans="1:44" ht="30" customHeight="1">
      <c r="A375" s="3" t="s">
        <v>44</v>
      </c>
      <c r="B375" s="3" t="s">
        <v>45</v>
      </c>
      <c r="C375" s="3" t="s">
        <v>46</v>
      </c>
      <c r="D375" s="3" t="s">
        <v>186</v>
      </c>
      <c r="E375" s="3" t="s">
        <v>48</v>
      </c>
      <c r="F375" s="3" t="s">
        <v>271</v>
      </c>
      <c r="G375" s="3" t="s">
        <v>2643</v>
      </c>
      <c r="H375" s="4">
        <f>IF(DATEDIF(L375,S375,"m")&gt;12,DATEDIF(L375,S375,"y"),(DATEDIF(L375,S375,"m")/12))</f>
        <v>1</v>
      </c>
      <c r="I375" s="7">
        <f>DATEDIF(L375,S375,"M")</f>
        <v>16</v>
      </c>
      <c r="J375" s="7">
        <f>DATEDIF(L375,S375,"D")</f>
        <v>505</v>
      </c>
      <c r="K375" s="3" t="s">
        <v>64</v>
      </c>
      <c r="L375" s="8">
        <v>44483</v>
      </c>
      <c r="M375" s="3" t="s">
        <v>45</v>
      </c>
      <c r="N375" s="3" t="s">
        <v>187</v>
      </c>
      <c r="O375" s="3" t="s">
        <v>52</v>
      </c>
      <c r="P375" s="3" t="s">
        <v>160</v>
      </c>
      <c r="Q375" s="7">
        <v>0</v>
      </c>
      <c r="R375" s="8">
        <v>44991</v>
      </c>
      <c r="S375" s="8">
        <v>44988</v>
      </c>
      <c r="T375" s="3" t="s">
        <v>54</v>
      </c>
      <c r="U375" s="3" t="s">
        <v>55</v>
      </c>
      <c r="V375" s="9"/>
      <c r="W375" s="10">
        <v>44970</v>
      </c>
      <c r="X375" s="7">
        <v>7</v>
      </c>
      <c r="Y375" s="7">
        <v>3</v>
      </c>
      <c r="Z375" s="7">
        <v>3</v>
      </c>
      <c r="AA375" s="7">
        <f>INT((S375-DATE(YEAR(S375-WEEKDAY(S375-0)+4),1,4)+WEEKDAY(DATE(YEAR(S375-WEEKDAY(S375-0)+4),1,4))+6)/7)</f>
        <v>9</v>
      </c>
      <c r="AB375" s="3" t="s">
        <v>2644</v>
      </c>
      <c r="AC375" s="7">
        <v>108</v>
      </c>
      <c r="AD375" s="7">
        <v>0</v>
      </c>
      <c r="AE375" s="7">
        <v>0</v>
      </c>
      <c r="AF375" s="3" t="s">
        <v>48</v>
      </c>
      <c r="AG375" s="7">
        <v>2023</v>
      </c>
      <c r="AH375" s="3" t="s">
        <v>276</v>
      </c>
      <c r="AI375" s="3" t="s">
        <v>191</v>
      </c>
      <c r="AJ375" s="3" t="s">
        <v>186</v>
      </c>
      <c r="AK375" s="3" t="s">
        <v>260</v>
      </c>
      <c r="AL375" s="3" t="s">
        <v>59</v>
      </c>
      <c r="AM375" s="3" t="s">
        <v>60</v>
      </c>
      <c r="AN375" s="3" t="s">
        <v>61</v>
      </c>
      <c r="AO375" s="3" t="s">
        <v>62</v>
      </c>
      <c r="AP375" s="3" t="s">
        <v>69</v>
      </c>
      <c r="AQ375" s="3" t="s">
        <v>61</v>
      </c>
      <c r="AR375" s="3" t="s">
        <v>48</v>
      </c>
    </row>
    <row r="376" spans="1:44" ht="30" customHeight="1">
      <c r="A376" s="3" t="s">
        <v>44</v>
      </c>
      <c r="B376" s="3" t="s">
        <v>45</v>
      </c>
      <c r="C376" s="3" t="s">
        <v>46</v>
      </c>
      <c r="D376" s="3" t="s">
        <v>108</v>
      </c>
      <c r="E376" s="3" t="s">
        <v>48</v>
      </c>
      <c r="F376" s="3" t="s">
        <v>108</v>
      </c>
      <c r="G376" s="3" t="s">
        <v>266</v>
      </c>
      <c r="H376" s="4">
        <f>IF(DATEDIF(L376,S376,"m")&gt;12,DATEDIF(L376,S376,"y"),(DATEDIF(L376,S376,"m")/12))</f>
        <v>10</v>
      </c>
      <c r="I376" s="7">
        <f>DATEDIF(L376,S376,"M")</f>
        <v>127</v>
      </c>
      <c r="J376" s="7">
        <f>DATEDIF(L376,S376,"D")</f>
        <v>3871</v>
      </c>
      <c r="K376" s="3" t="s">
        <v>51</v>
      </c>
      <c r="L376" s="8">
        <v>41104</v>
      </c>
      <c r="M376" s="3" t="s">
        <v>45</v>
      </c>
      <c r="N376" s="3" t="s">
        <v>73</v>
      </c>
      <c r="O376" s="3" t="s">
        <v>52</v>
      </c>
      <c r="P376" s="3" t="s">
        <v>267</v>
      </c>
      <c r="Q376" s="7">
        <v>0</v>
      </c>
      <c r="R376" s="8">
        <v>44978</v>
      </c>
      <c r="S376" s="8">
        <v>44975</v>
      </c>
      <c r="T376" s="3" t="s">
        <v>54</v>
      </c>
      <c r="U376" s="3" t="s">
        <v>55</v>
      </c>
      <c r="V376" s="9"/>
      <c r="W376" s="10">
        <v>44984</v>
      </c>
      <c r="X376" s="7">
        <v>6</v>
      </c>
      <c r="Y376" s="7">
        <v>3</v>
      </c>
      <c r="Z376" s="7">
        <v>2</v>
      </c>
      <c r="AA376" s="7">
        <f>INT((S376-DATE(YEAR(S376-WEEKDAY(S376-0)+4),1,4)+WEEKDAY(DATE(YEAR(S376-WEEKDAY(S376-0)+4),1,4))+6)/7)</f>
        <v>7</v>
      </c>
      <c r="AB376" s="3" t="s">
        <v>268</v>
      </c>
      <c r="AC376" s="7">
        <v>285</v>
      </c>
      <c r="AD376" s="7">
        <v>0</v>
      </c>
      <c r="AE376" s="7">
        <v>0</v>
      </c>
      <c r="AF376" s="3" t="s">
        <v>48</v>
      </c>
      <c r="AG376" s="7">
        <v>2023</v>
      </c>
      <c r="AH376" s="3" t="s">
        <v>112</v>
      </c>
      <c r="AI376" s="3" t="s">
        <v>113</v>
      </c>
      <c r="AJ376" s="3" t="s">
        <v>48</v>
      </c>
      <c r="AK376" s="12" t="s">
        <v>119</v>
      </c>
      <c r="AL376" s="3" t="s">
        <v>59</v>
      </c>
      <c r="AM376" s="3" t="s">
        <v>115</v>
      </c>
      <c r="AN376" s="3" t="s">
        <v>61</v>
      </c>
      <c r="AO376" s="3" t="s">
        <v>62</v>
      </c>
      <c r="AP376" s="3" t="s">
        <v>69</v>
      </c>
      <c r="AQ376" s="3" t="s">
        <v>61</v>
      </c>
      <c r="AR376" s="3" t="s">
        <v>48</v>
      </c>
    </row>
    <row r="377" spans="1:44" ht="30" customHeight="1">
      <c r="A377" s="3" t="s">
        <v>44</v>
      </c>
      <c r="B377" s="3" t="s">
        <v>45</v>
      </c>
      <c r="C377" s="3" t="s">
        <v>46</v>
      </c>
      <c r="D377" s="3" t="s">
        <v>108</v>
      </c>
      <c r="E377" s="3" t="s">
        <v>48</v>
      </c>
      <c r="F377" s="3" t="s">
        <v>108</v>
      </c>
      <c r="G377" s="3" t="s">
        <v>338</v>
      </c>
      <c r="H377" s="4">
        <f>IF(DATEDIF(L377,S377,"m")&gt;12,DATEDIF(L377,S377,"y"),(DATEDIF(L377,S377,"m")/12))</f>
        <v>11</v>
      </c>
      <c r="I377" s="7">
        <f>DATEDIF(L377,S377,"M")</f>
        <v>137</v>
      </c>
      <c r="J377" s="7">
        <f>DATEDIF(L377,S377,"D")</f>
        <v>4182</v>
      </c>
      <c r="K377" s="3" t="s">
        <v>64</v>
      </c>
      <c r="L377" s="8">
        <v>40792</v>
      </c>
      <c r="M377" s="3" t="s">
        <v>45</v>
      </c>
      <c r="N377" s="3" t="s">
        <v>73</v>
      </c>
      <c r="O377" s="3" t="s">
        <v>52</v>
      </c>
      <c r="P377" s="3" t="s">
        <v>91</v>
      </c>
      <c r="Q377" s="7">
        <v>0</v>
      </c>
      <c r="R377" s="8">
        <v>44977</v>
      </c>
      <c r="S377" s="8">
        <v>44974</v>
      </c>
      <c r="T377" s="3" t="s">
        <v>54</v>
      </c>
      <c r="U377" s="3" t="s">
        <v>55</v>
      </c>
      <c r="V377" s="9"/>
      <c r="W377" s="10">
        <v>44984</v>
      </c>
      <c r="X377" s="7">
        <v>7</v>
      </c>
      <c r="Y377" s="7">
        <v>3</v>
      </c>
      <c r="Z377" s="7">
        <v>2</v>
      </c>
      <c r="AA377" s="7">
        <f>INT((S377-DATE(YEAR(S377-WEEKDAY(S377-0)+4),1,4)+WEEKDAY(DATE(YEAR(S377-WEEKDAY(S377-0)+4),1,4))+6)/7)</f>
        <v>7</v>
      </c>
      <c r="AB377" s="3" t="s">
        <v>339</v>
      </c>
      <c r="AC377" s="7">
        <v>279</v>
      </c>
      <c r="AD377" s="7">
        <v>0</v>
      </c>
      <c r="AE377" s="7">
        <v>0</v>
      </c>
      <c r="AF377" s="3" t="s">
        <v>48</v>
      </c>
      <c r="AG377" s="7">
        <v>2023</v>
      </c>
      <c r="AH377" s="3" t="s">
        <v>112</v>
      </c>
      <c r="AI377" s="3" t="s">
        <v>113</v>
      </c>
      <c r="AJ377" s="3" t="s">
        <v>48</v>
      </c>
      <c r="AK377" s="12" t="s">
        <v>119</v>
      </c>
      <c r="AL377" s="3" t="s">
        <v>59</v>
      </c>
      <c r="AM377" s="3" t="s">
        <v>115</v>
      </c>
      <c r="AN377" s="3" t="s">
        <v>61</v>
      </c>
      <c r="AO377" s="3" t="s">
        <v>62</v>
      </c>
      <c r="AP377" s="3" t="s">
        <v>69</v>
      </c>
      <c r="AQ377" s="3" t="s">
        <v>61</v>
      </c>
      <c r="AR377" s="3" t="s">
        <v>48</v>
      </c>
    </row>
    <row r="378" spans="1:44" ht="30" customHeight="1">
      <c r="A378" s="3" t="s">
        <v>44</v>
      </c>
      <c r="B378" s="3" t="s">
        <v>45</v>
      </c>
      <c r="C378" s="3" t="s">
        <v>46</v>
      </c>
      <c r="D378" s="3" t="s">
        <v>108</v>
      </c>
      <c r="E378" s="3" t="s">
        <v>48</v>
      </c>
      <c r="F378" s="3" t="s">
        <v>108</v>
      </c>
      <c r="G378" s="3" t="s">
        <v>476</v>
      </c>
      <c r="H378" s="4">
        <f>IF(DATEDIF(L378,S378,"m")&gt;12,DATEDIF(L378,S378,"y"),(DATEDIF(L378,S378,"m")/12))</f>
        <v>5</v>
      </c>
      <c r="I378" s="7">
        <f>DATEDIF(L378,S378,"M")</f>
        <v>60</v>
      </c>
      <c r="J378" s="7">
        <f>DATEDIF(L378,S378,"D")</f>
        <v>1850</v>
      </c>
      <c r="K378" s="3" t="s">
        <v>51</v>
      </c>
      <c r="L378" s="8">
        <v>43129</v>
      </c>
      <c r="M378" s="3" t="s">
        <v>45</v>
      </c>
      <c r="N378" s="3" t="s">
        <v>73</v>
      </c>
      <c r="O378" s="3" t="s">
        <v>52</v>
      </c>
      <c r="P378" s="3" t="s">
        <v>322</v>
      </c>
      <c r="Q378" s="7">
        <v>0</v>
      </c>
      <c r="R378" s="8">
        <v>44979</v>
      </c>
      <c r="S378" s="8">
        <v>44979</v>
      </c>
      <c r="T378" s="3" t="s">
        <v>54</v>
      </c>
      <c r="U378" s="3" t="s">
        <v>55</v>
      </c>
      <c r="V378" s="9"/>
      <c r="W378" s="10">
        <v>44984</v>
      </c>
      <c r="X378" s="7">
        <v>5</v>
      </c>
      <c r="Y378" s="7">
        <v>0</v>
      </c>
      <c r="Z378" s="7">
        <v>2</v>
      </c>
      <c r="AA378" s="7">
        <f>INT((S378-DATE(YEAR(S378-WEEKDAY(S378-0)+4),1,4)+WEEKDAY(DATE(YEAR(S378-WEEKDAY(S378-0)+4),1,4))+6)/7)</f>
        <v>8</v>
      </c>
      <c r="AB378" s="3" t="s">
        <v>477</v>
      </c>
      <c r="AC378" s="7">
        <v>290</v>
      </c>
      <c r="AD378" s="7">
        <v>0</v>
      </c>
      <c r="AE378" s="7">
        <v>0</v>
      </c>
      <c r="AF378" s="3" t="s">
        <v>48</v>
      </c>
      <c r="AG378" s="7">
        <v>2023</v>
      </c>
      <c r="AH378" s="3" t="s">
        <v>112</v>
      </c>
      <c r="AI378" s="3" t="s">
        <v>113</v>
      </c>
      <c r="AJ378" s="3" t="s">
        <v>48</v>
      </c>
      <c r="AK378" s="12" t="s">
        <v>119</v>
      </c>
      <c r="AL378" s="3" t="s">
        <v>59</v>
      </c>
      <c r="AM378" s="3" t="s">
        <v>115</v>
      </c>
      <c r="AN378" s="3" t="s">
        <v>61</v>
      </c>
      <c r="AO378" s="3" t="s">
        <v>62</v>
      </c>
      <c r="AP378" s="3" t="s">
        <v>69</v>
      </c>
      <c r="AQ378" s="3" t="s">
        <v>61</v>
      </c>
      <c r="AR378" s="3" t="s">
        <v>48</v>
      </c>
    </row>
    <row r="379" spans="1:44" ht="30" customHeight="1">
      <c r="A379" s="3" t="s">
        <v>44</v>
      </c>
      <c r="B379" s="3" t="s">
        <v>45</v>
      </c>
      <c r="C379" s="3" t="s">
        <v>46</v>
      </c>
      <c r="D379" s="3" t="s">
        <v>108</v>
      </c>
      <c r="E379" s="3" t="s">
        <v>48</v>
      </c>
      <c r="F379" s="3" t="s">
        <v>108</v>
      </c>
      <c r="G379" s="3" t="s">
        <v>573</v>
      </c>
      <c r="H379" s="4">
        <f>IF(DATEDIF(L379,S379,"m")&gt;12,DATEDIF(L379,S379,"y"),(DATEDIF(L379,S379,"m")/12))</f>
        <v>8</v>
      </c>
      <c r="I379" s="7">
        <f>DATEDIF(L379,S379,"M")</f>
        <v>98</v>
      </c>
      <c r="J379" s="7">
        <f>DATEDIF(L379,S379,"D")</f>
        <v>3002</v>
      </c>
      <c r="K379" s="3" t="s">
        <v>51</v>
      </c>
      <c r="L379" s="8">
        <v>41974</v>
      </c>
      <c r="M379" s="3" t="s">
        <v>45</v>
      </c>
      <c r="N379" s="3" t="s">
        <v>73</v>
      </c>
      <c r="O379" s="3" t="s">
        <v>52</v>
      </c>
      <c r="P379" s="3" t="s">
        <v>174</v>
      </c>
      <c r="Q379" s="7">
        <v>0</v>
      </c>
      <c r="R379" s="8">
        <v>44977</v>
      </c>
      <c r="S379" s="8">
        <v>44976</v>
      </c>
      <c r="T379" s="3" t="s">
        <v>54</v>
      </c>
      <c r="U379" s="3" t="s">
        <v>55</v>
      </c>
      <c r="V379" s="9"/>
      <c r="W379" s="10">
        <v>44984</v>
      </c>
      <c r="X379" s="7">
        <v>7</v>
      </c>
      <c r="Y379" s="7">
        <v>1</v>
      </c>
      <c r="Z379" s="7">
        <v>2</v>
      </c>
      <c r="AA379" s="7">
        <f>INT((S379-DATE(YEAR(S379-WEEKDAY(S379-0)+4),1,4)+WEEKDAY(DATE(YEAR(S379-WEEKDAY(S379-0)+4),1,4))+6)/7)</f>
        <v>8</v>
      </c>
      <c r="AB379" s="3" t="s">
        <v>574</v>
      </c>
      <c r="AC379" s="7">
        <v>278</v>
      </c>
      <c r="AD379" s="7">
        <v>0</v>
      </c>
      <c r="AE379" s="7">
        <v>0</v>
      </c>
      <c r="AF379" s="3" t="s">
        <v>48</v>
      </c>
      <c r="AG379" s="7">
        <v>2023</v>
      </c>
      <c r="AH379" s="3" t="s">
        <v>112</v>
      </c>
      <c r="AI379" s="3" t="s">
        <v>113</v>
      </c>
      <c r="AJ379" s="3" t="s">
        <v>48</v>
      </c>
      <c r="AK379" s="12" t="s">
        <v>119</v>
      </c>
      <c r="AL379" s="3" t="s">
        <v>59</v>
      </c>
      <c r="AM379" s="3" t="s">
        <v>115</v>
      </c>
      <c r="AN379" s="3" t="s">
        <v>61</v>
      </c>
      <c r="AO379" s="3" t="s">
        <v>62</v>
      </c>
      <c r="AP379" s="3" t="s">
        <v>69</v>
      </c>
      <c r="AQ379" s="3" t="s">
        <v>61</v>
      </c>
      <c r="AR379" s="3" t="s">
        <v>48</v>
      </c>
    </row>
    <row r="380" spans="1:44" ht="30" customHeight="1">
      <c r="A380" s="3" t="s">
        <v>44</v>
      </c>
      <c r="B380" s="3" t="s">
        <v>45</v>
      </c>
      <c r="C380" s="3" t="s">
        <v>46</v>
      </c>
      <c r="D380" s="3" t="s">
        <v>108</v>
      </c>
      <c r="E380" s="3" t="s">
        <v>48</v>
      </c>
      <c r="F380" s="3" t="s">
        <v>108</v>
      </c>
      <c r="G380" s="3" t="s">
        <v>690</v>
      </c>
      <c r="H380" s="4">
        <f>IF(DATEDIF(L380,S380,"m")&gt;12,DATEDIF(L380,S380,"y"),(DATEDIF(L380,S380,"m")/12))</f>
        <v>4</v>
      </c>
      <c r="I380" s="7">
        <f>DATEDIF(L380,S380,"M")</f>
        <v>49</v>
      </c>
      <c r="J380" s="7">
        <f>DATEDIF(L380,S380,"D")</f>
        <v>1507</v>
      </c>
      <c r="K380" s="3" t="s">
        <v>64</v>
      </c>
      <c r="L380" s="8">
        <v>43470</v>
      </c>
      <c r="M380" s="3" t="s">
        <v>45</v>
      </c>
      <c r="N380" s="3" t="s">
        <v>73</v>
      </c>
      <c r="O380" s="3" t="s">
        <v>52</v>
      </c>
      <c r="P380" s="3" t="s">
        <v>284</v>
      </c>
      <c r="Q380" s="7">
        <v>0</v>
      </c>
      <c r="R380" s="8">
        <v>44979</v>
      </c>
      <c r="S380" s="8">
        <v>44977</v>
      </c>
      <c r="T380" s="3" t="s">
        <v>54</v>
      </c>
      <c r="U380" s="3" t="s">
        <v>55</v>
      </c>
      <c r="V380" s="9"/>
      <c r="W380" s="10">
        <v>44984</v>
      </c>
      <c r="X380" s="7">
        <v>5</v>
      </c>
      <c r="Y380" s="7">
        <v>2</v>
      </c>
      <c r="Z380" s="7">
        <v>2</v>
      </c>
      <c r="AA380" s="7">
        <f>INT((S380-DATE(YEAR(S380-WEEKDAY(S380-0)+4),1,4)+WEEKDAY(DATE(YEAR(S380-WEEKDAY(S380-0)+4),1,4))+6)/7)</f>
        <v>8</v>
      </c>
      <c r="AB380" s="3" t="s">
        <v>691</v>
      </c>
      <c r="AC380" s="7">
        <v>295</v>
      </c>
      <c r="AD380" s="7">
        <v>0</v>
      </c>
      <c r="AE380" s="7">
        <v>0</v>
      </c>
      <c r="AF380" s="3" t="s">
        <v>48</v>
      </c>
      <c r="AG380" s="7">
        <v>2023</v>
      </c>
      <c r="AH380" s="3" t="s">
        <v>112</v>
      </c>
      <c r="AI380" s="3" t="s">
        <v>113</v>
      </c>
      <c r="AJ380" s="3" t="s">
        <v>48</v>
      </c>
      <c r="AK380" s="12" t="s">
        <v>119</v>
      </c>
      <c r="AL380" s="3" t="s">
        <v>59</v>
      </c>
      <c r="AM380" s="3" t="s">
        <v>115</v>
      </c>
      <c r="AN380" s="3" t="s">
        <v>61</v>
      </c>
      <c r="AO380" s="3" t="s">
        <v>62</v>
      </c>
      <c r="AP380" s="3" t="s">
        <v>69</v>
      </c>
      <c r="AQ380" s="3" t="s">
        <v>61</v>
      </c>
      <c r="AR380" s="3" t="s">
        <v>48</v>
      </c>
    </row>
    <row r="381" spans="1:44" ht="30" customHeight="1">
      <c r="A381" s="3" t="s">
        <v>44</v>
      </c>
      <c r="B381" s="3" t="s">
        <v>45</v>
      </c>
      <c r="C381" s="3" t="s">
        <v>80</v>
      </c>
      <c r="D381" s="3" t="s">
        <v>93</v>
      </c>
      <c r="E381" s="3" t="s">
        <v>48</v>
      </c>
      <c r="F381" s="3" t="s">
        <v>94</v>
      </c>
      <c r="G381" s="3" t="s">
        <v>391</v>
      </c>
      <c r="H381" s="4">
        <f>IF(DATEDIF(L381,S381,"m")&gt;12,DATEDIF(L381,S381,"y"),(DATEDIF(L381,S381,"m")/12))</f>
        <v>1</v>
      </c>
      <c r="I381" s="7">
        <f>DATEDIF(L381,S381,"M")</f>
        <v>18</v>
      </c>
      <c r="J381" s="7">
        <f>DATEDIF(L381,S381,"D")</f>
        <v>555</v>
      </c>
      <c r="K381" s="3" t="s">
        <v>64</v>
      </c>
      <c r="L381" s="8">
        <v>44409</v>
      </c>
      <c r="M381" s="3" t="s">
        <v>45</v>
      </c>
      <c r="N381" s="3" t="s">
        <v>101</v>
      </c>
      <c r="O381" s="3" t="s">
        <v>52</v>
      </c>
      <c r="P381" s="3" t="s">
        <v>392</v>
      </c>
      <c r="Q381" s="7">
        <v>0</v>
      </c>
      <c r="R381" s="8">
        <v>44966</v>
      </c>
      <c r="S381" s="8">
        <v>44964</v>
      </c>
      <c r="T381" s="3" t="s">
        <v>54</v>
      </c>
      <c r="U381" s="3" t="s">
        <v>55</v>
      </c>
      <c r="V381" s="9"/>
      <c r="W381" s="10">
        <v>44971</v>
      </c>
      <c r="X381" s="7">
        <v>5</v>
      </c>
      <c r="Y381" s="7">
        <v>2</v>
      </c>
      <c r="Z381" s="7">
        <v>2</v>
      </c>
      <c r="AA381" s="7">
        <f>INT((S381-DATE(YEAR(S381-WEEKDAY(S381-0)+4),1,4)+WEEKDAY(DATE(YEAR(S381-WEEKDAY(S381-0)+4),1,4))+6)/7)</f>
        <v>6</v>
      </c>
      <c r="AB381" s="3" t="s">
        <v>393</v>
      </c>
      <c r="AC381" s="7">
        <v>631</v>
      </c>
      <c r="AD381" s="7">
        <v>0</v>
      </c>
      <c r="AE381" s="7">
        <v>0</v>
      </c>
      <c r="AF381" s="3" t="s">
        <v>48</v>
      </c>
      <c r="AG381" s="7">
        <v>2023</v>
      </c>
      <c r="AH381" s="3" t="s">
        <v>97</v>
      </c>
      <c r="AI381" s="3" t="s">
        <v>48</v>
      </c>
      <c r="AJ381" s="3" t="s">
        <v>48</v>
      </c>
      <c r="AK381" s="3" t="s">
        <v>282</v>
      </c>
      <c r="AL381" s="3" t="s">
        <v>59</v>
      </c>
      <c r="AM381" s="3" t="s">
        <v>99</v>
      </c>
      <c r="AN381" s="3" t="s">
        <v>61</v>
      </c>
      <c r="AO381" s="3" t="s">
        <v>48</v>
      </c>
      <c r="AP381" s="3" t="s">
        <v>69</v>
      </c>
      <c r="AQ381" s="3" t="s">
        <v>61</v>
      </c>
      <c r="AR381" s="3" t="s">
        <v>48</v>
      </c>
    </row>
    <row r="382" spans="1:44" ht="30" customHeight="1">
      <c r="A382" s="3" t="s">
        <v>44</v>
      </c>
      <c r="B382" s="3" t="s">
        <v>45</v>
      </c>
      <c r="C382" s="3" t="s">
        <v>46</v>
      </c>
      <c r="D382" s="3" t="s">
        <v>108</v>
      </c>
      <c r="E382" s="3" t="s">
        <v>48</v>
      </c>
      <c r="F382" s="3" t="s">
        <v>108</v>
      </c>
      <c r="G382" s="3" t="s">
        <v>1456</v>
      </c>
      <c r="H382" s="4">
        <f>IF(DATEDIF(L382,S382,"m")&gt;12,DATEDIF(L382,S382,"y"),(DATEDIF(L382,S382,"m")/12))</f>
        <v>4</v>
      </c>
      <c r="I382" s="7">
        <f>DATEDIF(L382,S382,"M")</f>
        <v>56</v>
      </c>
      <c r="J382" s="7">
        <f>DATEDIF(L382,S382,"D")</f>
        <v>1709</v>
      </c>
      <c r="K382" s="3" t="s">
        <v>64</v>
      </c>
      <c r="L382" s="8">
        <v>43267</v>
      </c>
      <c r="M382" s="3" t="s">
        <v>45</v>
      </c>
      <c r="N382" s="3" t="s">
        <v>73</v>
      </c>
      <c r="O382" s="3" t="s">
        <v>52</v>
      </c>
      <c r="P382" s="3" t="s">
        <v>712</v>
      </c>
      <c r="Q382" s="7">
        <v>0</v>
      </c>
      <c r="R382" s="8">
        <v>44980</v>
      </c>
      <c r="S382" s="8">
        <v>44976</v>
      </c>
      <c r="T382" s="3" t="s">
        <v>54</v>
      </c>
      <c r="U382" s="3" t="s">
        <v>55</v>
      </c>
      <c r="V382" s="9"/>
      <c r="W382" s="10">
        <v>44984</v>
      </c>
      <c r="X382" s="7">
        <v>4</v>
      </c>
      <c r="Y382" s="7">
        <v>4</v>
      </c>
      <c r="Z382" s="7">
        <v>2</v>
      </c>
      <c r="AA382" s="7">
        <f>INT((S382-DATE(YEAR(S382-WEEKDAY(S382-0)+4),1,4)+WEEKDAY(DATE(YEAR(S382-WEEKDAY(S382-0)+4),1,4))+6)/7)</f>
        <v>8</v>
      </c>
      <c r="AB382" s="3" t="s">
        <v>1457</v>
      </c>
      <c r="AC382" s="7">
        <v>303</v>
      </c>
      <c r="AD382" s="7">
        <v>0</v>
      </c>
      <c r="AE382" s="7">
        <v>0</v>
      </c>
      <c r="AF382" s="3" t="s">
        <v>48</v>
      </c>
      <c r="AG382" s="7">
        <v>2023</v>
      </c>
      <c r="AH382" s="3" t="s">
        <v>112</v>
      </c>
      <c r="AI382" s="3" t="s">
        <v>113</v>
      </c>
      <c r="AJ382" s="3" t="s">
        <v>48</v>
      </c>
      <c r="AK382" s="12" t="s">
        <v>119</v>
      </c>
      <c r="AL382" s="3" t="s">
        <v>59</v>
      </c>
      <c r="AM382" s="3" t="s">
        <v>115</v>
      </c>
      <c r="AN382" s="3" t="s">
        <v>61</v>
      </c>
      <c r="AO382" s="3" t="s">
        <v>62</v>
      </c>
      <c r="AP382" s="3" t="s">
        <v>69</v>
      </c>
      <c r="AQ382" s="3" t="s">
        <v>61</v>
      </c>
      <c r="AR382" s="3" t="s">
        <v>48</v>
      </c>
    </row>
    <row r="383" spans="1:44" ht="30" customHeight="1">
      <c r="A383" s="3" t="s">
        <v>44</v>
      </c>
      <c r="B383" s="3" t="s">
        <v>45</v>
      </c>
      <c r="C383" s="3" t="s">
        <v>46</v>
      </c>
      <c r="D383" s="3" t="s">
        <v>70</v>
      </c>
      <c r="E383" s="3" t="s">
        <v>48</v>
      </c>
      <c r="F383" s="3" t="s">
        <v>71</v>
      </c>
      <c r="G383" s="3" t="s">
        <v>494</v>
      </c>
      <c r="H383" s="4">
        <f>IF(DATEDIF(L383,S383,"m")&gt;12,DATEDIF(L383,S383,"y"),(DATEDIF(L383,S383,"m")/12))</f>
        <v>6</v>
      </c>
      <c r="I383" s="7">
        <f>DATEDIF(L383,S383,"M")</f>
        <v>73</v>
      </c>
      <c r="J383" s="7">
        <f>DATEDIF(L383,S383,"D")</f>
        <v>2226</v>
      </c>
      <c r="K383" s="3" t="s">
        <v>51</v>
      </c>
      <c r="L383" s="8">
        <v>42742</v>
      </c>
      <c r="M383" s="3" t="s">
        <v>45</v>
      </c>
      <c r="N383" s="3" t="s">
        <v>203</v>
      </c>
      <c r="O383" s="3" t="s">
        <v>52</v>
      </c>
      <c r="P383" s="3" t="s">
        <v>91</v>
      </c>
      <c r="Q383" s="7">
        <v>1</v>
      </c>
      <c r="R383" s="8">
        <v>44969</v>
      </c>
      <c r="S383" s="8">
        <v>44968</v>
      </c>
      <c r="T383" s="3" t="s">
        <v>54</v>
      </c>
      <c r="U383" s="3" t="s">
        <v>55</v>
      </c>
      <c r="V383" s="9"/>
      <c r="W383" s="10">
        <v>44971</v>
      </c>
      <c r="X383" s="7">
        <v>2</v>
      </c>
      <c r="Y383" s="7">
        <v>1</v>
      </c>
      <c r="Z383" s="7">
        <v>2</v>
      </c>
      <c r="AA383" s="7">
        <f>INT((S383-DATE(YEAR(S383-WEEKDAY(S383-0)+4),1,4)+WEEKDAY(DATE(YEAR(S383-WEEKDAY(S383-0)+4),1,4))+6)/7)</f>
        <v>6</v>
      </c>
      <c r="AB383" s="3" t="s">
        <v>495</v>
      </c>
      <c r="AC383" s="7">
        <v>665</v>
      </c>
      <c r="AD383" s="7">
        <v>0</v>
      </c>
      <c r="AE383" s="7">
        <v>1</v>
      </c>
      <c r="AF383" s="3" t="s">
        <v>48</v>
      </c>
      <c r="AG383" s="7">
        <v>2023</v>
      </c>
      <c r="AH383" s="3" t="s">
        <v>76</v>
      </c>
      <c r="AI383" s="3" t="s">
        <v>166</v>
      </c>
      <c r="AJ383" s="3" t="s">
        <v>78</v>
      </c>
      <c r="AK383" s="12" t="s">
        <v>327</v>
      </c>
      <c r="AL383" s="3" t="s">
        <v>59</v>
      </c>
      <c r="AM383" s="3" t="s">
        <v>60</v>
      </c>
      <c r="AN383" s="3" t="s">
        <v>61</v>
      </c>
      <c r="AO383" s="3" t="s">
        <v>62</v>
      </c>
      <c r="AP383" s="3" t="s">
        <v>69</v>
      </c>
      <c r="AQ383" s="3" t="s">
        <v>61</v>
      </c>
      <c r="AR383" s="3" t="s">
        <v>48</v>
      </c>
    </row>
    <row r="384" spans="1:44" ht="30" customHeight="1">
      <c r="A384" s="3" t="s">
        <v>44</v>
      </c>
      <c r="B384" s="3" t="s">
        <v>45</v>
      </c>
      <c r="C384" s="3" t="s">
        <v>46</v>
      </c>
      <c r="D384" s="3" t="s">
        <v>108</v>
      </c>
      <c r="E384" s="3" t="s">
        <v>48</v>
      </c>
      <c r="F384" s="3" t="s">
        <v>108</v>
      </c>
      <c r="G384" s="3" t="s">
        <v>1677</v>
      </c>
      <c r="H384" s="4">
        <f>IF(DATEDIF(L384,S384,"m")&gt;12,DATEDIF(L384,S384,"y"),(DATEDIF(L384,S384,"m")/12))</f>
        <v>4</v>
      </c>
      <c r="I384" s="7">
        <f>DATEDIF(L384,S384,"M")</f>
        <v>53</v>
      </c>
      <c r="J384" s="7">
        <f>DATEDIF(L384,S384,"D")</f>
        <v>1621</v>
      </c>
      <c r="K384" s="3" t="s">
        <v>64</v>
      </c>
      <c r="L384" s="8">
        <v>43357</v>
      </c>
      <c r="M384" s="3" t="s">
        <v>45</v>
      </c>
      <c r="N384" s="3" t="s">
        <v>73</v>
      </c>
      <c r="O384" s="3" t="s">
        <v>52</v>
      </c>
      <c r="P384" s="3" t="s">
        <v>398</v>
      </c>
      <c r="Q384" s="7">
        <v>0</v>
      </c>
      <c r="R384" s="8">
        <v>44980</v>
      </c>
      <c r="S384" s="8">
        <v>44978</v>
      </c>
      <c r="T384" s="3" t="s">
        <v>54</v>
      </c>
      <c r="U384" s="3" t="s">
        <v>55</v>
      </c>
      <c r="V384" s="9"/>
      <c r="W384" s="10">
        <v>44984</v>
      </c>
      <c r="X384" s="7">
        <v>4</v>
      </c>
      <c r="Y384" s="7">
        <v>2</v>
      </c>
      <c r="Z384" s="7">
        <v>2</v>
      </c>
      <c r="AA384" s="7">
        <f>INT((S384-DATE(YEAR(S384-WEEKDAY(S384-0)+4),1,4)+WEEKDAY(DATE(YEAR(S384-WEEKDAY(S384-0)+4),1,4))+6)/7)</f>
        <v>8</v>
      </c>
      <c r="AB384" s="3" t="s">
        <v>1678</v>
      </c>
      <c r="AC384" s="7">
        <v>304</v>
      </c>
      <c r="AD384" s="7">
        <v>0</v>
      </c>
      <c r="AE384" s="7">
        <v>0</v>
      </c>
      <c r="AF384" s="3" t="s">
        <v>48</v>
      </c>
      <c r="AG384" s="7">
        <v>2023</v>
      </c>
      <c r="AH384" s="3" t="s">
        <v>112</v>
      </c>
      <c r="AI384" s="3" t="s">
        <v>113</v>
      </c>
      <c r="AJ384" s="3" t="s">
        <v>48</v>
      </c>
      <c r="AK384" s="12" t="s">
        <v>119</v>
      </c>
      <c r="AL384" s="3" t="s">
        <v>59</v>
      </c>
      <c r="AM384" s="3" t="s">
        <v>115</v>
      </c>
      <c r="AN384" s="3" t="s">
        <v>61</v>
      </c>
      <c r="AO384" s="3" t="s">
        <v>62</v>
      </c>
      <c r="AP384" s="3" t="s">
        <v>69</v>
      </c>
      <c r="AQ384" s="3" t="s">
        <v>61</v>
      </c>
      <c r="AR384" s="3" t="s">
        <v>48</v>
      </c>
    </row>
    <row r="385" spans="1:44" ht="30" customHeight="1">
      <c r="A385" s="3" t="s">
        <v>44</v>
      </c>
      <c r="B385" s="3" t="s">
        <v>45</v>
      </c>
      <c r="C385" s="3" t="s">
        <v>46</v>
      </c>
      <c r="D385" s="3" t="s">
        <v>108</v>
      </c>
      <c r="E385" s="3" t="s">
        <v>48</v>
      </c>
      <c r="F385" s="3" t="s">
        <v>108</v>
      </c>
      <c r="G385" s="3" t="s">
        <v>2393</v>
      </c>
      <c r="H385" s="4">
        <f>IF(DATEDIF(L385,S385,"m")&gt;12,DATEDIF(L385,S385,"y"),(DATEDIF(L385,S385,"m")/12))</f>
        <v>5</v>
      </c>
      <c r="I385" s="7">
        <f>DATEDIF(L385,S385,"M")</f>
        <v>68</v>
      </c>
      <c r="J385" s="7">
        <f>DATEDIF(L385,S385,"D")</f>
        <v>2073</v>
      </c>
      <c r="K385" s="3" t="s">
        <v>51</v>
      </c>
      <c r="L385" s="8">
        <v>42903</v>
      </c>
      <c r="M385" s="3" t="s">
        <v>45</v>
      </c>
      <c r="N385" s="3" t="s">
        <v>73</v>
      </c>
      <c r="O385" s="3" t="s">
        <v>52</v>
      </c>
      <c r="P385" s="3" t="s">
        <v>2122</v>
      </c>
      <c r="Q385" s="7">
        <v>0</v>
      </c>
      <c r="R385" s="8">
        <v>44977</v>
      </c>
      <c r="S385" s="8">
        <v>44976</v>
      </c>
      <c r="T385" s="3" t="s">
        <v>54</v>
      </c>
      <c r="U385" s="3" t="s">
        <v>55</v>
      </c>
      <c r="V385" s="9"/>
      <c r="W385" s="10">
        <v>44984</v>
      </c>
      <c r="X385" s="7">
        <v>7</v>
      </c>
      <c r="Y385" s="7">
        <v>1</v>
      </c>
      <c r="Z385" s="7">
        <v>2</v>
      </c>
      <c r="AA385" s="7">
        <f>INT((S385-DATE(YEAR(S385-WEEKDAY(S385-0)+4),1,4)+WEEKDAY(DATE(YEAR(S385-WEEKDAY(S385-0)+4),1,4))+6)/7)</f>
        <v>8</v>
      </c>
      <c r="AB385" s="3" t="s">
        <v>2394</v>
      </c>
      <c r="AC385" s="7">
        <v>274</v>
      </c>
      <c r="AD385" s="7">
        <v>0</v>
      </c>
      <c r="AE385" s="7">
        <v>0</v>
      </c>
      <c r="AF385" s="3" t="s">
        <v>48</v>
      </c>
      <c r="AG385" s="7">
        <v>2023</v>
      </c>
      <c r="AH385" s="3" t="s">
        <v>112</v>
      </c>
      <c r="AI385" s="3" t="s">
        <v>113</v>
      </c>
      <c r="AJ385" s="3" t="s">
        <v>48</v>
      </c>
      <c r="AK385" s="12" t="s">
        <v>119</v>
      </c>
      <c r="AL385" s="3" t="s">
        <v>59</v>
      </c>
      <c r="AM385" s="3" t="s">
        <v>115</v>
      </c>
      <c r="AN385" s="3" t="s">
        <v>61</v>
      </c>
      <c r="AO385" s="3" t="s">
        <v>62</v>
      </c>
      <c r="AP385" s="3" t="s">
        <v>69</v>
      </c>
      <c r="AQ385" s="3" t="s">
        <v>61</v>
      </c>
      <c r="AR385" s="3" t="s">
        <v>48</v>
      </c>
    </row>
    <row r="386" spans="1:44" ht="30" customHeight="1">
      <c r="A386" s="3" t="s">
        <v>44</v>
      </c>
      <c r="B386" s="3" t="s">
        <v>45</v>
      </c>
      <c r="C386" s="3" t="s">
        <v>46</v>
      </c>
      <c r="D386" s="3" t="s">
        <v>108</v>
      </c>
      <c r="E386" s="3" t="s">
        <v>48</v>
      </c>
      <c r="F386" s="3" t="s">
        <v>108</v>
      </c>
      <c r="G386" s="3" t="s">
        <v>173</v>
      </c>
      <c r="H386" s="5">
        <f>IF(DATEDIF(L386,S386,"m")&gt;12,DATEDIF(L386,S386,"y"),(DATEDIF(L386,S386,"m")/12))</f>
        <v>0.41666666666666669</v>
      </c>
      <c r="I386" s="7">
        <f>DATEDIF(L386,S386,"M")</f>
        <v>5</v>
      </c>
      <c r="J386" s="7">
        <f>DATEDIF(L386,S386,"D")</f>
        <v>153</v>
      </c>
      <c r="K386" s="3" t="s">
        <v>64</v>
      </c>
      <c r="L386" s="8">
        <v>44833</v>
      </c>
      <c r="M386" s="3" t="s">
        <v>45</v>
      </c>
      <c r="N386" s="3" t="s">
        <v>73</v>
      </c>
      <c r="O386" s="3" t="s">
        <v>52</v>
      </c>
      <c r="P386" s="3" t="s">
        <v>174</v>
      </c>
      <c r="Q386" s="7">
        <v>0</v>
      </c>
      <c r="R386" s="8">
        <v>44988</v>
      </c>
      <c r="S386" s="8">
        <v>44986</v>
      </c>
      <c r="T386" s="3" t="s">
        <v>54</v>
      </c>
      <c r="U386" s="3" t="s">
        <v>55</v>
      </c>
      <c r="V386" s="9"/>
      <c r="W386" s="10">
        <v>44991</v>
      </c>
      <c r="X386" s="7">
        <v>3</v>
      </c>
      <c r="Y386" s="7">
        <v>2</v>
      </c>
      <c r="Z386" s="7">
        <v>3</v>
      </c>
      <c r="AA386" s="7">
        <f>INT((S386-DATE(YEAR(S386-WEEKDAY(S386-0)+4),1,4)+WEEKDAY(DATE(YEAR(S386-WEEKDAY(S386-0)+4),1,4))+6)/7)</f>
        <v>9</v>
      </c>
      <c r="AB386" s="3" t="s">
        <v>175</v>
      </c>
      <c r="AC386" s="7">
        <v>326</v>
      </c>
      <c r="AD386" s="7">
        <v>0</v>
      </c>
      <c r="AE386" s="7">
        <v>0</v>
      </c>
      <c r="AF386" s="3" t="s">
        <v>48</v>
      </c>
      <c r="AG386" s="7">
        <v>2023</v>
      </c>
      <c r="AH386" s="3" t="s">
        <v>112</v>
      </c>
      <c r="AI386" s="3" t="s">
        <v>113</v>
      </c>
      <c r="AJ386" s="3" t="s">
        <v>48</v>
      </c>
      <c r="AK386" s="12" t="s">
        <v>119</v>
      </c>
      <c r="AL386" s="3" t="s">
        <v>59</v>
      </c>
      <c r="AM386" s="3" t="s">
        <v>115</v>
      </c>
      <c r="AN386" s="3" t="s">
        <v>61</v>
      </c>
      <c r="AO386" s="3" t="s">
        <v>62</v>
      </c>
      <c r="AP386" s="3" t="s">
        <v>69</v>
      </c>
      <c r="AQ386" s="3" t="s">
        <v>61</v>
      </c>
      <c r="AR386" s="3" t="s">
        <v>48</v>
      </c>
    </row>
    <row r="387" spans="1:44" ht="30" customHeight="1">
      <c r="A387" s="3" t="s">
        <v>44</v>
      </c>
      <c r="B387" s="3" t="s">
        <v>45</v>
      </c>
      <c r="C387" s="3" t="s">
        <v>46</v>
      </c>
      <c r="D387" s="3" t="s">
        <v>108</v>
      </c>
      <c r="E387" s="3" t="s">
        <v>48</v>
      </c>
      <c r="F387" s="3" t="s">
        <v>108</v>
      </c>
      <c r="G387" s="3" t="s">
        <v>645</v>
      </c>
      <c r="H387" s="4">
        <f>IF(DATEDIF(L387,S387,"m")&gt;12,DATEDIF(L387,S387,"y"),(DATEDIF(L387,S387,"m")/12))</f>
        <v>8</v>
      </c>
      <c r="I387" s="7">
        <f>DATEDIF(L387,S387,"M")</f>
        <v>97</v>
      </c>
      <c r="J387" s="7">
        <f>DATEDIF(L387,S387,"D")</f>
        <v>2972</v>
      </c>
      <c r="K387" s="3" t="s">
        <v>51</v>
      </c>
      <c r="L387" s="8">
        <v>42011</v>
      </c>
      <c r="M387" s="3" t="s">
        <v>45</v>
      </c>
      <c r="N387" s="3" t="s">
        <v>73</v>
      </c>
      <c r="O387" s="3" t="s">
        <v>52</v>
      </c>
      <c r="P387" s="3" t="s">
        <v>284</v>
      </c>
      <c r="Q387" s="7">
        <v>0</v>
      </c>
      <c r="R387" s="8">
        <v>44985</v>
      </c>
      <c r="S387" s="8">
        <v>44983</v>
      </c>
      <c r="T387" s="3" t="s">
        <v>54</v>
      </c>
      <c r="U387" s="3" t="s">
        <v>55</v>
      </c>
      <c r="V387" s="9"/>
      <c r="W387" s="10">
        <v>44991</v>
      </c>
      <c r="X387" s="7">
        <v>6</v>
      </c>
      <c r="Y387" s="7">
        <v>2</v>
      </c>
      <c r="Z387" s="7">
        <v>2</v>
      </c>
      <c r="AA387" s="7">
        <f>INT((S387-DATE(YEAR(S387-WEEKDAY(S387-0)+4),1,4)+WEEKDAY(DATE(YEAR(S387-WEEKDAY(S387-0)+4),1,4))+6)/7)</f>
        <v>9</v>
      </c>
      <c r="AB387" s="3" t="s">
        <v>646</v>
      </c>
      <c r="AC387" s="7">
        <v>316</v>
      </c>
      <c r="AD387" s="7">
        <v>0</v>
      </c>
      <c r="AE387" s="7">
        <v>0</v>
      </c>
      <c r="AF387" s="3" t="s">
        <v>48</v>
      </c>
      <c r="AG387" s="7">
        <v>2023</v>
      </c>
      <c r="AH387" s="3" t="s">
        <v>112</v>
      </c>
      <c r="AI387" s="3" t="s">
        <v>113</v>
      </c>
      <c r="AJ387" s="3" t="s">
        <v>48</v>
      </c>
      <c r="AK387" s="12" t="s">
        <v>119</v>
      </c>
      <c r="AL387" s="3" t="s">
        <v>59</v>
      </c>
      <c r="AM387" s="3" t="s">
        <v>115</v>
      </c>
      <c r="AN387" s="3" t="s">
        <v>61</v>
      </c>
      <c r="AO387" s="3" t="s">
        <v>62</v>
      </c>
      <c r="AP387" s="3" t="s">
        <v>69</v>
      </c>
      <c r="AQ387" s="3" t="s">
        <v>61</v>
      </c>
      <c r="AR387" s="3" t="s">
        <v>48</v>
      </c>
    </row>
    <row r="388" spans="1:44" ht="30" customHeight="1">
      <c r="A388" s="3" t="s">
        <v>44</v>
      </c>
      <c r="B388" s="3" t="s">
        <v>45</v>
      </c>
      <c r="C388" s="3" t="s">
        <v>46</v>
      </c>
      <c r="D388" s="3" t="s">
        <v>108</v>
      </c>
      <c r="E388" s="3" t="s">
        <v>48</v>
      </c>
      <c r="F388" s="3" t="s">
        <v>108</v>
      </c>
      <c r="G388" s="3" t="s">
        <v>940</v>
      </c>
      <c r="H388" s="4">
        <f>IF(DATEDIF(L388,S388,"m")&gt;12,DATEDIF(L388,S388,"y"),(DATEDIF(L388,S388,"m")/12))</f>
        <v>7</v>
      </c>
      <c r="I388" s="7">
        <f>DATEDIF(L388,S388,"M")</f>
        <v>89</v>
      </c>
      <c r="J388" s="7">
        <f>DATEDIF(L388,S388,"D")</f>
        <v>2730</v>
      </c>
      <c r="K388" s="3" t="s">
        <v>64</v>
      </c>
      <c r="L388" s="8">
        <v>42255</v>
      </c>
      <c r="M388" s="3" t="s">
        <v>45</v>
      </c>
      <c r="N388" s="3" t="s">
        <v>73</v>
      </c>
      <c r="O388" s="3" t="s">
        <v>52</v>
      </c>
      <c r="P388" s="3" t="s">
        <v>556</v>
      </c>
      <c r="Q388" s="7">
        <v>0</v>
      </c>
      <c r="R388" s="8">
        <v>44988</v>
      </c>
      <c r="S388" s="8">
        <v>44985</v>
      </c>
      <c r="T388" s="3" t="s">
        <v>54</v>
      </c>
      <c r="U388" s="3" t="s">
        <v>55</v>
      </c>
      <c r="V388" s="9"/>
      <c r="W388" s="10">
        <v>44991</v>
      </c>
      <c r="X388" s="7">
        <v>3</v>
      </c>
      <c r="Y388" s="7">
        <v>3</v>
      </c>
      <c r="Z388" s="7">
        <v>2</v>
      </c>
      <c r="AA388" s="7">
        <f>INT((S388-DATE(YEAR(S388-WEEKDAY(S388-0)+4),1,4)+WEEKDAY(DATE(YEAR(S388-WEEKDAY(S388-0)+4),1,4))+6)/7)</f>
        <v>9</v>
      </c>
      <c r="AB388" s="3" t="s">
        <v>941</v>
      </c>
      <c r="AC388" s="7">
        <v>327</v>
      </c>
      <c r="AD388" s="7">
        <v>0</v>
      </c>
      <c r="AE388" s="7">
        <v>0</v>
      </c>
      <c r="AF388" s="3" t="s">
        <v>48</v>
      </c>
      <c r="AG388" s="7">
        <v>2023</v>
      </c>
      <c r="AH388" s="3" t="s">
        <v>112</v>
      </c>
      <c r="AI388" s="3" t="s">
        <v>113</v>
      </c>
      <c r="AJ388" s="3" t="s">
        <v>48</v>
      </c>
      <c r="AK388" s="12" t="s">
        <v>119</v>
      </c>
      <c r="AL388" s="3" t="s">
        <v>59</v>
      </c>
      <c r="AM388" s="3" t="s">
        <v>115</v>
      </c>
      <c r="AN388" s="3" t="s">
        <v>61</v>
      </c>
      <c r="AO388" s="3" t="s">
        <v>62</v>
      </c>
      <c r="AP388" s="3" t="s">
        <v>69</v>
      </c>
      <c r="AQ388" s="3" t="s">
        <v>61</v>
      </c>
      <c r="AR388" s="3" t="s">
        <v>48</v>
      </c>
    </row>
    <row r="389" spans="1:44" ht="30" customHeight="1">
      <c r="A389" s="3" t="s">
        <v>44</v>
      </c>
      <c r="B389" s="3" t="s">
        <v>45</v>
      </c>
      <c r="C389" s="3" t="s">
        <v>46</v>
      </c>
      <c r="D389" s="3" t="s">
        <v>108</v>
      </c>
      <c r="E389" s="3" t="s">
        <v>48</v>
      </c>
      <c r="F389" s="3" t="s">
        <v>108</v>
      </c>
      <c r="G389" s="3" t="s">
        <v>1178</v>
      </c>
      <c r="H389" s="4">
        <f>IF(DATEDIF(L389,S389,"m")&gt;12,DATEDIF(L389,S389,"y"),(DATEDIF(L389,S389,"m")/12))</f>
        <v>7</v>
      </c>
      <c r="I389" s="7">
        <f>DATEDIF(L389,S389,"M")</f>
        <v>89</v>
      </c>
      <c r="J389" s="7">
        <f>DATEDIF(L389,S389,"D")</f>
        <v>2726</v>
      </c>
      <c r="K389" s="3" t="s">
        <v>51</v>
      </c>
      <c r="L389" s="8">
        <v>42254</v>
      </c>
      <c r="M389" s="3" t="s">
        <v>45</v>
      </c>
      <c r="N389" s="3" t="s">
        <v>73</v>
      </c>
      <c r="O389" s="3" t="s">
        <v>52</v>
      </c>
      <c r="P389" s="3" t="s">
        <v>174</v>
      </c>
      <c r="Q389" s="7">
        <v>0</v>
      </c>
      <c r="R389" s="8">
        <v>44984</v>
      </c>
      <c r="S389" s="8">
        <v>44980</v>
      </c>
      <c r="T389" s="3" t="s">
        <v>54</v>
      </c>
      <c r="U389" s="3" t="s">
        <v>55</v>
      </c>
      <c r="V389" s="9"/>
      <c r="W389" s="10">
        <v>44991</v>
      </c>
      <c r="X389" s="7">
        <v>7</v>
      </c>
      <c r="Y389" s="7">
        <v>4</v>
      </c>
      <c r="Z389" s="7">
        <v>2</v>
      </c>
      <c r="AA389" s="7">
        <f>INT((S389-DATE(YEAR(S389-WEEKDAY(S389-0)+4),1,4)+WEEKDAY(DATE(YEAR(S389-WEEKDAY(S389-0)+4),1,4))+6)/7)</f>
        <v>8</v>
      </c>
      <c r="AB389" s="3" t="s">
        <v>1179</v>
      </c>
      <c r="AC389" s="7">
        <v>310</v>
      </c>
      <c r="AD389" s="7">
        <v>0</v>
      </c>
      <c r="AE389" s="7">
        <v>0</v>
      </c>
      <c r="AF389" s="3" t="s">
        <v>48</v>
      </c>
      <c r="AG389" s="7">
        <v>2023</v>
      </c>
      <c r="AH389" s="3" t="s">
        <v>112</v>
      </c>
      <c r="AI389" s="3" t="s">
        <v>113</v>
      </c>
      <c r="AJ389" s="3" t="s">
        <v>48</v>
      </c>
      <c r="AK389" s="12" t="s">
        <v>119</v>
      </c>
      <c r="AL389" s="3" t="s">
        <v>59</v>
      </c>
      <c r="AM389" s="3" t="s">
        <v>115</v>
      </c>
      <c r="AN389" s="3" t="s">
        <v>61</v>
      </c>
      <c r="AO389" s="3" t="s">
        <v>62</v>
      </c>
      <c r="AP389" s="3" t="s">
        <v>69</v>
      </c>
      <c r="AQ389" s="3" t="s">
        <v>61</v>
      </c>
      <c r="AR389" s="3" t="s">
        <v>48</v>
      </c>
    </row>
    <row r="390" spans="1:44" ht="30" customHeight="1">
      <c r="A390" s="3" t="s">
        <v>44</v>
      </c>
      <c r="B390" s="3" t="s">
        <v>45</v>
      </c>
      <c r="C390" s="3" t="s">
        <v>46</v>
      </c>
      <c r="D390" s="3" t="s">
        <v>108</v>
      </c>
      <c r="E390" s="3" t="s">
        <v>48</v>
      </c>
      <c r="F390" s="3" t="s">
        <v>108</v>
      </c>
      <c r="G390" s="3" t="s">
        <v>1424</v>
      </c>
      <c r="H390" s="4">
        <f>IF(DATEDIF(L390,S390,"m")&gt;12,DATEDIF(L390,S390,"y"),(DATEDIF(L390,S390,"m")/12))</f>
        <v>31</v>
      </c>
      <c r="I390" s="7">
        <f>DATEDIF(L390,S390,"M")</f>
        <v>379</v>
      </c>
      <c r="J390" s="7">
        <f>DATEDIF(L390,S390,"D")</f>
        <v>11545</v>
      </c>
      <c r="K390" s="3" t="s">
        <v>51</v>
      </c>
      <c r="L390" s="8">
        <v>33429</v>
      </c>
      <c r="M390" s="3" t="s">
        <v>45</v>
      </c>
      <c r="N390" s="3" t="s">
        <v>73</v>
      </c>
      <c r="O390" s="3" t="s">
        <v>52</v>
      </c>
      <c r="P390" s="3" t="s">
        <v>556</v>
      </c>
      <c r="Q390" s="7">
        <v>0</v>
      </c>
      <c r="R390" s="8">
        <v>44988</v>
      </c>
      <c r="S390" s="8">
        <v>44974</v>
      </c>
      <c r="T390" s="3" t="s">
        <v>54</v>
      </c>
      <c r="U390" s="3" t="s">
        <v>55</v>
      </c>
      <c r="V390" s="9"/>
      <c r="W390" s="10">
        <v>44991</v>
      </c>
      <c r="X390" s="7">
        <v>3</v>
      </c>
      <c r="Y390" s="7">
        <v>14</v>
      </c>
      <c r="Z390" s="7">
        <v>2</v>
      </c>
      <c r="AA390" s="7">
        <f>INT((S390-DATE(YEAR(S390-WEEKDAY(S390-0)+4),1,4)+WEEKDAY(DATE(YEAR(S390-WEEKDAY(S390-0)+4),1,4))+6)/7)</f>
        <v>7</v>
      </c>
      <c r="AB390" s="3" t="s">
        <v>1425</v>
      </c>
      <c r="AC390" s="7">
        <v>332</v>
      </c>
      <c r="AD390" s="7">
        <v>0</v>
      </c>
      <c r="AE390" s="7">
        <v>0</v>
      </c>
      <c r="AF390" s="3" t="s">
        <v>48</v>
      </c>
      <c r="AG390" s="7">
        <v>2023</v>
      </c>
      <c r="AH390" s="3" t="s">
        <v>112</v>
      </c>
      <c r="AI390" s="3" t="s">
        <v>113</v>
      </c>
      <c r="AJ390" s="3" t="s">
        <v>48</v>
      </c>
      <c r="AK390" s="12" t="s">
        <v>119</v>
      </c>
      <c r="AL390" s="3" t="s">
        <v>59</v>
      </c>
      <c r="AM390" s="3" t="s">
        <v>115</v>
      </c>
      <c r="AN390" s="3" t="s">
        <v>61</v>
      </c>
      <c r="AO390" s="3" t="s">
        <v>62</v>
      </c>
      <c r="AP390" s="3" t="s">
        <v>69</v>
      </c>
      <c r="AQ390" s="3" t="s">
        <v>61</v>
      </c>
      <c r="AR390" s="3" t="s">
        <v>48</v>
      </c>
    </row>
    <row r="391" spans="1:44" ht="30" customHeight="1">
      <c r="A391" s="3" t="s">
        <v>44</v>
      </c>
      <c r="B391" s="3" t="s">
        <v>45</v>
      </c>
      <c r="C391" s="3" t="s">
        <v>46</v>
      </c>
      <c r="D391" s="3" t="s">
        <v>108</v>
      </c>
      <c r="E391" s="3" t="s">
        <v>48</v>
      </c>
      <c r="F391" s="3" t="s">
        <v>108</v>
      </c>
      <c r="G391" s="3" t="s">
        <v>1938</v>
      </c>
      <c r="H391" s="5">
        <f>IF(DATEDIF(L391,S391,"m")&gt;12,DATEDIF(L391,S391,"y"),(DATEDIF(L391,S391,"m")/12))</f>
        <v>0.75</v>
      </c>
      <c r="I391" s="7">
        <f>DATEDIF(L391,S391,"M")</f>
        <v>9</v>
      </c>
      <c r="J391" s="7">
        <f>DATEDIF(L391,S391,"D")</f>
        <v>289</v>
      </c>
      <c r="K391" s="3" t="s">
        <v>51</v>
      </c>
      <c r="L391" s="8">
        <v>44688</v>
      </c>
      <c r="M391" s="3" t="s">
        <v>45</v>
      </c>
      <c r="N391" s="3" t="s">
        <v>73</v>
      </c>
      <c r="O391" s="3" t="s">
        <v>52</v>
      </c>
      <c r="P391" s="3" t="s">
        <v>284</v>
      </c>
      <c r="Q391" s="7">
        <v>0</v>
      </c>
      <c r="R391" s="8">
        <v>44984</v>
      </c>
      <c r="S391" s="8">
        <v>44977</v>
      </c>
      <c r="T391" s="3" t="s">
        <v>54</v>
      </c>
      <c r="U391" s="3" t="s">
        <v>55</v>
      </c>
      <c r="V391" s="9"/>
      <c r="W391" s="10">
        <v>44991</v>
      </c>
      <c r="X391" s="7">
        <v>7</v>
      </c>
      <c r="Y391" s="7">
        <v>7</v>
      </c>
      <c r="Z391" s="7">
        <v>2</v>
      </c>
      <c r="AA391" s="7">
        <f>INT((S391-DATE(YEAR(S391-WEEKDAY(S391-0)+4),1,4)+WEEKDAY(DATE(YEAR(S391-WEEKDAY(S391-0)+4),1,4))+6)/7)</f>
        <v>8</v>
      </c>
      <c r="AB391" s="3" t="s">
        <v>1939</v>
      </c>
      <c r="AC391" s="7">
        <v>312</v>
      </c>
      <c r="AD391" s="7">
        <v>0</v>
      </c>
      <c r="AE391" s="7">
        <v>0</v>
      </c>
      <c r="AF391" s="3" t="s">
        <v>48</v>
      </c>
      <c r="AG391" s="7">
        <v>2023</v>
      </c>
      <c r="AH391" s="3" t="s">
        <v>112</v>
      </c>
      <c r="AI391" s="3" t="s">
        <v>113</v>
      </c>
      <c r="AJ391" s="3" t="s">
        <v>48</v>
      </c>
      <c r="AK391" s="12" t="s">
        <v>119</v>
      </c>
      <c r="AL391" s="3" t="s">
        <v>59</v>
      </c>
      <c r="AM391" s="3" t="s">
        <v>115</v>
      </c>
      <c r="AN391" s="3" t="s">
        <v>61</v>
      </c>
      <c r="AO391" s="3" t="s">
        <v>62</v>
      </c>
      <c r="AP391" s="3" t="s">
        <v>69</v>
      </c>
      <c r="AQ391" s="3" t="s">
        <v>61</v>
      </c>
      <c r="AR391" s="3" t="s">
        <v>48</v>
      </c>
    </row>
    <row r="392" spans="1:44" ht="30" customHeight="1">
      <c r="A392" s="3" t="s">
        <v>44</v>
      </c>
      <c r="B392" s="3" t="s">
        <v>45</v>
      </c>
      <c r="C392" s="3" t="s">
        <v>46</v>
      </c>
      <c r="D392" s="3" t="s">
        <v>108</v>
      </c>
      <c r="E392" s="3" t="s">
        <v>48</v>
      </c>
      <c r="F392" s="3" t="s">
        <v>108</v>
      </c>
      <c r="G392" s="3" t="s">
        <v>2220</v>
      </c>
      <c r="H392" s="4">
        <f>IF(DATEDIF(L392,S392,"m")&gt;12,DATEDIF(L392,S392,"y"),(DATEDIF(L392,S392,"m")/12))</f>
        <v>7</v>
      </c>
      <c r="I392" s="7">
        <f>DATEDIF(L392,S392,"M")</f>
        <v>90</v>
      </c>
      <c r="J392" s="7">
        <f>DATEDIF(L392,S392,"D")</f>
        <v>2763</v>
      </c>
      <c r="K392" s="3" t="s">
        <v>64</v>
      </c>
      <c r="L392" s="8">
        <v>42224</v>
      </c>
      <c r="M392" s="3" t="s">
        <v>45</v>
      </c>
      <c r="N392" s="3" t="s">
        <v>73</v>
      </c>
      <c r="O392" s="3" t="s">
        <v>52</v>
      </c>
      <c r="P392" s="3" t="s">
        <v>174</v>
      </c>
      <c r="Q392" s="7">
        <v>0</v>
      </c>
      <c r="R392" s="8">
        <v>44988</v>
      </c>
      <c r="S392" s="8">
        <v>44987</v>
      </c>
      <c r="T392" s="3" t="s">
        <v>54</v>
      </c>
      <c r="U392" s="3" t="s">
        <v>55</v>
      </c>
      <c r="V392" s="9"/>
      <c r="W392" s="10">
        <v>44991</v>
      </c>
      <c r="X392" s="7">
        <v>3</v>
      </c>
      <c r="Y392" s="7">
        <v>1</v>
      </c>
      <c r="Z392" s="7">
        <v>3</v>
      </c>
      <c r="AA392" s="7">
        <f>INT((S392-DATE(YEAR(S392-WEEKDAY(S392-0)+4),1,4)+WEEKDAY(DATE(YEAR(S392-WEEKDAY(S392-0)+4),1,4))+6)/7)</f>
        <v>9</v>
      </c>
      <c r="AB392" s="3" t="s">
        <v>2221</v>
      </c>
      <c r="AC392" s="7">
        <v>324</v>
      </c>
      <c r="AD392" s="7">
        <v>0</v>
      </c>
      <c r="AE392" s="7">
        <v>0</v>
      </c>
      <c r="AF392" s="3" t="s">
        <v>48</v>
      </c>
      <c r="AG392" s="7">
        <v>2023</v>
      </c>
      <c r="AH392" s="3" t="s">
        <v>112</v>
      </c>
      <c r="AI392" s="3" t="s">
        <v>113</v>
      </c>
      <c r="AJ392" s="3" t="s">
        <v>48</v>
      </c>
      <c r="AK392" s="12" t="s">
        <v>119</v>
      </c>
      <c r="AL392" s="3" t="s">
        <v>59</v>
      </c>
      <c r="AM392" s="3" t="s">
        <v>115</v>
      </c>
      <c r="AN392" s="3" t="s">
        <v>61</v>
      </c>
      <c r="AO392" s="3" t="s">
        <v>62</v>
      </c>
      <c r="AP392" s="3" t="s">
        <v>69</v>
      </c>
      <c r="AQ392" s="3" t="s">
        <v>61</v>
      </c>
      <c r="AR392" s="3" t="s">
        <v>48</v>
      </c>
    </row>
    <row r="393" spans="1:44" ht="30" customHeight="1">
      <c r="A393" s="3" t="s">
        <v>44</v>
      </c>
      <c r="B393" s="3" t="s">
        <v>45</v>
      </c>
      <c r="C393" s="3" t="s">
        <v>80</v>
      </c>
      <c r="D393" s="3" t="s">
        <v>81</v>
      </c>
      <c r="E393" s="3" t="s">
        <v>48</v>
      </c>
      <c r="F393" s="3" t="s">
        <v>81</v>
      </c>
      <c r="G393" s="3" t="s">
        <v>845</v>
      </c>
      <c r="H393" s="4">
        <f>IF(DATEDIF(L393,S393,"m")&gt;12,DATEDIF(L393,S393,"y"),(DATEDIF(L393,S393,"m")/12))</f>
        <v>59</v>
      </c>
      <c r="I393" s="7">
        <f>DATEDIF(L393,S393,"M")</f>
        <v>718</v>
      </c>
      <c r="J393" s="7">
        <f>DATEDIF(L393,S393,"D")</f>
        <v>21857</v>
      </c>
      <c r="K393" s="3" t="s">
        <v>64</v>
      </c>
      <c r="L393" s="8">
        <v>23102</v>
      </c>
      <c r="M393" s="3" t="s">
        <v>45</v>
      </c>
      <c r="N393" s="3" t="s">
        <v>203</v>
      </c>
      <c r="O393" s="3" t="s">
        <v>52</v>
      </c>
      <c r="P393" s="3" t="s">
        <v>846</v>
      </c>
      <c r="Q393" s="7">
        <v>1</v>
      </c>
      <c r="R393" s="8">
        <v>44965</v>
      </c>
      <c r="S393" s="8">
        <v>44959</v>
      </c>
      <c r="T393" s="3" t="s">
        <v>54</v>
      </c>
      <c r="U393" s="3" t="s">
        <v>55</v>
      </c>
      <c r="V393" s="9"/>
      <c r="W393" s="10">
        <v>44971</v>
      </c>
      <c r="X393" s="7">
        <v>6</v>
      </c>
      <c r="Y393" s="7">
        <v>6</v>
      </c>
      <c r="Z393" s="7">
        <v>2</v>
      </c>
      <c r="AA393" s="7">
        <f>INT((S393-DATE(YEAR(S393-WEEKDAY(S393-0)+4),1,4)+WEEKDAY(DATE(YEAR(S393-WEEKDAY(S393-0)+4),1,4))+6)/7)</f>
        <v>5</v>
      </c>
      <c r="AB393" s="3" t="s">
        <v>847</v>
      </c>
      <c r="AC393" s="7">
        <v>13950</v>
      </c>
      <c r="AD393" s="7">
        <v>0</v>
      </c>
      <c r="AE393" s="7">
        <v>0</v>
      </c>
      <c r="AF393" s="3" t="s">
        <v>48</v>
      </c>
      <c r="AG393" s="7">
        <v>2023</v>
      </c>
      <c r="AH393" s="3" t="s">
        <v>86</v>
      </c>
      <c r="AI393" s="3" t="s">
        <v>48</v>
      </c>
      <c r="AJ393" s="3" t="s">
        <v>48</v>
      </c>
      <c r="AK393" s="3" t="s">
        <v>171</v>
      </c>
      <c r="AL393" s="3" t="s">
        <v>59</v>
      </c>
      <c r="AM393" s="3" t="s">
        <v>60</v>
      </c>
      <c r="AN393" s="3" t="s">
        <v>69</v>
      </c>
      <c r="AO393" s="3" t="s">
        <v>62</v>
      </c>
      <c r="AP393" s="3" t="s">
        <v>69</v>
      </c>
      <c r="AQ393" s="3" t="s">
        <v>61</v>
      </c>
      <c r="AR393" s="3" t="s">
        <v>48</v>
      </c>
    </row>
    <row r="394" spans="1:44" ht="30" customHeight="1">
      <c r="A394" s="3" t="s">
        <v>44</v>
      </c>
      <c r="B394" s="3" t="s">
        <v>45</v>
      </c>
      <c r="C394" s="3" t="s">
        <v>121</v>
      </c>
      <c r="D394" s="3" t="s">
        <v>121</v>
      </c>
      <c r="E394" s="3" t="s">
        <v>48</v>
      </c>
      <c r="F394" s="3" t="s">
        <v>449</v>
      </c>
      <c r="G394" s="3" t="s">
        <v>892</v>
      </c>
      <c r="H394" s="4">
        <f>IF(DATEDIF(L394,S394,"m")&gt;12,DATEDIF(L394,S394,"y"),(DATEDIF(L394,S394,"m")/12))</f>
        <v>13</v>
      </c>
      <c r="I394" s="7">
        <f>DATEDIF(L394,S394,"M")</f>
        <v>166</v>
      </c>
      <c r="J394" s="7">
        <f>DATEDIF(L394,S394,"D")</f>
        <v>5055</v>
      </c>
      <c r="K394" s="3" t="s">
        <v>64</v>
      </c>
      <c r="L394" s="8">
        <v>39908</v>
      </c>
      <c r="M394" s="3" t="s">
        <v>45</v>
      </c>
      <c r="N394" s="3" t="s">
        <v>159</v>
      </c>
      <c r="O394" s="3" t="s">
        <v>52</v>
      </c>
      <c r="P394" s="3" t="s">
        <v>84</v>
      </c>
      <c r="Q394" s="7">
        <v>1</v>
      </c>
      <c r="R394" s="8">
        <v>44970</v>
      </c>
      <c r="S394" s="8">
        <v>44963</v>
      </c>
      <c r="T394" s="3" t="s">
        <v>54</v>
      </c>
      <c r="U394" s="3" t="s">
        <v>55</v>
      </c>
      <c r="V394" s="9"/>
      <c r="W394" s="10">
        <v>44971</v>
      </c>
      <c r="X394" s="7">
        <v>1</v>
      </c>
      <c r="Y394" s="7">
        <v>7</v>
      </c>
      <c r="Z394" s="7">
        <v>2</v>
      </c>
      <c r="AA394" s="7">
        <f>INT((S394-DATE(YEAR(S394-WEEKDAY(S394-0)+4),1,4)+WEEKDAY(DATE(YEAR(S394-WEEKDAY(S394-0)+4),1,4))+6)/7)</f>
        <v>6</v>
      </c>
      <c r="AB394" s="3" t="s">
        <v>893</v>
      </c>
      <c r="AC394" s="7">
        <v>39376</v>
      </c>
      <c r="AD394" s="7">
        <v>0</v>
      </c>
      <c r="AE394" s="7">
        <v>1</v>
      </c>
      <c r="AF394" s="3" t="s">
        <v>48</v>
      </c>
      <c r="AG394" s="7">
        <v>2023</v>
      </c>
      <c r="AH394" s="12" t="s">
        <v>452</v>
      </c>
      <c r="AI394" s="3" t="s">
        <v>453</v>
      </c>
      <c r="AJ394" s="3" t="s">
        <v>48</v>
      </c>
      <c r="AK394" s="3" t="s">
        <v>773</v>
      </c>
      <c r="AL394" s="3" t="s">
        <v>59</v>
      </c>
      <c r="AM394" s="3" t="s">
        <v>60</v>
      </c>
      <c r="AN394" s="3" t="s">
        <v>61</v>
      </c>
      <c r="AO394" s="3" t="s">
        <v>62</v>
      </c>
      <c r="AP394" s="3" t="s">
        <v>69</v>
      </c>
      <c r="AQ394" s="3" t="s">
        <v>61</v>
      </c>
      <c r="AR394" s="3" t="s">
        <v>48</v>
      </c>
    </row>
    <row r="395" spans="1:44" ht="30" customHeight="1">
      <c r="A395" s="3" t="s">
        <v>44</v>
      </c>
      <c r="B395" s="3" t="s">
        <v>45</v>
      </c>
      <c r="C395" s="3" t="s">
        <v>80</v>
      </c>
      <c r="D395" s="3" t="s">
        <v>81</v>
      </c>
      <c r="E395" s="3" t="s">
        <v>48</v>
      </c>
      <c r="F395" s="3" t="s">
        <v>81</v>
      </c>
      <c r="G395" s="3" t="s">
        <v>915</v>
      </c>
      <c r="H395" s="4">
        <f>IF(DATEDIF(L395,S395,"m")&gt;12,DATEDIF(L395,S395,"y"),(DATEDIF(L395,S395,"m")/12))</f>
        <v>75</v>
      </c>
      <c r="I395" s="7">
        <f>DATEDIF(L395,S395,"M")</f>
        <v>907</v>
      </c>
      <c r="J395" s="7">
        <f>DATEDIF(L395,S395,"D")</f>
        <v>27613</v>
      </c>
      <c r="K395" s="3" t="s">
        <v>51</v>
      </c>
      <c r="L395" s="8">
        <v>17352</v>
      </c>
      <c r="M395" s="3" t="s">
        <v>45</v>
      </c>
      <c r="N395" s="3" t="s">
        <v>65</v>
      </c>
      <c r="O395" s="3" t="s">
        <v>52</v>
      </c>
      <c r="P395" s="3" t="s">
        <v>916</v>
      </c>
      <c r="Q395" s="7">
        <v>1</v>
      </c>
      <c r="R395" s="8">
        <v>44967</v>
      </c>
      <c r="S395" s="8">
        <v>44965</v>
      </c>
      <c r="T395" s="3" t="s">
        <v>54</v>
      </c>
      <c r="U395" s="3" t="s">
        <v>55</v>
      </c>
      <c r="V395" s="9"/>
      <c r="W395" s="10">
        <v>44971</v>
      </c>
      <c r="X395" s="7">
        <v>4</v>
      </c>
      <c r="Y395" s="7">
        <v>2</v>
      </c>
      <c r="Z395" s="7">
        <v>2</v>
      </c>
      <c r="AA395" s="7">
        <f>INT((S395-DATE(YEAR(S395-WEEKDAY(S395-0)+4),1,4)+WEEKDAY(DATE(YEAR(S395-WEEKDAY(S395-0)+4),1,4))+6)/7)</f>
        <v>6</v>
      </c>
      <c r="AB395" s="3" t="s">
        <v>917</v>
      </c>
      <c r="AC395" s="7">
        <v>13962</v>
      </c>
      <c r="AD395" s="7">
        <v>0</v>
      </c>
      <c r="AE395" s="7">
        <v>0</v>
      </c>
      <c r="AF395" s="3" t="s">
        <v>48</v>
      </c>
      <c r="AG395" s="7">
        <v>2023</v>
      </c>
      <c r="AH395" s="3" t="s">
        <v>86</v>
      </c>
      <c r="AI395" s="3" t="s">
        <v>48</v>
      </c>
      <c r="AJ395" s="3" t="s">
        <v>48</v>
      </c>
      <c r="AK395" s="3" t="s">
        <v>162</v>
      </c>
      <c r="AL395" s="3" t="s">
        <v>59</v>
      </c>
      <c r="AM395" s="3" t="s">
        <v>60</v>
      </c>
      <c r="AN395" s="3" t="s">
        <v>69</v>
      </c>
      <c r="AO395" s="3" t="s">
        <v>62</v>
      </c>
      <c r="AP395" s="3" t="s">
        <v>69</v>
      </c>
      <c r="AQ395" s="3" t="s">
        <v>61</v>
      </c>
      <c r="AR395" s="3" t="s">
        <v>48</v>
      </c>
    </row>
    <row r="396" spans="1:44" ht="30" customHeight="1">
      <c r="A396" s="3" t="s">
        <v>44</v>
      </c>
      <c r="B396" s="3" t="s">
        <v>45</v>
      </c>
      <c r="C396" s="3" t="s">
        <v>46</v>
      </c>
      <c r="D396" s="3" t="s">
        <v>47</v>
      </c>
      <c r="E396" s="3" t="s">
        <v>48</v>
      </c>
      <c r="F396" s="3" t="s">
        <v>49</v>
      </c>
      <c r="G396" s="3" t="s">
        <v>332</v>
      </c>
      <c r="H396" s="4">
        <f>IF(DATEDIF(L396,S396,"m")&gt;12,DATEDIF(L396,S396,"y"),(DATEDIF(L396,S396,"m")/12))</f>
        <v>6</v>
      </c>
      <c r="I396" s="7">
        <f>DATEDIF(L396,S396,"M")</f>
        <v>76</v>
      </c>
      <c r="J396" s="7">
        <f>DATEDIF(L396,S396,"D")</f>
        <v>2333</v>
      </c>
      <c r="K396" s="3" t="s">
        <v>51</v>
      </c>
      <c r="L396" s="8">
        <v>42658</v>
      </c>
      <c r="M396" s="3" t="s">
        <v>45</v>
      </c>
      <c r="N396" s="3" t="s">
        <v>73</v>
      </c>
      <c r="O396" s="3" t="s">
        <v>52</v>
      </c>
      <c r="P396" s="3" t="s">
        <v>333</v>
      </c>
      <c r="Q396" s="7">
        <v>0</v>
      </c>
      <c r="R396" s="8">
        <v>44993</v>
      </c>
      <c r="S396" s="8">
        <v>44991</v>
      </c>
      <c r="T396" s="3" t="s">
        <v>54</v>
      </c>
      <c r="U396" s="3" t="s">
        <v>55</v>
      </c>
      <c r="V396" s="9"/>
      <c r="W396" s="10">
        <v>44995</v>
      </c>
      <c r="X396" s="7">
        <v>2</v>
      </c>
      <c r="Y396" s="7">
        <v>2</v>
      </c>
      <c r="Z396" s="7">
        <v>3</v>
      </c>
      <c r="AA396" s="7">
        <f>INT((S396-DATE(YEAR(S396-WEEKDAY(S396-0)+4),1,4)+WEEKDAY(DATE(YEAR(S396-WEEKDAY(S396-0)+4),1,4))+6)/7)</f>
        <v>10</v>
      </c>
      <c r="AB396" s="3" t="s">
        <v>334</v>
      </c>
      <c r="AC396" s="7">
        <v>107</v>
      </c>
      <c r="AD396" s="7">
        <v>0</v>
      </c>
      <c r="AE396" s="7">
        <v>0</v>
      </c>
      <c r="AF396" s="3" t="s">
        <v>48</v>
      </c>
      <c r="AG396" s="7">
        <v>2023</v>
      </c>
      <c r="AH396" s="3" t="s">
        <v>57</v>
      </c>
      <c r="AI396" s="3" t="s">
        <v>48</v>
      </c>
      <c r="AJ396" s="3" t="s">
        <v>48</v>
      </c>
      <c r="AK396" s="12" t="s">
        <v>119</v>
      </c>
      <c r="AL396" s="3" t="s">
        <v>59</v>
      </c>
      <c r="AM396" s="3" t="s">
        <v>60</v>
      </c>
      <c r="AN396" s="3" t="s">
        <v>61</v>
      </c>
      <c r="AO396" s="3" t="s">
        <v>62</v>
      </c>
      <c r="AP396" s="3" t="s">
        <v>69</v>
      </c>
      <c r="AQ396" s="3" t="s">
        <v>61</v>
      </c>
      <c r="AR396" s="3" t="s">
        <v>48</v>
      </c>
    </row>
    <row r="397" spans="1:44" ht="30" customHeight="1">
      <c r="A397" s="3" t="s">
        <v>44</v>
      </c>
      <c r="B397" s="3" t="s">
        <v>45</v>
      </c>
      <c r="C397" s="3" t="s">
        <v>46</v>
      </c>
      <c r="D397" s="3" t="s">
        <v>108</v>
      </c>
      <c r="E397" s="3" t="s">
        <v>48</v>
      </c>
      <c r="F397" s="3" t="s">
        <v>108</v>
      </c>
      <c r="G397" s="3" t="s">
        <v>306</v>
      </c>
      <c r="H397" s="5">
        <f>IF(DATEDIF(L397,S397,"m")&gt;12,DATEDIF(L397,S397,"y"),(DATEDIF(L397,S397,"m")/12))</f>
        <v>0.33333333333333331</v>
      </c>
      <c r="I397" s="7">
        <f>DATEDIF(L397,S397,"M")</f>
        <v>4</v>
      </c>
      <c r="J397" s="7">
        <f>DATEDIF(L397,S397,"D")</f>
        <v>134</v>
      </c>
      <c r="K397" s="3" t="s">
        <v>64</v>
      </c>
      <c r="L397" s="8">
        <v>44856</v>
      </c>
      <c r="M397" s="3" t="s">
        <v>45</v>
      </c>
      <c r="N397" s="3" t="s">
        <v>73</v>
      </c>
      <c r="O397" s="3" t="s">
        <v>52</v>
      </c>
      <c r="P397" s="3" t="s">
        <v>174</v>
      </c>
      <c r="Q397" s="7">
        <v>0</v>
      </c>
      <c r="R397" s="8">
        <v>44994</v>
      </c>
      <c r="S397" s="8">
        <v>44990</v>
      </c>
      <c r="T397" s="3" t="s">
        <v>54</v>
      </c>
      <c r="U397" s="3" t="s">
        <v>55</v>
      </c>
      <c r="V397" s="9"/>
      <c r="W397" s="10">
        <v>44998</v>
      </c>
      <c r="X397" s="7">
        <v>4</v>
      </c>
      <c r="Y397" s="7">
        <v>4</v>
      </c>
      <c r="Z397" s="7">
        <v>3</v>
      </c>
      <c r="AA397" s="7">
        <f>INT((S397-DATE(YEAR(S397-WEEKDAY(S397-0)+4),1,4)+WEEKDAY(DATE(YEAR(S397-WEEKDAY(S397-0)+4),1,4))+6)/7)</f>
        <v>10</v>
      </c>
      <c r="AB397" s="3" t="s">
        <v>307</v>
      </c>
      <c r="AC397" s="7">
        <v>349</v>
      </c>
      <c r="AD397" s="7">
        <v>0</v>
      </c>
      <c r="AE397" s="7">
        <v>0</v>
      </c>
      <c r="AF397" s="3" t="s">
        <v>48</v>
      </c>
      <c r="AG397" s="7">
        <v>2023</v>
      </c>
      <c r="AH397" s="3" t="s">
        <v>112</v>
      </c>
      <c r="AI397" s="3" t="s">
        <v>113</v>
      </c>
      <c r="AJ397" s="3" t="s">
        <v>48</v>
      </c>
      <c r="AK397" s="12" t="s">
        <v>119</v>
      </c>
      <c r="AL397" s="3" t="s">
        <v>59</v>
      </c>
      <c r="AM397" s="3" t="s">
        <v>115</v>
      </c>
      <c r="AN397" s="3" t="s">
        <v>61</v>
      </c>
      <c r="AO397" s="3" t="s">
        <v>62</v>
      </c>
      <c r="AP397" s="3" t="s">
        <v>69</v>
      </c>
      <c r="AQ397" s="3" t="s">
        <v>61</v>
      </c>
      <c r="AR397" s="3" t="s">
        <v>48</v>
      </c>
    </row>
    <row r="398" spans="1:44" ht="30" customHeight="1">
      <c r="A398" s="3" t="s">
        <v>44</v>
      </c>
      <c r="B398" s="3" t="s">
        <v>45</v>
      </c>
      <c r="C398" s="3" t="s">
        <v>46</v>
      </c>
      <c r="D398" s="3" t="s">
        <v>108</v>
      </c>
      <c r="E398" s="3" t="s">
        <v>48</v>
      </c>
      <c r="F398" s="3" t="s">
        <v>108</v>
      </c>
      <c r="G398" s="3" t="s">
        <v>800</v>
      </c>
      <c r="H398" s="5">
        <f>IF(DATEDIF(L398,S398,"m")&gt;12,DATEDIF(L398,S398,"y"),(DATEDIF(L398,S398,"m")/12))</f>
        <v>0.75</v>
      </c>
      <c r="I398" s="7">
        <f>DATEDIF(L398,S398,"M")</f>
        <v>9</v>
      </c>
      <c r="J398" s="7">
        <f>DATEDIF(L398,S398,"D")</f>
        <v>280</v>
      </c>
      <c r="K398" s="3" t="s">
        <v>51</v>
      </c>
      <c r="L398" s="8">
        <v>44709</v>
      </c>
      <c r="M398" s="3" t="s">
        <v>45</v>
      </c>
      <c r="N398" s="3" t="s">
        <v>73</v>
      </c>
      <c r="O398" s="3" t="s">
        <v>52</v>
      </c>
      <c r="P398" s="3" t="s">
        <v>556</v>
      </c>
      <c r="Q398" s="7">
        <v>0</v>
      </c>
      <c r="R398" s="8">
        <v>44992</v>
      </c>
      <c r="S398" s="8">
        <v>44989</v>
      </c>
      <c r="T398" s="3" t="s">
        <v>54</v>
      </c>
      <c r="U398" s="3" t="s">
        <v>55</v>
      </c>
      <c r="V398" s="9"/>
      <c r="W398" s="10">
        <v>44998</v>
      </c>
      <c r="X398" s="7">
        <v>6</v>
      </c>
      <c r="Y398" s="7">
        <v>3</v>
      </c>
      <c r="Z398" s="7">
        <v>3</v>
      </c>
      <c r="AA398" s="7">
        <f>INT((S398-DATE(YEAR(S398-WEEKDAY(S398-0)+4),1,4)+WEEKDAY(DATE(YEAR(S398-WEEKDAY(S398-0)+4),1,4))+6)/7)</f>
        <v>9</v>
      </c>
      <c r="AB398" s="3" t="s">
        <v>801</v>
      </c>
      <c r="AC398" s="7">
        <v>341</v>
      </c>
      <c r="AD398" s="7">
        <v>0</v>
      </c>
      <c r="AE398" s="7">
        <v>0</v>
      </c>
      <c r="AF398" s="3" t="s">
        <v>48</v>
      </c>
      <c r="AG398" s="7">
        <v>2023</v>
      </c>
      <c r="AH398" s="3" t="s">
        <v>112</v>
      </c>
      <c r="AI398" s="3" t="s">
        <v>113</v>
      </c>
      <c r="AJ398" s="3" t="s">
        <v>48</v>
      </c>
      <c r="AK398" s="12" t="s">
        <v>119</v>
      </c>
      <c r="AL398" s="3" t="s">
        <v>59</v>
      </c>
      <c r="AM398" s="3" t="s">
        <v>115</v>
      </c>
      <c r="AN398" s="3" t="s">
        <v>61</v>
      </c>
      <c r="AO398" s="3" t="s">
        <v>62</v>
      </c>
      <c r="AP398" s="3" t="s">
        <v>69</v>
      </c>
      <c r="AQ398" s="3" t="s">
        <v>61</v>
      </c>
      <c r="AR398" s="3" t="s">
        <v>48</v>
      </c>
    </row>
    <row r="399" spans="1:44" ht="30" customHeight="1">
      <c r="A399" s="3" t="s">
        <v>44</v>
      </c>
      <c r="B399" s="3" t="s">
        <v>45</v>
      </c>
      <c r="C399" s="3" t="s">
        <v>46</v>
      </c>
      <c r="D399" s="3" t="s">
        <v>108</v>
      </c>
      <c r="E399" s="3" t="s">
        <v>48</v>
      </c>
      <c r="F399" s="3" t="s">
        <v>108</v>
      </c>
      <c r="G399" s="3" t="s">
        <v>1428</v>
      </c>
      <c r="H399" s="4">
        <f>IF(DATEDIF(L399,S399,"m")&gt;12,DATEDIF(L399,S399,"y"),(DATEDIF(L399,S399,"m")/12))</f>
        <v>2</v>
      </c>
      <c r="I399" s="7">
        <f>DATEDIF(L399,S399,"M")</f>
        <v>28</v>
      </c>
      <c r="J399" s="7">
        <f>DATEDIF(L399,S399,"D")</f>
        <v>865</v>
      </c>
      <c r="K399" s="3" t="s">
        <v>64</v>
      </c>
      <c r="L399" s="8">
        <v>44126</v>
      </c>
      <c r="M399" s="3" t="s">
        <v>45</v>
      </c>
      <c r="N399" s="3" t="s">
        <v>73</v>
      </c>
      <c r="O399" s="3" t="s">
        <v>52</v>
      </c>
      <c r="P399" s="3" t="s">
        <v>1429</v>
      </c>
      <c r="Q399" s="7">
        <v>0</v>
      </c>
      <c r="R399" s="8">
        <v>44994</v>
      </c>
      <c r="S399" s="8">
        <v>44991</v>
      </c>
      <c r="T399" s="3" t="s">
        <v>54</v>
      </c>
      <c r="U399" s="3" t="s">
        <v>55</v>
      </c>
      <c r="V399" s="9"/>
      <c r="W399" s="10">
        <v>44998</v>
      </c>
      <c r="X399" s="7">
        <v>4</v>
      </c>
      <c r="Y399" s="7">
        <v>3</v>
      </c>
      <c r="Z399" s="7">
        <v>3</v>
      </c>
      <c r="AA399" s="7">
        <f>INT((S399-DATE(YEAR(S399-WEEKDAY(S399-0)+4),1,4)+WEEKDAY(DATE(YEAR(S399-WEEKDAY(S399-0)+4),1,4))+6)/7)</f>
        <v>10</v>
      </c>
      <c r="AB399" s="3" t="s">
        <v>1430</v>
      </c>
      <c r="AC399" s="7">
        <v>350</v>
      </c>
      <c r="AD399" s="7">
        <v>0</v>
      </c>
      <c r="AE399" s="7">
        <v>0</v>
      </c>
      <c r="AF399" s="3" t="s">
        <v>48</v>
      </c>
      <c r="AG399" s="7">
        <v>2023</v>
      </c>
      <c r="AH399" s="3" t="s">
        <v>112</v>
      </c>
      <c r="AI399" s="3" t="s">
        <v>113</v>
      </c>
      <c r="AJ399" s="3" t="s">
        <v>48</v>
      </c>
      <c r="AK399" s="12" t="s">
        <v>119</v>
      </c>
      <c r="AL399" s="3" t="s">
        <v>59</v>
      </c>
      <c r="AM399" s="3" t="s">
        <v>115</v>
      </c>
      <c r="AN399" s="3" t="s">
        <v>61</v>
      </c>
      <c r="AO399" s="3" t="s">
        <v>62</v>
      </c>
      <c r="AP399" s="3" t="s">
        <v>69</v>
      </c>
      <c r="AQ399" s="3" t="s">
        <v>61</v>
      </c>
      <c r="AR399" s="3" t="s">
        <v>48</v>
      </c>
    </row>
    <row r="400" spans="1:44" ht="30" customHeight="1">
      <c r="A400" s="3" t="s">
        <v>44</v>
      </c>
      <c r="B400" s="3" t="s">
        <v>45</v>
      </c>
      <c r="C400" s="3" t="s">
        <v>46</v>
      </c>
      <c r="D400" s="3" t="s">
        <v>108</v>
      </c>
      <c r="E400" s="3" t="s">
        <v>48</v>
      </c>
      <c r="F400" s="3" t="s">
        <v>108</v>
      </c>
      <c r="G400" s="3" t="s">
        <v>1474</v>
      </c>
      <c r="H400" s="4">
        <f>IF(DATEDIF(L400,S400,"m")&gt;12,DATEDIF(L400,S400,"y"),(DATEDIF(L400,S400,"m")/12))</f>
        <v>14</v>
      </c>
      <c r="I400" s="7">
        <f>DATEDIF(L400,S400,"M")</f>
        <v>172</v>
      </c>
      <c r="J400" s="7">
        <f>DATEDIF(L400,S400,"D")</f>
        <v>5241</v>
      </c>
      <c r="K400" s="3" t="s">
        <v>51</v>
      </c>
      <c r="L400" s="8">
        <v>39749</v>
      </c>
      <c r="M400" s="3" t="s">
        <v>45</v>
      </c>
      <c r="N400" s="3" t="s">
        <v>73</v>
      </c>
      <c r="O400" s="3" t="s">
        <v>52</v>
      </c>
      <c r="P400" s="3" t="s">
        <v>284</v>
      </c>
      <c r="Q400" s="7">
        <v>0</v>
      </c>
      <c r="R400" s="8">
        <v>44991</v>
      </c>
      <c r="S400" s="8">
        <v>44990</v>
      </c>
      <c r="T400" s="3" t="s">
        <v>54</v>
      </c>
      <c r="U400" s="3" t="s">
        <v>55</v>
      </c>
      <c r="V400" s="9"/>
      <c r="W400" s="10">
        <v>44998</v>
      </c>
      <c r="X400" s="7">
        <v>7</v>
      </c>
      <c r="Y400" s="7">
        <v>1</v>
      </c>
      <c r="Z400" s="7">
        <v>3</v>
      </c>
      <c r="AA400" s="7">
        <f>INT((S400-DATE(YEAR(S400-WEEKDAY(S400-0)+4),1,4)+WEEKDAY(DATE(YEAR(S400-WEEKDAY(S400-0)+4),1,4))+6)/7)</f>
        <v>10</v>
      </c>
      <c r="AB400" s="3" t="s">
        <v>1475</v>
      </c>
      <c r="AC400" s="7">
        <v>337</v>
      </c>
      <c r="AD400" s="7">
        <v>0</v>
      </c>
      <c r="AE400" s="7">
        <v>0</v>
      </c>
      <c r="AF400" s="3" t="s">
        <v>48</v>
      </c>
      <c r="AG400" s="7">
        <v>2023</v>
      </c>
      <c r="AH400" s="3" t="s">
        <v>112</v>
      </c>
      <c r="AI400" s="3" t="s">
        <v>113</v>
      </c>
      <c r="AJ400" s="3" t="s">
        <v>48</v>
      </c>
      <c r="AK400" s="12" t="s">
        <v>119</v>
      </c>
      <c r="AL400" s="3" t="s">
        <v>59</v>
      </c>
      <c r="AM400" s="3" t="s">
        <v>115</v>
      </c>
      <c r="AN400" s="3" t="s">
        <v>61</v>
      </c>
      <c r="AO400" s="3" t="s">
        <v>62</v>
      </c>
      <c r="AP400" s="3" t="s">
        <v>69</v>
      </c>
      <c r="AQ400" s="3" t="s">
        <v>61</v>
      </c>
      <c r="AR400" s="3" t="s">
        <v>48</v>
      </c>
    </row>
    <row r="401" spans="1:44" ht="30" customHeight="1">
      <c r="A401" s="3" t="s">
        <v>44</v>
      </c>
      <c r="B401" s="3" t="s">
        <v>45</v>
      </c>
      <c r="C401" s="3" t="s">
        <v>46</v>
      </c>
      <c r="D401" s="3" t="s">
        <v>108</v>
      </c>
      <c r="E401" s="3" t="s">
        <v>48</v>
      </c>
      <c r="F401" s="3" t="s">
        <v>108</v>
      </c>
      <c r="G401" s="3" t="s">
        <v>1569</v>
      </c>
      <c r="H401" s="4">
        <f>IF(DATEDIF(L401,S401,"m")&gt;12,DATEDIF(L401,S401,"y"),(DATEDIF(L401,S401,"m")/12))</f>
        <v>12</v>
      </c>
      <c r="I401" s="7">
        <f>DATEDIF(L401,S401,"M")</f>
        <v>146</v>
      </c>
      <c r="J401" s="7">
        <f>DATEDIF(L401,S401,"D")</f>
        <v>4467</v>
      </c>
      <c r="K401" s="3" t="s">
        <v>64</v>
      </c>
      <c r="L401" s="8">
        <v>40520</v>
      </c>
      <c r="M401" s="3" t="s">
        <v>45</v>
      </c>
      <c r="N401" s="3" t="s">
        <v>73</v>
      </c>
      <c r="O401" s="3" t="s">
        <v>52</v>
      </c>
      <c r="P401" s="3" t="s">
        <v>556</v>
      </c>
      <c r="Q401" s="7">
        <v>0</v>
      </c>
      <c r="R401" s="8">
        <v>44992</v>
      </c>
      <c r="S401" s="8">
        <v>44987</v>
      </c>
      <c r="T401" s="3" t="s">
        <v>54</v>
      </c>
      <c r="U401" s="3" t="s">
        <v>55</v>
      </c>
      <c r="V401" s="9"/>
      <c r="W401" s="10">
        <v>44998</v>
      </c>
      <c r="X401" s="7">
        <v>6</v>
      </c>
      <c r="Y401" s="7">
        <v>5</v>
      </c>
      <c r="Z401" s="7">
        <v>3</v>
      </c>
      <c r="AA401" s="7">
        <f>INT((S401-DATE(YEAR(S401-WEEKDAY(S401-0)+4),1,4)+WEEKDAY(DATE(YEAR(S401-WEEKDAY(S401-0)+4),1,4))+6)/7)</f>
        <v>9</v>
      </c>
      <c r="AB401" s="3" t="s">
        <v>1570</v>
      </c>
      <c r="AC401" s="7">
        <v>344</v>
      </c>
      <c r="AD401" s="7">
        <v>0</v>
      </c>
      <c r="AE401" s="7">
        <v>0</v>
      </c>
      <c r="AF401" s="3" t="s">
        <v>48</v>
      </c>
      <c r="AG401" s="7">
        <v>2023</v>
      </c>
      <c r="AH401" s="3" t="s">
        <v>112</v>
      </c>
      <c r="AI401" s="3" t="s">
        <v>113</v>
      </c>
      <c r="AJ401" s="3" t="s">
        <v>48</v>
      </c>
      <c r="AK401" s="12" t="s">
        <v>119</v>
      </c>
      <c r="AL401" s="3" t="s">
        <v>59</v>
      </c>
      <c r="AM401" s="3" t="s">
        <v>115</v>
      </c>
      <c r="AN401" s="3" t="s">
        <v>61</v>
      </c>
      <c r="AO401" s="3" t="s">
        <v>62</v>
      </c>
      <c r="AP401" s="3" t="s">
        <v>69</v>
      </c>
      <c r="AQ401" s="3" t="s">
        <v>61</v>
      </c>
      <c r="AR401" s="3" t="s">
        <v>48</v>
      </c>
    </row>
    <row r="402" spans="1:44" ht="30" customHeight="1">
      <c r="A402" s="3" t="s">
        <v>44</v>
      </c>
      <c r="B402" s="3" t="s">
        <v>45</v>
      </c>
      <c r="C402" s="3" t="s">
        <v>46</v>
      </c>
      <c r="D402" s="3" t="s">
        <v>108</v>
      </c>
      <c r="E402" s="3" t="s">
        <v>48</v>
      </c>
      <c r="F402" s="3" t="s">
        <v>108</v>
      </c>
      <c r="G402" s="3" t="s">
        <v>1803</v>
      </c>
      <c r="H402" s="4">
        <f>IF(DATEDIF(L402,S402,"m")&gt;12,DATEDIF(L402,S402,"y"),(DATEDIF(L402,S402,"m")/12))</f>
        <v>6</v>
      </c>
      <c r="I402" s="7">
        <f>DATEDIF(L402,S402,"M")</f>
        <v>73</v>
      </c>
      <c r="J402" s="7">
        <f>DATEDIF(L402,S402,"D")</f>
        <v>2244</v>
      </c>
      <c r="K402" s="3" t="s">
        <v>51</v>
      </c>
      <c r="L402" s="8">
        <v>42750</v>
      </c>
      <c r="M402" s="3" t="s">
        <v>45</v>
      </c>
      <c r="N402" s="3" t="s">
        <v>73</v>
      </c>
      <c r="O402" s="3" t="s">
        <v>52</v>
      </c>
      <c r="P402" s="3" t="s">
        <v>556</v>
      </c>
      <c r="Q402" s="7">
        <v>0</v>
      </c>
      <c r="R402" s="8">
        <v>44995</v>
      </c>
      <c r="S402" s="8">
        <v>44994</v>
      </c>
      <c r="T402" s="3" t="s">
        <v>54</v>
      </c>
      <c r="U402" s="3" t="s">
        <v>55</v>
      </c>
      <c r="V402" s="9"/>
      <c r="W402" s="10">
        <v>44998</v>
      </c>
      <c r="X402" s="7">
        <v>3</v>
      </c>
      <c r="Y402" s="7">
        <v>1</v>
      </c>
      <c r="Z402" s="7">
        <v>3</v>
      </c>
      <c r="AA402" s="7">
        <f>INT((S402-DATE(YEAR(S402-WEEKDAY(S402-0)+4),1,4)+WEEKDAY(DATE(YEAR(S402-WEEKDAY(S402-0)+4),1,4))+6)/7)</f>
        <v>10</v>
      </c>
      <c r="AB402" s="3" t="s">
        <v>1804</v>
      </c>
      <c r="AC402" s="7">
        <v>356</v>
      </c>
      <c r="AD402" s="7">
        <v>0</v>
      </c>
      <c r="AE402" s="7">
        <v>0</v>
      </c>
      <c r="AF402" s="3" t="s">
        <v>48</v>
      </c>
      <c r="AG402" s="7">
        <v>2023</v>
      </c>
      <c r="AH402" s="3" t="s">
        <v>112</v>
      </c>
      <c r="AI402" s="3" t="s">
        <v>113</v>
      </c>
      <c r="AJ402" s="3" t="s">
        <v>48</v>
      </c>
      <c r="AK402" s="12" t="s">
        <v>119</v>
      </c>
      <c r="AL402" s="3" t="s">
        <v>59</v>
      </c>
      <c r="AM402" s="3" t="s">
        <v>115</v>
      </c>
      <c r="AN402" s="3" t="s">
        <v>61</v>
      </c>
      <c r="AO402" s="3" t="s">
        <v>62</v>
      </c>
      <c r="AP402" s="3" t="s">
        <v>69</v>
      </c>
      <c r="AQ402" s="3" t="s">
        <v>61</v>
      </c>
      <c r="AR402" s="3" t="s">
        <v>48</v>
      </c>
    </row>
    <row r="403" spans="1:44" ht="30" customHeight="1">
      <c r="A403" s="3" t="s">
        <v>44</v>
      </c>
      <c r="B403" s="3" t="s">
        <v>45</v>
      </c>
      <c r="C403" s="3" t="s">
        <v>46</v>
      </c>
      <c r="D403" s="3" t="s">
        <v>108</v>
      </c>
      <c r="E403" s="3" t="s">
        <v>48</v>
      </c>
      <c r="F403" s="3" t="s">
        <v>108</v>
      </c>
      <c r="G403" s="3" t="s">
        <v>2121</v>
      </c>
      <c r="H403" s="4">
        <f>IF(DATEDIF(L403,S403,"m")&gt;12,DATEDIF(L403,S403,"y"),(DATEDIF(L403,S403,"m")/12))</f>
        <v>9</v>
      </c>
      <c r="I403" s="7">
        <f>DATEDIF(L403,S403,"M")</f>
        <v>110</v>
      </c>
      <c r="J403" s="7">
        <f>DATEDIF(L403,S403,"D")</f>
        <v>3362</v>
      </c>
      <c r="K403" s="3" t="s">
        <v>51</v>
      </c>
      <c r="L403" s="8">
        <v>41635</v>
      </c>
      <c r="M403" s="3" t="s">
        <v>45</v>
      </c>
      <c r="N403" s="3" t="s">
        <v>73</v>
      </c>
      <c r="O403" s="3" t="s">
        <v>52</v>
      </c>
      <c r="P403" s="3" t="s">
        <v>2122</v>
      </c>
      <c r="Q403" s="7">
        <v>0</v>
      </c>
      <c r="R403" s="8">
        <v>44998</v>
      </c>
      <c r="S403" s="8">
        <v>44997</v>
      </c>
      <c r="T403" s="3" t="s">
        <v>54</v>
      </c>
      <c r="U403" s="3" t="s">
        <v>55</v>
      </c>
      <c r="V403" s="9"/>
      <c r="W403" s="10">
        <v>45005</v>
      </c>
      <c r="X403" s="7">
        <v>7</v>
      </c>
      <c r="Y403" s="7">
        <v>1</v>
      </c>
      <c r="Z403" s="7">
        <v>3</v>
      </c>
      <c r="AA403" s="7">
        <f>INT((S403-DATE(YEAR(S403-WEEKDAY(S403-0)+4),1,4)+WEEKDAY(DATE(YEAR(S403-WEEKDAY(S403-0)+4),1,4))+6)/7)</f>
        <v>11</v>
      </c>
      <c r="AB403" s="3" t="s">
        <v>2123</v>
      </c>
      <c r="AC403" s="7">
        <v>366</v>
      </c>
      <c r="AD403" s="7">
        <v>0</v>
      </c>
      <c r="AE403" s="7">
        <v>0</v>
      </c>
      <c r="AF403" s="3" t="s">
        <v>48</v>
      </c>
      <c r="AG403" s="7">
        <v>2023</v>
      </c>
      <c r="AH403" s="3" t="s">
        <v>112</v>
      </c>
      <c r="AI403" s="3" t="s">
        <v>113</v>
      </c>
      <c r="AJ403" s="3" t="s">
        <v>48</v>
      </c>
      <c r="AK403" s="12" t="s">
        <v>119</v>
      </c>
      <c r="AL403" s="3" t="s">
        <v>59</v>
      </c>
      <c r="AM403" s="3" t="s">
        <v>115</v>
      </c>
      <c r="AN403" s="3" t="s">
        <v>61</v>
      </c>
      <c r="AO403" s="3" t="s">
        <v>62</v>
      </c>
      <c r="AP403" s="3" t="s">
        <v>69</v>
      </c>
      <c r="AQ403" s="3" t="s">
        <v>61</v>
      </c>
      <c r="AR403" s="3" t="s">
        <v>48</v>
      </c>
    </row>
    <row r="404" spans="1:44" ht="30" customHeight="1">
      <c r="A404" s="3" t="s">
        <v>44</v>
      </c>
      <c r="B404" s="3" t="s">
        <v>45</v>
      </c>
      <c r="C404" s="3" t="s">
        <v>46</v>
      </c>
      <c r="D404" s="3" t="s">
        <v>108</v>
      </c>
      <c r="E404" s="3" t="s">
        <v>48</v>
      </c>
      <c r="F404" s="3" t="s">
        <v>108</v>
      </c>
      <c r="G404" s="3" t="s">
        <v>1947</v>
      </c>
      <c r="H404" s="4">
        <f>IF(DATEDIF(L404,S404,"m")&gt;12,DATEDIF(L404,S404,"y"),(DATEDIF(L404,S404,"m")/12))</f>
        <v>6</v>
      </c>
      <c r="I404" s="7">
        <f>DATEDIF(L404,S404,"M")</f>
        <v>76</v>
      </c>
      <c r="J404" s="7">
        <f>DATEDIF(L404,S404,"D")</f>
        <v>2317</v>
      </c>
      <c r="K404" s="3" t="s">
        <v>51</v>
      </c>
      <c r="L404" s="8">
        <v>42683</v>
      </c>
      <c r="M404" s="3" t="s">
        <v>45</v>
      </c>
      <c r="N404" s="3" t="s">
        <v>73</v>
      </c>
      <c r="O404" s="3" t="s">
        <v>52</v>
      </c>
      <c r="P404" s="3" t="s">
        <v>284</v>
      </c>
      <c r="Q404" s="7">
        <v>0</v>
      </c>
      <c r="R404" s="8">
        <v>45007</v>
      </c>
      <c r="S404" s="8">
        <v>45000</v>
      </c>
      <c r="T404" s="3" t="s">
        <v>54</v>
      </c>
      <c r="U404" s="3" t="s">
        <v>55</v>
      </c>
      <c r="V404" s="9"/>
      <c r="W404" s="10">
        <v>45012</v>
      </c>
      <c r="X404" s="7">
        <v>5</v>
      </c>
      <c r="Y404" s="7">
        <v>7</v>
      </c>
      <c r="Z404" s="7">
        <v>3</v>
      </c>
      <c r="AA404" s="7">
        <f>INT((S404-DATE(YEAR(S404-WEEKDAY(S404-0)+4),1,4)+WEEKDAY(DATE(YEAR(S404-WEEKDAY(S404-0)+4),1,4))+6)/7)</f>
        <v>11</v>
      </c>
      <c r="AB404" s="3" t="s">
        <v>1948</v>
      </c>
      <c r="AC404" s="7">
        <v>376</v>
      </c>
      <c r="AD404" s="7">
        <v>0</v>
      </c>
      <c r="AE404" s="7">
        <v>0</v>
      </c>
      <c r="AF404" s="3" t="s">
        <v>48</v>
      </c>
      <c r="AG404" s="7">
        <v>2023</v>
      </c>
      <c r="AH404" s="3" t="s">
        <v>112</v>
      </c>
      <c r="AI404" s="3" t="s">
        <v>113</v>
      </c>
      <c r="AJ404" s="3" t="s">
        <v>48</v>
      </c>
      <c r="AK404" s="12" t="s">
        <v>119</v>
      </c>
      <c r="AL404" s="3" t="s">
        <v>59</v>
      </c>
      <c r="AM404" s="3" t="s">
        <v>115</v>
      </c>
      <c r="AN404" s="3" t="s">
        <v>61</v>
      </c>
      <c r="AO404" s="3" t="s">
        <v>62</v>
      </c>
      <c r="AP404" s="3" t="s">
        <v>69</v>
      </c>
      <c r="AQ404" s="3" t="s">
        <v>61</v>
      </c>
      <c r="AR404" s="3" t="s">
        <v>48</v>
      </c>
    </row>
    <row r="405" spans="1:44" ht="30" customHeight="1">
      <c r="A405" s="3" t="s">
        <v>44</v>
      </c>
      <c r="B405" s="3" t="s">
        <v>45</v>
      </c>
      <c r="C405" s="3" t="s">
        <v>46</v>
      </c>
      <c r="D405" s="3" t="s">
        <v>108</v>
      </c>
      <c r="E405" s="3" t="s">
        <v>48</v>
      </c>
      <c r="F405" s="3" t="s">
        <v>108</v>
      </c>
      <c r="G405" s="3" t="s">
        <v>2207</v>
      </c>
      <c r="H405" s="5">
        <f>IF(DATEDIF(L405,S405,"m")&gt;12,DATEDIF(L405,S405,"y"),(DATEDIF(L405,S405,"m")/12))</f>
        <v>0.5</v>
      </c>
      <c r="I405" s="7">
        <f>DATEDIF(L405,S405,"M")</f>
        <v>6</v>
      </c>
      <c r="J405" s="7">
        <f>DATEDIF(L405,S405,"D")</f>
        <v>204</v>
      </c>
      <c r="K405" s="3" t="s">
        <v>64</v>
      </c>
      <c r="L405" s="8">
        <v>44801</v>
      </c>
      <c r="M405" s="3" t="s">
        <v>45</v>
      </c>
      <c r="N405" s="3" t="s">
        <v>73</v>
      </c>
      <c r="O405" s="3" t="s">
        <v>52</v>
      </c>
      <c r="P405" s="3" t="s">
        <v>556</v>
      </c>
      <c r="Q405" s="7">
        <v>0</v>
      </c>
      <c r="R405" s="8">
        <v>45008</v>
      </c>
      <c r="S405" s="8">
        <v>45005</v>
      </c>
      <c r="T405" s="3" t="s">
        <v>54</v>
      </c>
      <c r="U405" s="3" t="s">
        <v>55</v>
      </c>
      <c r="V405" s="9"/>
      <c r="W405" s="10">
        <v>45012</v>
      </c>
      <c r="X405" s="7">
        <v>4</v>
      </c>
      <c r="Y405" s="7">
        <v>3</v>
      </c>
      <c r="Z405" s="7">
        <v>3</v>
      </c>
      <c r="AA405" s="7">
        <f>INT((S405-DATE(YEAR(S405-WEEKDAY(S405-0)+4),1,4)+WEEKDAY(DATE(YEAR(S405-WEEKDAY(S405-0)+4),1,4))+6)/7)</f>
        <v>12</v>
      </c>
      <c r="AB405" s="3" t="s">
        <v>2208</v>
      </c>
      <c r="AC405" s="7">
        <v>383</v>
      </c>
      <c r="AD405" s="7">
        <v>0</v>
      </c>
      <c r="AE405" s="7">
        <v>0</v>
      </c>
      <c r="AF405" s="3" t="s">
        <v>48</v>
      </c>
      <c r="AG405" s="7">
        <v>2023</v>
      </c>
      <c r="AH405" s="3" t="s">
        <v>112</v>
      </c>
      <c r="AI405" s="3" t="s">
        <v>113</v>
      </c>
      <c r="AJ405" s="3" t="s">
        <v>48</v>
      </c>
      <c r="AK405" s="12" t="s">
        <v>119</v>
      </c>
      <c r="AL405" s="3" t="s">
        <v>59</v>
      </c>
      <c r="AM405" s="3" t="s">
        <v>115</v>
      </c>
      <c r="AN405" s="3" t="s">
        <v>61</v>
      </c>
      <c r="AO405" s="3" t="s">
        <v>62</v>
      </c>
      <c r="AP405" s="3" t="s">
        <v>69</v>
      </c>
      <c r="AQ405" s="3" t="s">
        <v>61</v>
      </c>
      <c r="AR405" s="3" t="s">
        <v>48</v>
      </c>
    </row>
    <row r="406" spans="1:44" ht="30" customHeight="1">
      <c r="A406" s="3" t="s">
        <v>44</v>
      </c>
      <c r="B406" s="3" t="s">
        <v>45</v>
      </c>
      <c r="C406" s="3" t="s">
        <v>46</v>
      </c>
      <c r="D406" s="3" t="s">
        <v>108</v>
      </c>
      <c r="E406" s="3" t="s">
        <v>48</v>
      </c>
      <c r="F406" s="3" t="s">
        <v>108</v>
      </c>
      <c r="G406" s="3" t="s">
        <v>555</v>
      </c>
      <c r="H406" s="4">
        <f>IF(DATEDIF(L406,S406,"m")&gt;12,DATEDIF(L406,S406,"y"),(DATEDIF(L406,S406,"m")/12))</f>
        <v>3</v>
      </c>
      <c r="I406" s="7">
        <f>DATEDIF(L406,S406,"M")</f>
        <v>39</v>
      </c>
      <c r="J406" s="7">
        <f>DATEDIF(L406,S406,"D")</f>
        <v>1206</v>
      </c>
      <c r="K406" s="3" t="s">
        <v>51</v>
      </c>
      <c r="L406" s="8">
        <v>43812</v>
      </c>
      <c r="M406" s="3" t="s">
        <v>45</v>
      </c>
      <c r="N406" s="3" t="s">
        <v>73</v>
      </c>
      <c r="O406" s="3" t="s">
        <v>52</v>
      </c>
      <c r="P406" s="3" t="s">
        <v>556</v>
      </c>
      <c r="Q406" s="7">
        <v>0</v>
      </c>
      <c r="R406" s="8">
        <v>45019</v>
      </c>
      <c r="S406" s="8">
        <v>45018</v>
      </c>
      <c r="T406" s="3" t="s">
        <v>54</v>
      </c>
      <c r="U406" s="3" t="s">
        <v>55</v>
      </c>
      <c r="V406" s="9"/>
      <c r="W406" s="10">
        <v>45021</v>
      </c>
      <c r="X406" s="7">
        <v>2</v>
      </c>
      <c r="Y406" s="7">
        <v>1</v>
      </c>
      <c r="Z406" s="7">
        <v>4</v>
      </c>
      <c r="AA406" s="7">
        <f>INT((S406-DATE(YEAR(S406-WEEKDAY(S406-0)+4),1,4)+WEEKDAY(DATE(YEAR(S406-WEEKDAY(S406-0)+4),1,4))+6)/7)</f>
        <v>14</v>
      </c>
      <c r="AB406" s="3" t="s">
        <v>557</v>
      </c>
      <c r="AC406" s="7">
        <v>435</v>
      </c>
      <c r="AD406" s="7">
        <v>0</v>
      </c>
      <c r="AE406" s="7">
        <v>0</v>
      </c>
      <c r="AF406" s="3" t="s">
        <v>48</v>
      </c>
      <c r="AG406" s="7">
        <v>2023</v>
      </c>
      <c r="AH406" s="3" t="s">
        <v>112</v>
      </c>
      <c r="AI406" s="3" t="s">
        <v>113</v>
      </c>
      <c r="AJ406" s="3" t="s">
        <v>48</v>
      </c>
      <c r="AK406" s="12" t="s">
        <v>119</v>
      </c>
      <c r="AL406" s="3" t="s">
        <v>59</v>
      </c>
      <c r="AM406" s="3" t="s">
        <v>115</v>
      </c>
      <c r="AN406" s="3" t="s">
        <v>61</v>
      </c>
      <c r="AO406" s="3" t="s">
        <v>62</v>
      </c>
      <c r="AP406" s="3" t="s">
        <v>61</v>
      </c>
      <c r="AQ406" s="3" t="s">
        <v>61</v>
      </c>
      <c r="AR406" s="3" t="s">
        <v>48</v>
      </c>
    </row>
    <row r="407" spans="1:44" ht="30" customHeight="1">
      <c r="A407" s="3" t="s">
        <v>44</v>
      </c>
      <c r="B407" s="3" t="s">
        <v>45</v>
      </c>
      <c r="C407" s="3" t="s">
        <v>46</v>
      </c>
      <c r="D407" s="3" t="s">
        <v>70</v>
      </c>
      <c r="E407" s="3" t="s">
        <v>48</v>
      </c>
      <c r="F407" s="3" t="s">
        <v>71</v>
      </c>
      <c r="G407" s="3" t="s">
        <v>1507</v>
      </c>
      <c r="H407" s="4">
        <f>IF(DATEDIF(L407,S407,"m")&gt;12,DATEDIF(L407,S407,"y"),(DATEDIF(L407,S407,"m")/12))</f>
        <v>17</v>
      </c>
      <c r="I407" s="7">
        <f>DATEDIF(L407,S407,"M")</f>
        <v>209</v>
      </c>
      <c r="J407" s="7">
        <f>DATEDIF(L407,S407,"D")</f>
        <v>6388</v>
      </c>
      <c r="K407" s="3" t="s">
        <v>51</v>
      </c>
      <c r="L407" s="8">
        <v>38581</v>
      </c>
      <c r="M407" s="3" t="s">
        <v>45</v>
      </c>
      <c r="N407" s="3" t="s">
        <v>329</v>
      </c>
      <c r="O407" s="3" t="s">
        <v>52</v>
      </c>
      <c r="P407" s="3" t="s">
        <v>176</v>
      </c>
      <c r="Q407" s="7">
        <v>1</v>
      </c>
      <c r="R407" s="8">
        <v>44970</v>
      </c>
      <c r="S407" s="8">
        <v>44969</v>
      </c>
      <c r="T407" s="3" t="s">
        <v>54</v>
      </c>
      <c r="U407" s="3" t="s">
        <v>55</v>
      </c>
      <c r="V407" s="9"/>
      <c r="W407" s="10">
        <v>44971</v>
      </c>
      <c r="X407" s="7">
        <v>1</v>
      </c>
      <c r="Y407" s="7">
        <v>1</v>
      </c>
      <c r="Z407" s="7">
        <v>2</v>
      </c>
      <c r="AA407" s="7">
        <f>INT((S407-DATE(YEAR(S407-WEEKDAY(S407-0)+4),1,4)+WEEKDAY(DATE(YEAR(S407-WEEKDAY(S407-0)+4),1,4))+6)/7)</f>
        <v>7</v>
      </c>
      <c r="AB407" s="3" t="s">
        <v>1508</v>
      </c>
      <c r="AC407" s="7">
        <v>669</v>
      </c>
      <c r="AD407" s="7">
        <v>0</v>
      </c>
      <c r="AE407" s="7">
        <v>1</v>
      </c>
      <c r="AF407" s="3" t="s">
        <v>48</v>
      </c>
      <c r="AG407" s="7">
        <v>2023</v>
      </c>
      <c r="AH407" s="3" t="s">
        <v>76</v>
      </c>
      <c r="AI407" s="3" t="s">
        <v>166</v>
      </c>
      <c r="AJ407" s="3" t="s">
        <v>78</v>
      </c>
      <c r="AK407" s="3" t="s">
        <v>162</v>
      </c>
      <c r="AL407" s="3" t="s">
        <v>59</v>
      </c>
      <c r="AM407" s="3" t="s">
        <v>60</v>
      </c>
      <c r="AN407" s="3" t="s">
        <v>61</v>
      </c>
      <c r="AO407" s="3" t="s">
        <v>62</v>
      </c>
      <c r="AP407" s="3" t="s">
        <v>69</v>
      </c>
      <c r="AQ407" s="3" t="s">
        <v>61</v>
      </c>
      <c r="AR407" s="3" t="s">
        <v>48</v>
      </c>
    </row>
    <row r="408" spans="1:44" ht="30" customHeight="1">
      <c r="A408" s="3" t="s">
        <v>44</v>
      </c>
      <c r="B408" s="3" t="s">
        <v>45</v>
      </c>
      <c r="C408" s="3" t="s">
        <v>46</v>
      </c>
      <c r="D408" s="3" t="s">
        <v>108</v>
      </c>
      <c r="E408" s="3" t="s">
        <v>48</v>
      </c>
      <c r="F408" s="3" t="s">
        <v>108</v>
      </c>
      <c r="G408" s="3" t="s">
        <v>558</v>
      </c>
      <c r="H408" s="4">
        <f>IF(DATEDIF(L408,S408,"m")&gt;12,DATEDIF(L408,S408,"y"),(DATEDIF(L408,S408,"m")/12))</f>
        <v>1</v>
      </c>
      <c r="I408" s="7">
        <f>DATEDIF(L408,S408,"M")</f>
        <v>14</v>
      </c>
      <c r="J408" s="7">
        <f>DATEDIF(L408,S408,"D")</f>
        <v>439</v>
      </c>
      <c r="K408" s="3" t="s">
        <v>51</v>
      </c>
      <c r="L408" s="8">
        <v>44578</v>
      </c>
      <c r="M408" s="3" t="s">
        <v>45</v>
      </c>
      <c r="N408" s="3" t="s">
        <v>73</v>
      </c>
      <c r="O408" s="3" t="s">
        <v>52</v>
      </c>
      <c r="P408" s="3" t="s">
        <v>174</v>
      </c>
      <c r="Q408" s="7">
        <v>0</v>
      </c>
      <c r="R408" s="8">
        <v>45020</v>
      </c>
      <c r="S408" s="8">
        <v>45017</v>
      </c>
      <c r="T408" s="3" t="s">
        <v>54</v>
      </c>
      <c r="U408" s="3" t="s">
        <v>55</v>
      </c>
      <c r="V408" s="9"/>
      <c r="W408" s="10">
        <v>45021</v>
      </c>
      <c r="X408" s="7">
        <v>1</v>
      </c>
      <c r="Y408" s="7">
        <v>3</v>
      </c>
      <c r="Z408" s="7">
        <v>4</v>
      </c>
      <c r="AA408" s="7">
        <f>INT((S408-DATE(YEAR(S408-WEEKDAY(S408-0)+4),1,4)+WEEKDAY(DATE(YEAR(S408-WEEKDAY(S408-0)+4),1,4))+6)/7)</f>
        <v>13</v>
      </c>
      <c r="AB408" s="3" t="s">
        <v>559</v>
      </c>
      <c r="AC408" s="7">
        <v>442</v>
      </c>
      <c r="AD408" s="7">
        <v>0</v>
      </c>
      <c r="AE408" s="7">
        <v>0</v>
      </c>
      <c r="AF408" s="3" t="s">
        <v>48</v>
      </c>
      <c r="AG408" s="7">
        <v>2023</v>
      </c>
      <c r="AH408" s="3" t="s">
        <v>112</v>
      </c>
      <c r="AI408" s="3" t="s">
        <v>113</v>
      </c>
      <c r="AJ408" s="3" t="s">
        <v>48</v>
      </c>
      <c r="AK408" s="12" t="s">
        <v>119</v>
      </c>
      <c r="AL408" s="3" t="s">
        <v>59</v>
      </c>
      <c r="AM408" s="3" t="s">
        <v>115</v>
      </c>
      <c r="AN408" s="3" t="s">
        <v>61</v>
      </c>
      <c r="AO408" s="3" t="s">
        <v>62</v>
      </c>
      <c r="AP408" s="3" t="s">
        <v>61</v>
      </c>
      <c r="AQ408" s="3" t="s">
        <v>61</v>
      </c>
      <c r="AR408" s="3" t="s">
        <v>48</v>
      </c>
    </row>
    <row r="409" spans="1:44" ht="30" customHeight="1">
      <c r="A409" s="3" t="s">
        <v>44</v>
      </c>
      <c r="B409" s="3" t="s">
        <v>45</v>
      </c>
      <c r="C409" s="3" t="s">
        <v>46</v>
      </c>
      <c r="D409" s="3" t="s">
        <v>108</v>
      </c>
      <c r="E409" s="3" t="s">
        <v>48</v>
      </c>
      <c r="F409" s="3" t="s">
        <v>108</v>
      </c>
      <c r="G409" s="3" t="s">
        <v>1418</v>
      </c>
      <c r="H409" s="5">
        <f>IF(DATEDIF(L409,S409,"m")&gt;12,DATEDIF(L409,S409,"y"),(DATEDIF(L409,S409,"m")/12))</f>
        <v>0.75</v>
      </c>
      <c r="I409" s="7">
        <f>DATEDIF(L409,S409,"M")</f>
        <v>9</v>
      </c>
      <c r="J409" s="7">
        <f>DATEDIF(L409,S409,"D")</f>
        <v>275</v>
      </c>
      <c r="K409" s="3" t="s">
        <v>51</v>
      </c>
      <c r="L409" s="8">
        <v>44742</v>
      </c>
      <c r="M409" s="3" t="s">
        <v>45</v>
      </c>
      <c r="N409" s="3" t="s">
        <v>73</v>
      </c>
      <c r="O409" s="3" t="s">
        <v>52</v>
      </c>
      <c r="P409" s="3" t="s">
        <v>284</v>
      </c>
      <c r="Q409" s="7">
        <v>0</v>
      </c>
      <c r="R409" s="8">
        <v>45020</v>
      </c>
      <c r="S409" s="8">
        <v>45017</v>
      </c>
      <c r="T409" s="3" t="s">
        <v>54</v>
      </c>
      <c r="U409" s="3" t="s">
        <v>55</v>
      </c>
      <c r="V409" s="9"/>
      <c r="W409" s="10">
        <v>45021</v>
      </c>
      <c r="X409" s="7">
        <v>1</v>
      </c>
      <c r="Y409" s="7">
        <v>3</v>
      </c>
      <c r="Z409" s="7">
        <v>4</v>
      </c>
      <c r="AA409" s="7">
        <f>INT((S409-DATE(YEAR(S409-WEEKDAY(S409-0)+4),1,4)+WEEKDAY(DATE(YEAR(S409-WEEKDAY(S409-0)+4),1,4))+6)/7)</f>
        <v>13</v>
      </c>
      <c r="AB409" s="3" t="s">
        <v>1419</v>
      </c>
      <c r="AC409" s="7">
        <v>439</v>
      </c>
      <c r="AD409" s="7">
        <v>0</v>
      </c>
      <c r="AE409" s="7">
        <v>0</v>
      </c>
      <c r="AF409" s="3" t="s">
        <v>48</v>
      </c>
      <c r="AG409" s="7">
        <v>2023</v>
      </c>
      <c r="AH409" s="3" t="s">
        <v>112</v>
      </c>
      <c r="AI409" s="3" t="s">
        <v>113</v>
      </c>
      <c r="AJ409" s="3" t="s">
        <v>48</v>
      </c>
      <c r="AK409" s="12" t="s">
        <v>119</v>
      </c>
      <c r="AL409" s="3" t="s">
        <v>59</v>
      </c>
      <c r="AM409" s="3" t="s">
        <v>115</v>
      </c>
      <c r="AN409" s="3" t="s">
        <v>61</v>
      </c>
      <c r="AO409" s="3" t="s">
        <v>62</v>
      </c>
      <c r="AP409" s="3" t="s">
        <v>61</v>
      </c>
      <c r="AQ409" s="3" t="s">
        <v>61</v>
      </c>
      <c r="AR409" s="3" t="s">
        <v>48</v>
      </c>
    </row>
    <row r="410" spans="1:44" ht="30" customHeight="1">
      <c r="A410" s="3" t="s">
        <v>44</v>
      </c>
      <c r="B410" s="3" t="s">
        <v>45</v>
      </c>
      <c r="C410" s="3" t="s">
        <v>46</v>
      </c>
      <c r="D410" s="3" t="s">
        <v>70</v>
      </c>
      <c r="E410" s="3" t="s">
        <v>48</v>
      </c>
      <c r="F410" s="3" t="s">
        <v>71</v>
      </c>
      <c r="G410" s="3" t="s">
        <v>1562</v>
      </c>
      <c r="H410" s="4">
        <f>IF(DATEDIF(L410,S410,"m")&gt;12,DATEDIF(L410,S410,"y"),(DATEDIF(L410,S410,"m")/12))</f>
        <v>3</v>
      </c>
      <c r="I410" s="7">
        <f>DATEDIF(L410,S410,"M")</f>
        <v>41</v>
      </c>
      <c r="J410" s="7">
        <f>DATEDIF(L410,S410,"D")</f>
        <v>1266</v>
      </c>
      <c r="K410" s="3" t="s">
        <v>51</v>
      </c>
      <c r="L410" s="8">
        <v>43702</v>
      </c>
      <c r="M410" s="3" t="s">
        <v>45</v>
      </c>
      <c r="N410" s="3" t="s">
        <v>329</v>
      </c>
      <c r="O410" s="3" t="s">
        <v>52</v>
      </c>
      <c r="P410" s="3" t="s">
        <v>137</v>
      </c>
      <c r="Q410" s="7">
        <v>1</v>
      </c>
      <c r="R410" s="8">
        <v>44969</v>
      </c>
      <c r="S410" s="8">
        <v>44968</v>
      </c>
      <c r="T410" s="3" t="s">
        <v>54</v>
      </c>
      <c r="U410" s="3" t="s">
        <v>55</v>
      </c>
      <c r="V410" s="9"/>
      <c r="W410" s="10">
        <v>44971</v>
      </c>
      <c r="X410" s="7">
        <v>2</v>
      </c>
      <c r="Y410" s="7">
        <v>1</v>
      </c>
      <c r="Z410" s="7">
        <v>2</v>
      </c>
      <c r="AA410" s="7">
        <f>INT((S410-DATE(YEAR(S410-WEEKDAY(S410-0)+4),1,4)+WEEKDAY(DATE(YEAR(S410-WEEKDAY(S410-0)+4),1,4))+6)/7)</f>
        <v>6</v>
      </c>
      <c r="AB410" s="3" t="s">
        <v>1563</v>
      </c>
      <c r="AC410" s="7">
        <v>666</v>
      </c>
      <c r="AD410" s="7">
        <v>0</v>
      </c>
      <c r="AE410" s="7">
        <v>1</v>
      </c>
      <c r="AF410" s="3" t="s">
        <v>48</v>
      </c>
      <c r="AG410" s="7">
        <v>2023</v>
      </c>
      <c r="AH410" s="3" t="s">
        <v>76</v>
      </c>
      <c r="AI410" s="3" t="s">
        <v>166</v>
      </c>
      <c r="AJ410" s="3" t="s">
        <v>78</v>
      </c>
      <c r="AK410" s="3" t="s">
        <v>1564</v>
      </c>
      <c r="AL410" s="3" t="s">
        <v>59</v>
      </c>
      <c r="AM410" s="3" t="s">
        <v>60</v>
      </c>
      <c r="AN410" s="3" t="s">
        <v>61</v>
      </c>
      <c r="AO410" s="3" t="s">
        <v>62</v>
      </c>
      <c r="AP410" s="3" t="s">
        <v>69</v>
      </c>
      <c r="AQ410" s="3" t="s">
        <v>61</v>
      </c>
      <c r="AR410" s="3" t="s">
        <v>48</v>
      </c>
    </row>
    <row r="411" spans="1:44" ht="30" customHeight="1">
      <c r="A411" s="3" t="s">
        <v>44</v>
      </c>
      <c r="B411" s="3" t="s">
        <v>45</v>
      </c>
      <c r="C411" s="3" t="s">
        <v>46</v>
      </c>
      <c r="D411" s="3" t="s">
        <v>108</v>
      </c>
      <c r="E411" s="3" t="s">
        <v>48</v>
      </c>
      <c r="F411" s="3" t="s">
        <v>108</v>
      </c>
      <c r="G411" s="3" t="s">
        <v>1497</v>
      </c>
      <c r="H411" s="5">
        <f>IF(DATEDIF(L411,S411,"m")&gt;12,DATEDIF(L411,S411,"y"),(DATEDIF(L411,S411,"m")/12))</f>
        <v>0.41666666666666669</v>
      </c>
      <c r="I411" s="7">
        <f>DATEDIF(L411,S411,"M")</f>
        <v>5</v>
      </c>
      <c r="J411" s="7">
        <f>DATEDIF(L411,S411,"D")</f>
        <v>166</v>
      </c>
      <c r="K411" s="3" t="s">
        <v>51</v>
      </c>
      <c r="L411" s="8">
        <v>44864</v>
      </c>
      <c r="M411" s="3" t="s">
        <v>45</v>
      </c>
      <c r="N411" s="3" t="s">
        <v>73</v>
      </c>
      <c r="O411" s="3" t="s">
        <v>52</v>
      </c>
      <c r="P411" s="3" t="s">
        <v>579</v>
      </c>
      <c r="Q411" s="7">
        <v>0</v>
      </c>
      <c r="R411" s="8">
        <v>45034</v>
      </c>
      <c r="S411" s="8">
        <v>45030</v>
      </c>
      <c r="T411" s="3" t="s">
        <v>54</v>
      </c>
      <c r="U411" s="3" t="s">
        <v>55</v>
      </c>
      <c r="V411" s="9"/>
      <c r="W411" s="10">
        <v>45036</v>
      </c>
      <c r="X411" s="7">
        <v>2</v>
      </c>
      <c r="Y411" s="7">
        <v>4</v>
      </c>
      <c r="Z411" s="7">
        <v>4</v>
      </c>
      <c r="AA411" s="7">
        <f>INT((S411-DATE(YEAR(S411-WEEKDAY(S411-0)+4),1,4)+WEEKDAY(DATE(YEAR(S411-WEEKDAY(S411-0)+4),1,4))+6)/7)</f>
        <v>15</v>
      </c>
      <c r="AB411" s="3" t="s">
        <v>1498</v>
      </c>
      <c r="AC411" s="7">
        <v>484</v>
      </c>
      <c r="AD411" s="7">
        <v>0</v>
      </c>
      <c r="AE411" s="7">
        <v>0</v>
      </c>
      <c r="AF411" s="3" t="s">
        <v>48</v>
      </c>
      <c r="AG411" s="7">
        <v>2023</v>
      </c>
      <c r="AH411" s="3" t="s">
        <v>112</v>
      </c>
      <c r="AI411" s="3" t="s">
        <v>48</v>
      </c>
      <c r="AJ411" s="3" t="s">
        <v>48</v>
      </c>
      <c r="AK411" s="12" t="s">
        <v>119</v>
      </c>
      <c r="AL411" s="3" t="s">
        <v>59</v>
      </c>
      <c r="AM411" s="3" t="s">
        <v>115</v>
      </c>
      <c r="AN411" s="3" t="s">
        <v>61</v>
      </c>
      <c r="AO411" s="3" t="s">
        <v>62</v>
      </c>
      <c r="AP411" s="3" t="s">
        <v>61</v>
      </c>
      <c r="AQ411" s="3" t="s">
        <v>61</v>
      </c>
      <c r="AR411" s="3" t="s">
        <v>1499</v>
      </c>
    </row>
    <row r="412" spans="1:44" ht="30" customHeight="1">
      <c r="A412" s="3" t="s">
        <v>44</v>
      </c>
      <c r="B412" s="3" t="s">
        <v>45</v>
      </c>
      <c r="C412" s="3" t="s">
        <v>46</v>
      </c>
      <c r="D412" s="3" t="s">
        <v>108</v>
      </c>
      <c r="E412" s="3" t="s">
        <v>48</v>
      </c>
      <c r="F412" s="3" t="s">
        <v>108</v>
      </c>
      <c r="G412" s="3" t="s">
        <v>1815</v>
      </c>
      <c r="H412" s="4">
        <f>IF(DATEDIF(L412,S412,"m")&gt;12,DATEDIF(L412,S412,"y"),(DATEDIF(L412,S412,"m")/12))</f>
        <v>1</v>
      </c>
      <c r="I412" s="7">
        <f>DATEDIF(L412,S412,"M")</f>
        <v>16</v>
      </c>
      <c r="J412" s="7">
        <f>DATEDIF(L412,S412,"D")</f>
        <v>511</v>
      </c>
      <c r="K412" s="3" t="s">
        <v>51</v>
      </c>
      <c r="L412" s="8">
        <v>44520</v>
      </c>
      <c r="M412" s="3" t="s">
        <v>45</v>
      </c>
      <c r="N412" s="3" t="s">
        <v>73</v>
      </c>
      <c r="O412" s="3" t="s">
        <v>52</v>
      </c>
      <c r="P412" s="3" t="s">
        <v>579</v>
      </c>
      <c r="Q412" s="7">
        <v>0</v>
      </c>
      <c r="R412" s="8">
        <v>45035</v>
      </c>
      <c r="S412" s="8">
        <v>45031</v>
      </c>
      <c r="T412" s="3" t="s">
        <v>54</v>
      </c>
      <c r="U412" s="3" t="s">
        <v>55</v>
      </c>
      <c r="V412" s="9"/>
      <c r="W412" s="10">
        <v>45036</v>
      </c>
      <c r="X412" s="7">
        <v>1</v>
      </c>
      <c r="Y412" s="7">
        <v>4</v>
      </c>
      <c r="Z412" s="7">
        <v>4</v>
      </c>
      <c r="AA412" s="7">
        <f>INT((S412-DATE(YEAR(S412-WEEKDAY(S412-0)+4),1,4)+WEEKDAY(DATE(YEAR(S412-WEEKDAY(S412-0)+4),1,4))+6)/7)</f>
        <v>15</v>
      </c>
      <c r="AB412" s="3" t="s">
        <v>1816</v>
      </c>
      <c r="AC412" s="7">
        <v>488</v>
      </c>
      <c r="AD412" s="7">
        <v>0</v>
      </c>
      <c r="AE412" s="7">
        <v>0</v>
      </c>
      <c r="AF412" s="3" t="s">
        <v>48</v>
      </c>
      <c r="AG412" s="7">
        <v>2023</v>
      </c>
      <c r="AH412" s="3" t="s">
        <v>112</v>
      </c>
      <c r="AI412" s="3" t="s">
        <v>48</v>
      </c>
      <c r="AJ412" s="3" t="s">
        <v>48</v>
      </c>
      <c r="AK412" s="12" t="s">
        <v>119</v>
      </c>
      <c r="AL412" s="3" t="s">
        <v>59</v>
      </c>
      <c r="AM412" s="3" t="s">
        <v>115</v>
      </c>
      <c r="AN412" s="3" t="s">
        <v>61</v>
      </c>
      <c r="AO412" s="3" t="s">
        <v>62</v>
      </c>
      <c r="AP412" s="3" t="s">
        <v>61</v>
      </c>
      <c r="AQ412" s="3" t="s">
        <v>61</v>
      </c>
      <c r="AR412" s="3" t="s">
        <v>48</v>
      </c>
    </row>
    <row r="413" spans="1:44" ht="30" customHeight="1">
      <c r="A413" s="3" t="s">
        <v>44</v>
      </c>
      <c r="B413" s="3" t="s">
        <v>45</v>
      </c>
      <c r="C413" s="3" t="s">
        <v>46</v>
      </c>
      <c r="D413" s="3" t="s">
        <v>108</v>
      </c>
      <c r="E413" s="3" t="s">
        <v>48</v>
      </c>
      <c r="F413" s="3" t="s">
        <v>108</v>
      </c>
      <c r="G413" s="3" t="s">
        <v>2254</v>
      </c>
      <c r="H413" s="11">
        <f>IF(DATEDIF(L413,S413,"m")&gt;12,DATEDIF(L413,S413,"y"),(DATEDIF(L413,S413,"m")/12))</f>
        <v>0</v>
      </c>
      <c r="I413" s="7">
        <f>DATEDIF(L413,S413,"M")</f>
        <v>0</v>
      </c>
      <c r="J413" s="7">
        <f>DATEDIF(L413,S413,"D")</f>
        <v>4</v>
      </c>
      <c r="K413" s="3" t="s">
        <v>51</v>
      </c>
      <c r="L413" s="8">
        <v>45022</v>
      </c>
      <c r="M413" s="3" t="s">
        <v>45</v>
      </c>
      <c r="N413" s="3" t="s">
        <v>73</v>
      </c>
      <c r="O413" s="3" t="s">
        <v>52</v>
      </c>
      <c r="P413" s="3" t="s">
        <v>579</v>
      </c>
      <c r="Q413" s="7">
        <v>0</v>
      </c>
      <c r="R413" s="8">
        <v>45033</v>
      </c>
      <c r="S413" s="8">
        <v>45026</v>
      </c>
      <c r="T413" s="3" t="s">
        <v>54</v>
      </c>
      <c r="U413" s="3" t="s">
        <v>55</v>
      </c>
      <c r="V413" s="9"/>
      <c r="W413" s="10">
        <v>45036</v>
      </c>
      <c r="X413" s="7">
        <v>3</v>
      </c>
      <c r="Y413" s="7">
        <v>7</v>
      </c>
      <c r="Z413" s="7">
        <v>4</v>
      </c>
      <c r="AA413" s="7">
        <f>INT((S413-DATE(YEAR(S413-WEEKDAY(S413-0)+4),1,4)+WEEKDAY(DATE(YEAR(S413-WEEKDAY(S413-0)+4),1,4))+6)/7)</f>
        <v>15</v>
      </c>
      <c r="AB413" s="3" t="s">
        <v>2255</v>
      </c>
      <c r="AC413" s="7">
        <v>481</v>
      </c>
      <c r="AD413" s="7">
        <v>0</v>
      </c>
      <c r="AE413" s="7">
        <v>0</v>
      </c>
      <c r="AF413" s="3" t="s">
        <v>48</v>
      </c>
      <c r="AG413" s="7">
        <v>2023</v>
      </c>
      <c r="AH413" s="3" t="s">
        <v>112</v>
      </c>
      <c r="AI413" s="3" t="s">
        <v>48</v>
      </c>
      <c r="AJ413" s="3" t="s">
        <v>48</v>
      </c>
      <c r="AK413" s="12" t="s">
        <v>119</v>
      </c>
      <c r="AL413" s="3" t="s">
        <v>59</v>
      </c>
      <c r="AM413" s="3" t="s">
        <v>115</v>
      </c>
      <c r="AN413" s="3" t="s">
        <v>61</v>
      </c>
      <c r="AO413" s="3" t="s">
        <v>62</v>
      </c>
      <c r="AP413" s="3" t="s">
        <v>61</v>
      </c>
      <c r="AQ413" s="3" t="s">
        <v>61</v>
      </c>
      <c r="AR413" s="3" t="s">
        <v>48</v>
      </c>
    </row>
    <row r="414" spans="1:44" ht="30" customHeight="1">
      <c r="A414" s="3" t="s">
        <v>44</v>
      </c>
      <c r="B414" s="3" t="s">
        <v>45</v>
      </c>
      <c r="C414" s="3" t="s">
        <v>46</v>
      </c>
      <c r="D414" s="3" t="s">
        <v>108</v>
      </c>
      <c r="E414" s="3" t="s">
        <v>48</v>
      </c>
      <c r="F414" s="3" t="s">
        <v>108</v>
      </c>
      <c r="G414" s="3" t="s">
        <v>1249</v>
      </c>
      <c r="H414" s="4">
        <f>IF(DATEDIF(L414,S414,"m")&gt;12,DATEDIF(L414,S414,"y"),(DATEDIF(L414,S414,"m")/12))</f>
        <v>14</v>
      </c>
      <c r="I414" s="7">
        <f>DATEDIF(L414,S414,"M")</f>
        <v>178</v>
      </c>
      <c r="J414" s="7">
        <f>DATEDIF(L414,S414,"D")</f>
        <v>5428</v>
      </c>
      <c r="K414" s="3" t="s">
        <v>64</v>
      </c>
      <c r="L414" s="8">
        <v>39522</v>
      </c>
      <c r="M414" s="3" t="s">
        <v>45</v>
      </c>
      <c r="N414" s="3" t="s">
        <v>73</v>
      </c>
      <c r="O414" s="3" t="s">
        <v>52</v>
      </c>
      <c r="P414" s="3" t="s">
        <v>142</v>
      </c>
      <c r="Q414" s="7">
        <v>0</v>
      </c>
      <c r="R414" s="8">
        <v>44952</v>
      </c>
      <c r="S414" s="8">
        <v>44950</v>
      </c>
      <c r="T414" s="3" t="s">
        <v>54</v>
      </c>
      <c r="U414" s="3" t="s">
        <v>55</v>
      </c>
      <c r="V414" s="9"/>
      <c r="W414" s="13">
        <v>45112</v>
      </c>
      <c r="X414" s="7">
        <v>5</v>
      </c>
      <c r="Y414" s="7">
        <v>2</v>
      </c>
      <c r="Z414" s="7">
        <v>1</v>
      </c>
      <c r="AA414" s="7">
        <f>INT((S414-DATE(YEAR(S414-WEEKDAY(S414-0)+4),1,4)+WEEKDAY(DATE(YEAR(S414-WEEKDAY(S414-0)+4),1,4))+6)/7)</f>
        <v>4</v>
      </c>
      <c r="AB414" s="3" t="s">
        <v>1250</v>
      </c>
      <c r="AC414" s="7">
        <v>174</v>
      </c>
      <c r="AD414" s="7">
        <v>0</v>
      </c>
      <c r="AE414" s="7">
        <v>0</v>
      </c>
      <c r="AF414" s="3" t="s">
        <v>48</v>
      </c>
      <c r="AG414" s="7">
        <v>2023</v>
      </c>
      <c r="AH414" s="3" t="s">
        <v>112</v>
      </c>
      <c r="AI414" s="3" t="s">
        <v>113</v>
      </c>
      <c r="AJ414" s="3" t="s">
        <v>48</v>
      </c>
      <c r="AK414" s="31" t="s">
        <v>119</v>
      </c>
      <c r="AL414" s="3" t="s">
        <v>59</v>
      </c>
      <c r="AM414" s="3" t="s">
        <v>115</v>
      </c>
      <c r="AN414" s="3" t="s">
        <v>61</v>
      </c>
      <c r="AO414" s="3" t="s">
        <v>62</v>
      </c>
      <c r="AP414" s="3" t="s">
        <v>69</v>
      </c>
      <c r="AQ414" s="3" t="s">
        <v>61</v>
      </c>
      <c r="AR414" s="3" t="s">
        <v>48</v>
      </c>
    </row>
    <row r="415" spans="1:44" ht="30" customHeight="1">
      <c r="A415" s="3" t="s">
        <v>44</v>
      </c>
      <c r="B415" s="3" t="s">
        <v>45</v>
      </c>
      <c r="C415" s="3" t="s">
        <v>46</v>
      </c>
      <c r="D415" s="3" t="s">
        <v>70</v>
      </c>
      <c r="E415" s="3" t="s">
        <v>48</v>
      </c>
      <c r="F415" s="3" t="s">
        <v>71</v>
      </c>
      <c r="G415" s="3" t="s">
        <v>1402</v>
      </c>
      <c r="H415" s="4">
        <f>IF(DATEDIF(L415,S415,"m")&gt;12,DATEDIF(L415,S415,"y"),(DATEDIF(L415,S415,"m")/12))</f>
        <v>1</v>
      </c>
      <c r="I415" s="7">
        <f>DATEDIF(L415,S415,"M")</f>
        <v>18</v>
      </c>
      <c r="J415" s="7">
        <f>DATEDIF(L415,S415,"D")</f>
        <v>550</v>
      </c>
      <c r="K415" s="3" t="s">
        <v>64</v>
      </c>
      <c r="L415" s="8">
        <v>44419</v>
      </c>
      <c r="M415" s="3" t="s">
        <v>45</v>
      </c>
      <c r="N415" s="3" t="s">
        <v>83</v>
      </c>
      <c r="O415" s="3" t="s">
        <v>52</v>
      </c>
      <c r="P415" s="3" t="s">
        <v>137</v>
      </c>
      <c r="Q415" s="7">
        <v>1</v>
      </c>
      <c r="R415" s="8">
        <v>44970</v>
      </c>
      <c r="S415" s="8">
        <v>44969</v>
      </c>
      <c r="T415" s="3" t="s">
        <v>54</v>
      </c>
      <c r="U415" s="3" t="s">
        <v>55</v>
      </c>
      <c r="V415" s="9"/>
      <c r="W415" s="10">
        <v>44971</v>
      </c>
      <c r="X415" s="7">
        <v>1</v>
      </c>
      <c r="Y415" s="7">
        <v>1</v>
      </c>
      <c r="Z415" s="7">
        <v>2</v>
      </c>
      <c r="AA415" s="7">
        <f>INT((S415-DATE(YEAR(S415-WEEKDAY(S415-0)+4),1,4)+WEEKDAY(DATE(YEAR(S415-WEEKDAY(S415-0)+4),1,4))+6)/7)</f>
        <v>7</v>
      </c>
      <c r="AB415" s="3" t="s">
        <v>1688</v>
      </c>
      <c r="AC415" s="7">
        <v>670</v>
      </c>
      <c r="AD415" s="7">
        <v>0</v>
      </c>
      <c r="AE415" s="7">
        <v>1</v>
      </c>
      <c r="AF415" s="3" t="s">
        <v>48</v>
      </c>
      <c r="AG415" s="7">
        <v>2023</v>
      </c>
      <c r="AH415" s="3" t="s">
        <v>76</v>
      </c>
      <c r="AI415" s="3" t="s">
        <v>77</v>
      </c>
      <c r="AJ415" s="3" t="s">
        <v>78</v>
      </c>
      <c r="AK415" s="3" t="s">
        <v>488</v>
      </c>
      <c r="AL415" s="3" t="s">
        <v>59</v>
      </c>
      <c r="AM415" s="3" t="s">
        <v>60</v>
      </c>
      <c r="AN415" s="3" t="s">
        <v>61</v>
      </c>
      <c r="AO415" s="3" t="s">
        <v>62</v>
      </c>
      <c r="AP415" s="3" t="s">
        <v>69</v>
      </c>
      <c r="AQ415" s="3" t="s">
        <v>61</v>
      </c>
      <c r="AR415" s="3" t="s">
        <v>48</v>
      </c>
    </row>
    <row r="416" spans="1:44" ht="30" customHeight="1">
      <c r="A416" s="3" t="s">
        <v>44</v>
      </c>
      <c r="B416" s="3" t="s">
        <v>45</v>
      </c>
      <c r="C416" s="3" t="s">
        <v>46</v>
      </c>
      <c r="D416" s="3" t="s">
        <v>108</v>
      </c>
      <c r="E416" s="3" t="s">
        <v>48</v>
      </c>
      <c r="F416" s="3" t="s">
        <v>108</v>
      </c>
      <c r="G416" s="3" t="s">
        <v>1253</v>
      </c>
      <c r="H416" s="5">
        <f>IF(DATEDIF(L416,S416,"m")&gt;12,DATEDIF(L416,S416,"y"),(DATEDIF(L416,S416,"m")/12))</f>
        <v>0.75</v>
      </c>
      <c r="I416" s="7">
        <f>DATEDIF(L416,S416,"M")</f>
        <v>9</v>
      </c>
      <c r="J416" s="7">
        <f>DATEDIF(L416,S416,"D")</f>
        <v>302</v>
      </c>
      <c r="K416" s="3" t="s">
        <v>64</v>
      </c>
      <c r="L416" s="8">
        <v>44660</v>
      </c>
      <c r="M416" s="3" t="s">
        <v>45</v>
      </c>
      <c r="N416" s="3" t="s">
        <v>73</v>
      </c>
      <c r="O416" s="3" t="s">
        <v>52</v>
      </c>
      <c r="P416" s="3" t="s">
        <v>664</v>
      </c>
      <c r="Q416" s="7">
        <v>0</v>
      </c>
      <c r="R416" s="8">
        <v>44964</v>
      </c>
      <c r="S416" s="8">
        <v>44962</v>
      </c>
      <c r="T416" s="3" t="s">
        <v>54</v>
      </c>
      <c r="U416" s="3" t="s">
        <v>55</v>
      </c>
      <c r="V416" s="9"/>
      <c r="W416" s="29">
        <v>45113</v>
      </c>
      <c r="X416" s="7">
        <v>7</v>
      </c>
      <c r="Y416" s="7">
        <v>2</v>
      </c>
      <c r="Z416" s="7">
        <v>2</v>
      </c>
      <c r="AA416" s="7">
        <f>INT((S416-DATE(YEAR(S416-WEEKDAY(S416-0)+4),1,4)+WEEKDAY(DATE(YEAR(S416-WEEKDAY(S416-0)+4),1,4))+6)/7)</f>
        <v>6</v>
      </c>
      <c r="AB416" s="3" t="s">
        <v>1254</v>
      </c>
      <c r="AC416" s="7">
        <v>222</v>
      </c>
      <c r="AD416" s="7">
        <v>0</v>
      </c>
      <c r="AE416" s="7">
        <v>0</v>
      </c>
      <c r="AF416" s="3" t="s">
        <v>48</v>
      </c>
      <c r="AG416" s="7">
        <v>2023</v>
      </c>
      <c r="AH416" s="3" t="s">
        <v>112</v>
      </c>
      <c r="AI416" s="3" t="s">
        <v>113</v>
      </c>
      <c r="AJ416" s="3" t="s">
        <v>48</v>
      </c>
      <c r="AK416" s="12" t="s">
        <v>119</v>
      </c>
      <c r="AL416" s="3" t="s">
        <v>59</v>
      </c>
      <c r="AM416" s="3" t="s">
        <v>115</v>
      </c>
      <c r="AN416" s="3" t="s">
        <v>61</v>
      </c>
      <c r="AO416" s="3" t="s">
        <v>62</v>
      </c>
      <c r="AP416" s="3" t="s">
        <v>69</v>
      </c>
      <c r="AQ416" s="3" t="s">
        <v>61</v>
      </c>
      <c r="AR416" s="3" t="s">
        <v>48</v>
      </c>
    </row>
    <row r="417" spans="1:44" ht="30" customHeight="1">
      <c r="A417" s="3" t="s">
        <v>44</v>
      </c>
      <c r="B417" s="3" t="s">
        <v>45</v>
      </c>
      <c r="C417" s="3" t="s">
        <v>46</v>
      </c>
      <c r="D417" s="3" t="s">
        <v>108</v>
      </c>
      <c r="E417" s="3" t="s">
        <v>48</v>
      </c>
      <c r="F417" s="3" t="s">
        <v>108</v>
      </c>
      <c r="G417" s="3" t="s">
        <v>1269</v>
      </c>
      <c r="H417" s="4">
        <f>IF(DATEDIF(L417,S417,"m")&gt;12,DATEDIF(L417,S417,"y"),(DATEDIF(L417,S417,"m")/12))</f>
        <v>1</v>
      </c>
      <c r="I417" s="7">
        <f>DATEDIF(L417,S417,"M")</f>
        <v>14</v>
      </c>
      <c r="J417" s="7">
        <f>DATEDIF(L417,S417,"D")</f>
        <v>437</v>
      </c>
      <c r="K417" s="3" t="s">
        <v>51</v>
      </c>
      <c r="L417" s="8">
        <v>44581</v>
      </c>
      <c r="M417" s="3" t="s">
        <v>45</v>
      </c>
      <c r="N417" s="3" t="s">
        <v>73</v>
      </c>
      <c r="O417" s="3" t="s">
        <v>52</v>
      </c>
      <c r="P417" s="3" t="s">
        <v>1270</v>
      </c>
      <c r="Q417" s="7">
        <v>0</v>
      </c>
      <c r="R417" s="8">
        <v>45019</v>
      </c>
      <c r="S417" s="8">
        <v>45018</v>
      </c>
      <c r="T417" s="3" t="s">
        <v>54</v>
      </c>
      <c r="U417" s="3" t="s">
        <v>55</v>
      </c>
      <c r="V417" s="9"/>
      <c r="W417" s="29">
        <v>45113</v>
      </c>
      <c r="X417" s="7">
        <v>2</v>
      </c>
      <c r="Y417" s="7">
        <v>1</v>
      </c>
      <c r="Z417" s="7">
        <v>4</v>
      </c>
      <c r="AA417" s="7">
        <f>INT((S417-DATE(YEAR(S417-WEEKDAY(S417-0)+4),1,4)+WEEKDAY(DATE(YEAR(S417-WEEKDAY(S417-0)+4),1,4))+6)/7)</f>
        <v>14</v>
      </c>
      <c r="AB417" s="3" t="s">
        <v>1271</v>
      </c>
      <c r="AC417" s="7">
        <v>437</v>
      </c>
      <c r="AD417" s="7">
        <v>0</v>
      </c>
      <c r="AE417" s="7">
        <v>0</v>
      </c>
      <c r="AF417" s="3" t="s">
        <v>48</v>
      </c>
      <c r="AG417" s="7">
        <v>2023</v>
      </c>
      <c r="AH417" s="3" t="s">
        <v>112</v>
      </c>
      <c r="AI417" s="3" t="s">
        <v>113</v>
      </c>
      <c r="AJ417" s="3" t="s">
        <v>48</v>
      </c>
      <c r="AK417" s="12" t="s">
        <v>119</v>
      </c>
      <c r="AL417" s="3" t="s">
        <v>59</v>
      </c>
      <c r="AM417" s="3" t="s">
        <v>115</v>
      </c>
      <c r="AN417" s="3" t="s">
        <v>61</v>
      </c>
      <c r="AO417" s="3" t="s">
        <v>62</v>
      </c>
      <c r="AP417" s="3" t="s">
        <v>61</v>
      </c>
      <c r="AQ417" s="3" t="s">
        <v>61</v>
      </c>
      <c r="AR417" s="3" t="s">
        <v>48</v>
      </c>
    </row>
    <row r="418" spans="1:44" ht="30" customHeight="1">
      <c r="A418" s="3" t="s">
        <v>44</v>
      </c>
      <c r="B418" s="3" t="s">
        <v>45</v>
      </c>
      <c r="C418" s="3" t="s">
        <v>46</v>
      </c>
      <c r="D418" s="3" t="s">
        <v>47</v>
      </c>
      <c r="E418" s="3" t="s">
        <v>48</v>
      </c>
      <c r="F418" s="3" t="s">
        <v>49</v>
      </c>
      <c r="G418" s="3" t="s">
        <v>1275</v>
      </c>
      <c r="H418" s="4">
        <f>IF(DATEDIF(L418,S418,"m")&gt;12,DATEDIF(L418,S418,"y"),(DATEDIF(L418,S418,"m")/12))</f>
        <v>4</v>
      </c>
      <c r="I418" s="7">
        <f>DATEDIF(L418,S418,"M")</f>
        <v>56</v>
      </c>
      <c r="J418" s="7">
        <f>DATEDIF(L418,S418,"D")</f>
        <v>1729</v>
      </c>
      <c r="K418" s="3" t="s">
        <v>51</v>
      </c>
      <c r="L418" s="8">
        <v>43235</v>
      </c>
      <c r="M418" s="3" t="s">
        <v>45</v>
      </c>
      <c r="N418" s="3" t="s">
        <v>73</v>
      </c>
      <c r="O418" s="3" t="s">
        <v>52</v>
      </c>
      <c r="P418" s="3" t="s">
        <v>174</v>
      </c>
      <c r="Q418" s="7">
        <v>0</v>
      </c>
      <c r="R418" s="8">
        <v>44970</v>
      </c>
      <c r="S418" s="8">
        <v>44964</v>
      </c>
      <c r="T418" s="3" t="s">
        <v>54</v>
      </c>
      <c r="U418" s="3" t="s">
        <v>55</v>
      </c>
      <c r="V418" s="9"/>
      <c r="W418" s="29">
        <v>45114</v>
      </c>
      <c r="X418" s="7">
        <v>4</v>
      </c>
      <c r="Y418" s="7">
        <v>6</v>
      </c>
      <c r="Z418" s="7">
        <v>2</v>
      </c>
      <c r="AA418" s="7">
        <f>INT((S418-DATE(YEAR(S418-WEEKDAY(S418-0)+4),1,4)+WEEKDAY(DATE(YEAR(S418-WEEKDAY(S418-0)+4),1,4))+6)/7)</f>
        <v>6</v>
      </c>
      <c r="AB418" s="3" t="s">
        <v>1276</v>
      </c>
      <c r="AC418" s="7">
        <v>50</v>
      </c>
      <c r="AD418" s="7">
        <v>0</v>
      </c>
      <c r="AE418" s="7">
        <v>0</v>
      </c>
      <c r="AF418" s="3" t="s">
        <v>48</v>
      </c>
      <c r="AG418" s="7">
        <v>2023</v>
      </c>
      <c r="AH418" s="3" t="s">
        <v>57</v>
      </c>
      <c r="AI418" s="3" t="s">
        <v>48</v>
      </c>
      <c r="AJ418" s="3" t="s">
        <v>48</v>
      </c>
      <c r="AK418" s="12" t="s">
        <v>119</v>
      </c>
      <c r="AL418" s="3" t="s">
        <v>59</v>
      </c>
      <c r="AM418" s="3" t="s">
        <v>60</v>
      </c>
      <c r="AN418" s="3" t="s">
        <v>61</v>
      </c>
      <c r="AO418" s="3" t="s">
        <v>62</v>
      </c>
      <c r="AP418" s="3" t="s">
        <v>69</v>
      </c>
      <c r="AQ418" s="3" t="s">
        <v>61</v>
      </c>
      <c r="AR418" s="3" t="s">
        <v>48</v>
      </c>
    </row>
    <row r="419" spans="1:44" ht="30" customHeight="1">
      <c r="A419" s="3" t="s">
        <v>44</v>
      </c>
      <c r="B419" s="3" t="s">
        <v>45</v>
      </c>
      <c r="C419" s="3" t="s">
        <v>46</v>
      </c>
      <c r="D419" s="3" t="s">
        <v>100</v>
      </c>
      <c r="E419" s="3" t="s">
        <v>48</v>
      </c>
      <c r="F419" s="3" t="s">
        <v>100</v>
      </c>
      <c r="G419" s="3" t="s">
        <v>48</v>
      </c>
      <c r="H419" s="4">
        <f>IF(DATEDIF(L419,S419,"m")&gt;12,DATEDIF(L419,S419,"y"),(DATEDIF(L419,S419,"m")/12))</f>
        <v>2</v>
      </c>
      <c r="I419" s="7">
        <f>DATEDIF(L419,S419,"M")</f>
        <v>35</v>
      </c>
      <c r="J419" s="7">
        <f>DATEDIF(L419,S419,"D")</f>
        <v>1072</v>
      </c>
      <c r="K419" s="3" t="s">
        <v>64</v>
      </c>
      <c r="L419" s="8">
        <v>43886</v>
      </c>
      <c r="M419" s="3" t="s">
        <v>45</v>
      </c>
      <c r="N419" s="3" t="s">
        <v>101</v>
      </c>
      <c r="O419" s="3" t="s">
        <v>52</v>
      </c>
      <c r="P419" s="3" t="s">
        <v>1163</v>
      </c>
      <c r="Q419" s="7">
        <v>0</v>
      </c>
      <c r="R419" s="8">
        <v>44960</v>
      </c>
      <c r="S419" s="8">
        <v>44958</v>
      </c>
      <c r="T419" s="3" t="s">
        <v>54</v>
      </c>
      <c r="U419" s="3" t="s">
        <v>55</v>
      </c>
      <c r="V419" s="9"/>
      <c r="W419" s="24">
        <v>44971</v>
      </c>
      <c r="X419" s="7">
        <v>11</v>
      </c>
      <c r="Y419" s="7">
        <v>2</v>
      </c>
      <c r="Z419" s="7">
        <v>2</v>
      </c>
      <c r="AA419" s="7">
        <f>INT((S419-DATE(YEAR(S419-WEEKDAY(S419-0)+4),1,4)+WEEKDAY(DATE(YEAR(S419-WEEKDAY(S419-0)+4),1,4))+6)/7)</f>
        <v>5</v>
      </c>
      <c r="AB419" s="3" t="s">
        <v>1831</v>
      </c>
      <c r="AC419" s="7">
        <v>257</v>
      </c>
      <c r="AD419" s="7">
        <v>0</v>
      </c>
      <c r="AE419" s="7">
        <v>0</v>
      </c>
      <c r="AF419" s="3" t="s">
        <v>48</v>
      </c>
      <c r="AG419" s="7">
        <v>2023</v>
      </c>
      <c r="AH419" s="3" t="s">
        <v>223</v>
      </c>
      <c r="AI419" s="3" t="s">
        <v>106</v>
      </c>
      <c r="AJ419" s="3" t="s">
        <v>100</v>
      </c>
      <c r="AK419" s="3" t="s">
        <v>162</v>
      </c>
      <c r="AL419" s="3" t="s">
        <v>59</v>
      </c>
      <c r="AM419" s="3" t="s">
        <v>99</v>
      </c>
      <c r="AN419" s="3" t="s">
        <v>61</v>
      </c>
      <c r="AO419" s="3" t="s">
        <v>62</v>
      </c>
      <c r="AP419" s="3" t="s">
        <v>69</v>
      </c>
      <c r="AQ419" s="3" t="s">
        <v>61</v>
      </c>
      <c r="AR419" s="3" t="s">
        <v>48</v>
      </c>
    </row>
    <row r="420" spans="1:44" ht="30" customHeight="1">
      <c r="A420" s="3" t="s">
        <v>44</v>
      </c>
      <c r="B420" s="3" t="s">
        <v>45</v>
      </c>
      <c r="C420" s="3" t="s">
        <v>46</v>
      </c>
      <c r="D420" s="3" t="s">
        <v>47</v>
      </c>
      <c r="E420" s="3" t="s">
        <v>48</v>
      </c>
      <c r="F420" s="3" t="s">
        <v>1226</v>
      </c>
      <c r="G420" s="3" t="s">
        <v>1227</v>
      </c>
      <c r="H420" s="4">
        <f>IF(DATEDIF(L420,S420,"m")&gt;12,DATEDIF(L420,S420,"y"),(DATEDIF(L420,S420,"m")/12))</f>
        <v>13</v>
      </c>
      <c r="I420" s="7">
        <f>DATEDIF(L420,S420,"M")</f>
        <v>159</v>
      </c>
      <c r="J420" s="7">
        <f>DATEDIF(L420,S420,"D")</f>
        <v>4851</v>
      </c>
      <c r="K420" s="3" t="s">
        <v>51</v>
      </c>
      <c r="L420" s="8">
        <v>40182</v>
      </c>
      <c r="M420" s="3" t="s">
        <v>45</v>
      </c>
      <c r="N420" s="3" t="s">
        <v>73</v>
      </c>
      <c r="O420" s="3" t="s">
        <v>52</v>
      </c>
      <c r="P420" s="3" t="s">
        <v>284</v>
      </c>
      <c r="Q420" s="7">
        <v>0</v>
      </c>
      <c r="R420" s="8">
        <v>45035</v>
      </c>
      <c r="S420" s="8">
        <v>45033</v>
      </c>
      <c r="T420" s="3" t="s">
        <v>54</v>
      </c>
      <c r="U420" s="3" t="s">
        <v>55</v>
      </c>
      <c r="V420" s="9"/>
      <c r="W420" s="29">
        <v>45117</v>
      </c>
      <c r="X420" s="7">
        <v>5</v>
      </c>
      <c r="Y420" s="7">
        <v>2</v>
      </c>
      <c r="Z420" s="7">
        <v>4</v>
      </c>
      <c r="AA420" s="7">
        <f>INT((S420-DATE(YEAR(S420-WEEKDAY(S420-0)+4),1,4)+WEEKDAY(DATE(YEAR(S420-WEEKDAY(S420-0)+4),1,4))+6)/7)</f>
        <v>16</v>
      </c>
      <c r="AB420" s="3" t="s">
        <v>1228</v>
      </c>
      <c r="AC420" s="7">
        <v>192</v>
      </c>
      <c r="AD420" s="7">
        <v>0</v>
      </c>
      <c r="AE420" s="7">
        <v>0</v>
      </c>
      <c r="AF420" s="3" t="s">
        <v>48</v>
      </c>
      <c r="AG420" s="7">
        <v>2023</v>
      </c>
      <c r="AH420" s="3" t="s">
        <v>1229</v>
      </c>
      <c r="AI420" s="3" t="s">
        <v>48</v>
      </c>
      <c r="AJ420" s="3" t="s">
        <v>48</v>
      </c>
      <c r="AK420" s="12" t="s">
        <v>119</v>
      </c>
      <c r="AL420" s="3" t="s">
        <v>59</v>
      </c>
      <c r="AM420" s="3" t="s">
        <v>60</v>
      </c>
      <c r="AN420" s="3" t="s">
        <v>61</v>
      </c>
      <c r="AO420" s="3" t="s">
        <v>62</v>
      </c>
      <c r="AP420" s="3" t="s">
        <v>61</v>
      </c>
      <c r="AQ420" s="3" t="s">
        <v>61</v>
      </c>
      <c r="AR420" s="3" t="s">
        <v>48</v>
      </c>
    </row>
    <row r="421" spans="1:44" ht="30" customHeight="1">
      <c r="A421" s="3" t="s">
        <v>44</v>
      </c>
      <c r="B421" s="3" t="s">
        <v>45</v>
      </c>
      <c r="C421" s="12"/>
      <c r="D421" s="12"/>
      <c r="E421" s="12"/>
      <c r="F421" s="12"/>
      <c r="G421" s="12" t="s">
        <v>2715</v>
      </c>
      <c r="H421" s="4">
        <f>IF(DATEDIF(L421,S421,"m")&gt;12,DATEDIF(L421,S421,"y"),(DATEDIF(L421,S421,"m")/12))</f>
        <v>2</v>
      </c>
      <c r="I421" s="7">
        <f>DATEDIF(L421,S421,"M")</f>
        <v>25</v>
      </c>
      <c r="J421" s="7">
        <f>DATEDIF(L421,S421,"D")</f>
        <v>789</v>
      </c>
      <c r="K421" s="12" t="s">
        <v>64</v>
      </c>
      <c r="L421" s="13">
        <v>44337</v>
      </c>
      <c r="M421" s="16" t="s">
        <v>45</v>
      </c>
      <c r="N421" s="12" t="s">
        <v>73</v>
      </c>
      <c r="O421" s="12" t="s">
        <v>52</v>
      </c>
      <c r="P421" s="12" t="s">
        <v>174</v>
      </c>
      <c r="Q421" s="12">
        <v>1</v>
      </c>
      <c r="R421" s="13">
        <v>45127</v>
      </c>
      <c r="S421" s="13">
        <v>45126</v>
      </c>
      <c r="T421" s="3" t="s">
        <v>54</v>
      </c>
      <c r="U421" s="12" t="s">
        <v>55</v>
      </c>
      <c r="W421" s="1">
        <v>45130</v>
      </c>
      <c r="X421" s="12"/>
      <c r="Y421" s="12"/>
      <c r="Z421" s="12">
        <v>7</v>
      </c>
      <c r="AA421" s="7">
        <f>INT((S421-DATE(YEAR(S421-WEEKDAY(S421-0)+4),1,4)+WEEKDAY(DATE(YEAR(S421-WEEKDAY(S421-0)+4),1,4))+6)/7)</f>
        <v>29</v>
      </c>
      <c r="AB421" s="12" t="s">
        <v>2716</v>
      </c>
      <c r="AC421" s="12"/>
      <c r="AD421" s="12"/>
      <c r="AE421" s="12"/>
      <c r="AF421" s="12"/>
      <c r="AG421" s="7">
        <v>2023</v>
      </c>
      <c r="AH421" s="12" t="s">
        <v>2710</v>
      </c>
      <c r="AI421" s="12"/>
      <c r="AJ421" s="12"/>
      <c r="AK421" s="12" t="s">
        <v>119</v>
      </c>
      <c r="AL421" s="3" t="s">
        <v>59</v>
      </c>
      <c r="AM421" s="12"/>
      <c r="AN421" s="12"/>
      <c r="AO421" s="12"/>
      <c r="AP421" s="12"/>
      <c r="AQ421" s="12"/>
      <c r="AR421" s="12"/>
    </row>
    <row r="422" spans="1:44" ht="30" customHeight="1">
      <c r="A422" s="3" t="s">
        <v>44</v>
      </c>
      <c r="B422" s="3" t="s">
        <v>45</v>
      </c>
      <c r="C422" s="3" t="s">
        <v>46</v>
      </c>
      <c r="D422" s="3" t="s">
        <v>108</v>
      </c>
      <c r="E422" s="3" t="s">
        <v>48</v>
      </c>
      <c r="F422" s="3" t="s">
        <v>108</v>
      </c>
      <c r="G422" s="3" t="s">
        <v>106</v>
      </c>
      <c r="H422" s="4">
        <f>IF(DATEDIF(L422,S422,"m")&gt;12,DATEDIF(L422,S422,"y"),(DATEDIF(L422,S422,"m")/12))</f>
        <v>10</v>
      </c>
      <c r="I422" s="7">
        <f>DATEDIF(L422,S422,"M")</f>
        <v>126</v>
      </c>
      <c r="J422" s="7">
        <f>DATEDIF(L422,S422,"D")</f>
        <v>3841</v>
      </c>
      <c r="K422" s="3" t="s">
        <v>64</v>
      </c>
      <c r="L422" s="8">
        <v>41090</v>
      </c>
      <c r="M422" s="3" t="s">
        <v>45</v>
      </c>
      <c r="N422" s="3" t="s">
        <v>73</v>
      </c>
      <c r="O422" s="3" t="s">
        <v>52</v>
      </c>
      <c r="P422" s="3" t="s">
        <v>91</v>
      </c>
      <c r="Q422" s="7">
        <v>0</v>
      </c>
      <c r="R422" s="8">
        <v>44931</v>
      </c>
      <c r="S422" s="8">
        <v>44931</v>
      </c>
      <c r="T422" s="3" t="s">
        <v>54</v>
      </c>
      <c r="U422" s="3" t="s">
        <v>55</v>
      </c>
      <c r="V422" s="9"/>
      <c r="W422" s="30">
        <v>44936</v>
      </c>
      <c r="X422" s="7">
        <v>5</v>
      </c>
      <c r="Y422" s="7">
        <v>0</v>
      </c>
      <c r="Z422" s="7">
        <v>1</v>
      </c>
      <c r="AA422" s="7">
        <f>INT((S422-DATE(YEAR(S422-WEEKDAY(S422-0)+4),1,4)+WEEKDAY(DATE(YEAR(S422-WEEKDAY(S422-0)+4),1,4))+6)/7)</f>
        <v>1</v>
      </c>
      <c r="AB422" s="3" t="s">
        <v>172</v>
      </c>
      <c r="AC422" s="7">
        <v>120</v>
      </c>
      <c r="AD422" s="7">
        <v>0</v>
      </c>
      <c r="AE422" s="7">
        <v>0</v>
      </c>
      <c r="AF422" s="3" t="s">
        <v>48</v>
      </c>
      <c r="AG422" s="7">
        <v>2023</v>
      </c>
      <c r="AH422" s="3" t="s">
        <v>112</v>
      </c>
      <c r="AI422" s="3" t="s">
        <v>113</v>
      </c>
      <c r="AJ422" s="3" t="s">
        <v>48</v>
      </c>
      <c r="AK422" s="3" t="s">
        <v>79</v>
      </c>
      <c r="AL422" s="3" t="s">
        <v>59</v>
      </c>
      <c r="AM422" s="3" t="s">
        <v>115</v>
      </c>
      <c r="AN422" s="3" t="s">
        <v>61</v>
      </c>
      <c r="AO422" s="3" t="s">
        <v>62</v>
      </c>
      <c r="AP422" s="3" t="s">
        <v>69</v>
      </c>
      <c r="AQ422" s="3" t="s">
        <v>61</v>
      </c>
      <c r="AR422" s="3" t="s">
        <v>48</v>
      </c>
    </row>
    <row r="423" spans="1:44" ht="30" customHeight="1">
      <c r="A423" s="3" t="s">
        <v>44</v>
      </c>
      <c r="B423" s="3" t="s">
        <v>45</v>
      </c>
      <c r="C423" s="3" t="s">
        <v>46</v>
      </c>
      <c r="D423" s="3" t="s">
        <v>108</v>
      </c>
      <c r="E423" s="3" t="s">
        <v>48</v>
      </c>
      <c r="F423" s="3" t="s">
        <v>108</v>
      </c>
      <c r="G423" s="3" t="s">
        <v>1136</v>
      </c>
      <c r="H423" s="4">
        <f>IF(DATEDIF(L423,S423,"m")&gt;12,DATEDIF(L423,S423,"y"),(DATEDIF(L423,S423,"m")/12))</f>
        <v>29</v>
      </c>
      <c r="I423" s="7">
        <f>DATEDIF(L423,S423,"M")</f>
        <v>358</v>
      </c>
      <c r="J423" s="7">
        <f>DATEDIF(L423,S423,"D")</f>
        <v>10924</v>
      </c>
      <c r="K423" s="3" t="s">
        <v>64</v>
      </c>
      <c r="L423" s="8">
        <v>34008</v>
      </c>
      <c r="M423" s="3" t="s">
        <v>45</v>
      </c>
      <c r="N423" s="3" t="s">
        <v>73</v>
      </c>
      <c r="O423" s="3" t="s">
        <v>52</v>
      </c>
      <c r="P423" s="3" t="s">
        <v>84</v>
      </c>
      <c r="Q423" s="7">
        <v>0</v>
      </c>
      <c r="R423" s="8">
        <v>44932</v>
      </c>
      <c r="S423" s="8">
        <v>44932</v>
      </c>
      <c r="T423" s="3" t="s">
        <v>54</v>
      </c>
      <c r="U423" s="3" t="s">
        <v>55</v>
      </c>
      <c r="V423" s="9"/>
      <c r="W423" s="30">
        <v>44936</v>
      </c>
      <c r="X423" s="7">
        <v>4</v>
      </c>
      <c r="Y423" s="7">
        <v>0</v>
      </c>
      <c r="Z423" s="7">
        <v>1</v>
      </c>
      <c r="AA423" s="7">
        <f>INT((S423-DATE(YEAR(S423-WEEKDAY(S423-0)+4),1,4)+WEEKDAY(DATE(YEAR(S423-WEEKDAY(S423-0)+4),1,4))+6)/7)</f>
        <v>1</v>
      </c>
      <c r="AB423" s="3" t="s">
        <v>1296</v>
      </c>
      <c r="AC423" s="7">
        <v>124</v>
      </c>
      <c r="AD423" s="7">
        <v>0</v>
      </c>
      <c r="AE423" s="7">
        <v>0</v>
      </c>
      <c r="AF423" s="3" t="s">
        <v>48</v>
      </c>
      <c r="AG423" s="7">
        <v>2023</v>
      </c>
      <c r="AH423" s="3" t="s">
        <v>112</v>
      </c>
      <c r="AI423" s="3" t="s">
        <v>113</v>
      </c>
      <c r="AJ423" s="3" t="s">
        <v>48</v>
      </c>
      <c r="AK423" s="3" t="s">
        <v>79</v>
      </c>
      <c r="AL423" s="3" t="s">
        <v>59</v>
      </c>
      <c r="AM423" s="3" t="s">
        <v>115</v>
      </c>
      <c r="AN423" s="3" t="s">
        <v>61</v>
      </c>
      <c r="AO423" s="3" t="s">
        <v>62</v>
      </c>
      <c r="AP423" s="3" t="s">
        <v>69</v>
      </c>
      <c r="AQ423" s="3" t="s">
        <v>61</v>
      </c>
      <c r="AR423" s="3" t="s">
        <v>48</v>
      </c>
    </row>
    <row r="424" spans="1:44" ht="30" customHeight="1">
      <c r="A424" s="3" t="s">
        <v>44</v>
      </c>
      <c r="B424" s="3" t="s">
        <v>45</v>
      </c>
      <c r="C424" s="3" t="s">
        <v>46</v>
      </c>
      <c r="D424" s="3" t="s">
        <v>108</v>
      </c>
      <c r="E424" s="3" t="s">
        <v>48</v>
      </c>
      <c r="F424" s="3" t="s">
        <v>108</v>
      </c>
      <c r="G424" s="3" t="s">
        <v>1138</v>
      </c>
      <c r="H424" s="4">
        <v>8</v>
      </c>
      <c r="I424" s="7">
        <v>0</v>
      </c>
      <c r="J424" s="7">
        <v>0</v>
      </c>
      <c r="K424" s="3" t="s">
        <v>64</v>
      </c>
      <c r="L424" s="22"/>
      <c r="M424" s="3" t="s">
        <v>45</v>
      </c>
      <c r="N424" s="3" t="s">
        <v>73</v>
      </c>
      <c r="O424" s="3" t="s">
        <v>52</v>
      </c>
      <c r="P424" s="3" t="s">
        <v>84</v>
      </c>
      <c r="Q424" s="7">
        <v>0</v>
      </c>
      <c r="R424" s="8">
        <v>44932</v>
      </c>
      <c r="S424" s="8">
        <v>44932</v>
      </c>
      <c r="T424" s="3" t="s">
        <v>54</v>
      </c>
      <c r="U424" s="3" t="s">
        <v>55</v>
      </c>
      <c r="V424" s="9"/>
      <c r="W424" s="30">
        <v>44936</v>
      </c>
      <c r="X424" s="7">
        <v>4</v>
      </c>
      <c r="Y424" s="7">
        <v>0</v>
      </c>
      <c r="Z424" s="7">
        <v>1</v>
      </c>
      <c r="AA424" s="7">
        <f>INT((S424-DATE(YEAR(S424-WEEKDAY(S424-0)+4),1,4)+WEEKDAY(DATE(YEAR(S424-WEEKDAY(S424-0)+4),1,4))+6)/7)</f>
        <v>1</v>
      </c>
      <c r="AB424" s="3" t="s">
        <v>1297</v>
      </c>
      <c r="AC424" s="7">
        <v>125</v>
      </c>
      <c r="AD424" s="7">
        <v>0</v>
      </c>
      <c r="AE424" s="7">
        <v>0</v>
      </c>
      <c r="AF424" s="3" t="s">
        <v>48</v>
      </c>
      <c r="AG424" s="7">
        <v>2023</v>
      </c>
      <c r="AH424" s="3" t="s">
        <v>112</v>
      </c>
      <c r="AI424" s="3" t="s">
        <v>113</v>
      </c>
      <c r="AJ424" s="3" t="s">
        <v>48</v>
      </c>
      <c r="AK424" s="3" t="s">
        <v>79</v>
      </c>
      <c r="AL424" s="3" t="s">
        <v>59</v>
      </c>
      <c r="AM424" s="3" t="s">
        <v>115</v>
      </c>
      <c r="AN424" s="3" t="s">
        <v>61</v>
      </c>
      <c r="AO424" s="3" t="s">
        <v>62</v>
      </c>
      <c r="AP424" s="3" t="s">
        <v>69</v>
      </c>
      <c r="AQ424" s="3" t="s">
        <v>61</v>
      </c>
      <c r="AR424" s="3" t="s">
        <v>48</v>
      </c>
    </row>
    <row r="425" spans="1:44" ht="30" customHeight="1">
      <c r="A425" s="3" t="s">
        <v>44</v>
      </c>
      <c r="B425" s="3" t="s">
        <v>45</v>
      </c>
      <c r="C425" s="3" t="s">
        <v>46</v>
      </c>
      <c r="D425" s="3" t="s">
        <v>108</v>
      </c>
      <c r="E425" s="3" t="s">
        <v>48</v>
      </c>
      <c r="F425" s="3" t="s">
        <v>108</v>
      </c>
      <c r="G425" s="3" t="s">
        <v>798</v>
      </c>
      <c r="H425" s="4">
        <f>IF(DATEDIF(L425,S425,"m")&gt;12,DATEDIF(L425,S425,"y"),(DATEDIF(L425,S425,"m")/12))</f>
        <v>24</v>
      </c>
      <c r="I425" s="7">
        <f>DATEDIF(L425,S425,"M")</f>
        <v>298</v>
      </c>
      <c r="J425" s="7">
        <f>DATEDIF(L425,S425,"D")</f>
        <v>9081</v>
      </c>
      <c r="K425" s="3" t="s">
        <v>64</v>
      </c>
      <c r="L425" s="8">
        <v>35857</v>
      </c>
      <c r="M425" s="3" t="s">
        <v>45</v>
      </c>
      <c r="N425" s="3" t="s">
        <v>73</v>
      </c>
      <c r="O425" s="3" t="s">
        <v>52</v>
      </c>
      <c r="P425" s="3" t="s">
        <v>169</v>
      </c>
      <c r="Q425" s="7">
        <v>0</v>
      </c>
      <c r="R425" s="8">
        <v>44942</v>
      </c>
      <c r="S425" s="8">
        <v>44938</v>
      </c>
      <c r="T425" s="3" t="s">
        <v>54</v>
      </c>
      <c r="U425" s="3" t="s">
        <v>55</v>
      </c>
      <c r="V425" s="9"/>
      <c r="W425" s="30">
        <v>44950</v>
      </c>
      <c r="X425" s="7">
        <v>8</v>
      </c>
      <c r="Y425" s="7">
        <v>4</v>
      </c>
      <c r="Z425" s="7">
        <v>1</v>
      </c>
      <c r="AA425" s="7">
        <f>INT((S425-DATE(YEAR(S425-WEEKDAY(S425-0)+4),1,4)+WEEKDAY(DATE(YEAR(S425-WEEKDAY(S425-0)+4),1,4))+6)/7)</f>
        <v>2</v>
      </c>
      <c r="AB425" s="3" t="s">
        <v>799</v>
      </c>
      <c r="AC425" s="7">
        <v>146</v>
      </c>
      <c r="AD425" s="7">
        <v>0</v>
      </c>
      <c r="AE425" s="7">
        <v>0</v>
      </c>
      <c r="AF425" s="3" t="s">
        <v>48</v>
      </c>
      <c r="AG425" s="7">
        <v>2023</v>
      </c>
      <c r="AH425" s="3" t="s">
        <v>112</v>
      </c>
      <c r="AI425" s="3" t="s">
        <v>113</v>
      </c>
      <c r="AJ425" s="3" t="s">
        <v>48</v>
      </c>
      <c r="AK425" s="3" t="s">
        <v>79</v>
      </c>
      <c r="AL425" s="3" t="s">
        <v>59</v>
      </c>
      <c r="AM425" s="3" t="s">
        <v>115</v>
      </c>
      <c r="AN425" s="3" t="s">
        <v>61</v>
      </c>
      <c r="AO425" s="3" t="s">
        <v>62</v>
      </c>
      <c r="AP425" s="3" t="s">
        <v>69</v>
      </c>
      <c r="AQ425" s="3" t="s">
        <v>61</v>
      </c>
      <c r="AR425" s="3" t="s">
        <v>48</v>
      </c>
    </row>
    <row r="426" spans="1:44" ht="30" customHeight="1">
      <c r="A426" s="3" t="s">
        <v>44</v>
      </c>
      <c r="B426" s="3" t="s">
        <v>45</v>
      </c>
      <c r="C426" s="3" t="s">
        <v>80</v>
      </c>
      <c r="D426" s="3" t="s">
        <v>81</v>
      </c>
      <c r="E426" s="3" t="s">
        <v>48</v>
      </c>
      <c r="F426" s="3" t="s">
        <v>81</v>
      </c>
      <c r="G426" s="3" t="s">
        <v>2011</v>
      </c>
      <c r="H426" s="4">
        <f>IF(DATEDIF(L426,S426,"m")&gt;12,DATEDIF(L426,S426,"y"),(DATEDIF(L426,S426,"m")/12))</f>
        <v>18</v>
      </c>
      <c r="I426" s="7">
        <f>DATEDIF(L426,S426,"M")</f>
        <v>216</v>
      </c>
      <c r="J426" s="7">
        <f>DATEDIF(L426,S426,"D")</f>
        <v>6587</v>
      </c>
      <c r="K426" s="3" t="s">
        <v>51</v>
      </c>
      <c r="L426" s="8">
        <v>38356</v>
      </c>
      <c r="M426" s="3" t="s">
        <v>45</v>
      </c>
      <c r="N426" s="3" t="s">
        <v>187</v>
      </c>
      <c r="O426" s="3" t="s">
        <v>52</v>
      </c>
      <c r="P426" s="3" t="s">
        <v>2012</v>
      </c>
      <c r="Q426" s="7">
        <v>1</v>
      </c>
      <c r="R426" s="8">
        <v>44961</v>
      </c>
      <c r="S426" s="8">
        <v>44943</v>
      </c>
      <c r="T426" s="3" t="s">
        <v>54</v>
      </c>
      <c r="U426" s="3" t="s">
        <v>55</v>
      </c>
      <c r="V426" s="9"/>
      <c r="W426" s="24">
        <v>44971</v>
      </c>
      <c r="X426" s="7">
        <v>10</v>
      </c>
      <c r="Y426" s="7">
        <v>18</v>
      </c>
      <c r="Z426" s="7">
        <v>1</v>
      </c>
      <c r="AA426" s="7">
        <f>INT((S426-DATE(YEAR(S426-WEEKDAY(S426-0)+4),1,4)+WEEKDAY(DATE(YEAR(S426-WEEKDAY(S426-0)+4),1,4))+6)/7)</f>
        <v>3</v>
      </c>
      <c r="AB426" s="3" t="s">
        <v>2013</v>
      </c>
      <c r="AC426" s="7">
        <v>13948</v>
      </c>
      <c r="AD426" s="7">
        <v>0</v>
      </c>
      <c r="AE426" s="7">
        <v>0</v>
      </c>
      <c r="AF426" s="3" t="s">
        <v>48</v>
      </c>
      <c r="AG426" s="7">
        <v>2023</v>
      </c>
      <c r="AH426" s="3" t="s">
        <v>86</v>
      </c>
      <c r="AI426" s="3" t="s">
        <v>48</v>
      </c>
      <c r="AJ426" s="3" t="s">
        <v>48</v>
      </c>
      <c r="AK426" s="3" t="s">
        <v>1538</v>
      </c>
      <c r="AL426" s="3" t="s">
        <v>59</v>
      </c>
      <c r="AM426" s="3" t="s">
        <v>60</v>
      </c>
      <c r="AN426" s="3" t="s">
        <v>69</v>
      </c>
      <c r="AO426" s="3" t="s">
        <v>62</v>
      </c>
      <c r="AP426" s="3" t="s">
        <v>69</v>
      </c>
      <c r="AQ426" s="3" t="s">
        <v>61</v>
      </c>
      <c r="AR426" s="3" t="s">
        <v>48</v>
      </c>
    </row>
    <row r="427" spans="1:44" ht="30" customHeight="1">
      <c r="A427" s="3" t="s">
        <v>44</v>
      </c>
      <c r="B427" s="3" t="s">
        <v>45</v>
      </c>
      <c r="C427" s="3" t="s">
        <v>80</v>
      </c>
      <c r="D427" s="3" t="s">
        <v>81</v>
      </c>
      <c r="E427" s="3" t="s">
        <v>48</v>
      </c>
      <c r="F427" s="3" t="s">
        <v>81</v>
      </c>
      <c r="G427" s="3" t="s">
        <v>2049</v>
      </c>
      <c r="H427" s="5">
        <f>IF(DATEDIF(L427,S427,"m")&gt;12,DATEDIF(L427,S427,"y"),(DATEDIF(L427,S427,"m")/12))</f>
        <v>0.75</v>
      </c>
      <c r="I427" s="7">
        <f>DATEDIF(L427,S427,"M")</f>
        <v>9</v>
      </c>
      <c r="J427" s="7">
        <f>DATEDIF(L427,S427,"D")</f>
        <v>282</v>
      </c>
      <c r="K427" s="3" t="s">
        <v>64</v>
      </c>
      <c r="L427" s="8">
        <v>44684</v>
      </c>
      <c r="M427" s="3" t="s">
        <v>45</v>
      </c>
      <c r="N427" s="3" t="s">
        <v>203</v>
      </c>
      <c r="O427" s="3" t="s">
        <v>52</v>
      </c>
      <c r="P427" s="3" t="s">
        <v>137</v>
      </c>
      <c r="Q427" s="7">
        <v>1</v>
      </c>
      <c r="R427" s="8">
        <v>44966</v>
      </c>
      <c r="S427" s="8">
        <v>44966</v>
      </c>
      <c r="T427" s="3" t="s">
        <v>54</v>
      </c>
      <c r="U427" s="3" t="s">
        <v>55</v>
      </c>
      <c r="V427" s="9"/>
      <c r="W427" s="24">
        <v>44971</v>
      </c>
      <c r="X427" s="7">
        <v>5</v>
      </c>
      <c r="Y427" s="7">
        <v>0</v>
      </c>
      <c r="Z427" s="7">
        <v>2</v>
      </c>
      <c r="AA427" s="7">
        <f>INT((S427-DATE(YEAR(S427-WEEKDAY(S427-0)+4),1,4)+WEEKDAY(DATE(YEAR(S427-WEEKDAY(S427-0)+4),1,4))+6)/7)</f>
        <v>6</v>
      </c>
      <c r="AB427" s="3" t="s">
        <v>2050</v>
      </c>
      <c r="AC427" s="7">
        <v>13965</v>
      </c>
      <c r="AD427" s="7">
        <v>0</v>
      </c>
      <c r="AE427" s="7">
        <v>0</v>
      </c>
      <c r="AF427" s="3" t="s">
        <v>48</v>
      </c>
      <c r="AG427" s="7">
        <v>2023</v>
      </c>
      <c r="AH427" s="3" t="s">
        <v>86</v>
      </c>
      <c r="AI427" s="3" t="s">
        <v>48</v>
      </c>
      <c r="AJ427" s="3" t="s">
        <v>48</v>
      </c>
      <c r="AK427" s="3" t="s">
        <v>209</v>
      </c>
      <c r="AL427" s="3" t="s">
        <v>59</v>
      </c>
      <c r="AM427" s="3" t="s">
        <v>60</v>
      </c>
      <c r="AN427" s="3" t="s">
        <v>69</v>
      </c>
      <c r="AO427" s="3" t="s">
        <v>62</v>
      </c>
      <c r="AP427" s="3" t="s">
        <v>69</v>
      </c>
      <c r="AQ427" s="3" t="s">
        <v>61</v>
      </c>
      <c r="AR427" s="3" t="s">
        <v>48</v>
      </c>
    </row>
    <row r="428" spans="1:44" ht="30" customHeight="1">
      <c r="A428" s="3" t="s">
        <v>44</v>
      </c>
      <c r="B428" s="3" t="s">
        <v>45</v>
      </c>
      <c r="C428" s="3" t="s">
        <v>46</v>
      </c>
      <c r="D428" s="3" t="s">
        <v>100</v>
      </c>
      <c r="E428" s="3" t="s">
        <v>48</v>
      </c>
      <c r="F428" s="3" t="s">
        <v>100</v>
      </c>
      <c r="G428" s="3" t="s">
        <v>48</v>
      </c>
      <c r="H428" s="4">
        <f>IF(DATEDIF(L428,S428,"m")&gt;12,DATEDIF(L428,S428,"y"),(DATEDIF(L428,S428,"m")/12))</f>
        <v>2</v>
      </c>
      <c r="I428" s="7">
        <f>DATEDIF(L428,S428,"M")</f>
        <v>25</v>
      </c>
      <c r="J428" s="7">
        <f>DATEDIF(L428,S428,"D")</f>
        <v>766</v>
      </c>
      <c r="K428" s="3" t="s">
        <v>51</v>
      </c>
      <c r="L428" s="8">
        <v>44192</v>
      </c>
      <c r="M428" s="3" t="s">
        <v>45</v>
      </c>
      <c r="N428" s="3" t="s">
        <v>159</v>
      </c>
      <c r="O428" s="3" t="s">
        <v>52</v>
      </c>
      <c r="P428" s="3" t="s">
        <v>137</v>
      </c>
      <c r="Q428" s="7">
        <v>0</v>
      </c>
      <c r="R428" s="8">
        <v>44961</v>
      </c>
      <c r="S428" s="8">
        <v>44958</v>
      </c>
      <c r="T428" s="3" t="s">
        <v>54</v>
      </c>
      <c r="U428" s="3" t="s">
        <v>55</v>
      </c>
      <c r="V428" s="9"/>
      <c r="W428" s="24">
        <v>44971</v>
      </c>
      <c r="X428" s="7">
        <v>10</v>
      </c>
      <c r="Y428" s="7">
        <v>3</v>
      </c>
      <c r="Z428" s="7">
        <v>2</v>
      </c>
      <c r="AA428" s="7">
        <f>INT((S428-DATE(YEAR(S428-WEEKDAY(S428-0)+4),1,4)+WEEKDAY(DATE(YEAR(S428-WEEKDAY(S428-0)+4),1,4))+6)/7)</f>
        <v>5</v>
      </c>
      <c r="AB428" s="3" t="s">
        <v>2067</v>
      </c>
      <c r="AC428" s="7">
        <v>258</v>
      </c>
      <c r="AD428" s="7">
        <v>0</v>
      </c>
      <c r="AE428" s="7">
        <v>0</v>
      </c>
      <c r="AF428" s="3" t="s">
        <v>48</v>
      </c>
      <c r="AG428" s="7">
        <v>2023</v>
      </c>
      <c r="AH428" s="3" t="s">
        <v>223</v>
      </c>
      <c r="AI428" s="3" t="s">
        <v>106</v>
      </c>
      <c r="AJ428" s="3" t="s">
        <v>78</v>
      </c>
      <c r="AK428" s="3" t="s">
        <v>1359</v>
      </c>
      <c r="AL428" s="3" t="s">
        <v>59</v>
      </c>
      <c r="AM428" s="3" t="s">
        <v>99</v>
      </c>
      <c r="AN428" s="3" t="s">
        <v>61</v>
      </c>
      <c r="AO428" s="3" t="s">
        <v>62</v>
      </c>
      <c r="AP428" s="3" t="s">
        <v>69</v>
      </c>
      <c r="AQ428" s="3" t="s">
        <v>61</v>
      </c>
      <c r="AR428" s="3" t="s">
        <v>48</v>
      </c>
    </row>
    <row r="429" spans="1:44" ht="30" customHeight="1">
      <c r="A429" s="3" t="s">
        <v>44</v>
      </c>
      <c r="B429" s="3" t="s">
        <v>45</v>
      </c>
      <c r="C429" s="3" t="s">
        <v>80</v>
      </c>
      <c r="D429" s="3" t="s">
        <v>81</v>
      </c>
      <c r="E429" s="3" t="s">
        <v>48</v>
      </c>
      <c r="F429" s="3" t="s">
        <v>81</v>
      </c>
      <c r="G429" s="3" t="s">
        <v>2081</v>
      </c>
      <c r="H429" s="4">
        <f>IF(DATEDIF(L429,S429,"m")&gt;12,DATEDIF(L429,S429,"y"),(DATEDIF(L429,S429,"m")/12))</f>
        <v>25</v>
      </c>
      <c r="I429" s="7">
        <f>DATEDIF(L429,S429,"M")</f>
        <v>309</v>
      </c>
      <c r="J429" s="7">
        <f>DATEDIF(L429,S429,"D")</f>
        <v>9407</v>
      </c>
      <c r="K429" s="3" t="s">
        <v>64</v>
      </c>
      <c r="L429" s="8">
        <v>35546</v>
      </c>
      <c r="M429" s="3" t="s">
        <v>45</v>
      </c>
      <c r="N429" s="3" t="s">
        <v>164</v>
      </c>
      <c r="O429" s="3" t="s">
        <v>52</v>
      </c>
      <c r="P429" s="3" t="s">
        <v>322</v>
      </c>
      <c r="Q429" s="7">
        <v>1</v>
      </c>
      <c r="R429" s="8">
        <v>44962</v>
      </c>
      <c r="S429" s="8">
        <v>44953</v>
      </c>
      <c r="T429" s="3" t="s">
        <v>54</v>
      </c>
      <c r="U429" s="3" t="s">
        <v>55</v>
      </c>
      <c r="V429" s="9"/>
      <c r="W429" s="24">
        <v>44971</v>
      </c>
      <c r="X429" s="7">
        <v>9</v>
      </c>
      <c r="Y429" s="7">
        <v>9</v>
      </c>
      <c r="Z429" s="7">
        <v>1</v>
      </c>
      <c r="AA429" s="7">
        <f>INT((S429-DATE(YEAR(S429-WEEKDAY(S429-0)+4),1,4)+WEEKDAY(DATE(YEAR(S429-WEEKDAY(S429-0)+4),1,4))+6)/7)</f>
        <v>4</v>
      </c>
      <c r="AB429" s="3" t="s">
        <v>2082</v>
      </c>
      <c r="AC429" s="7">
        <v>13958</v>
      </c>
      <c r="AD429" s="7">
        <v>0</v>
      </c>
      <c r="AE429" s="7">
        <v>0</v>
      </c>
      <c r="AF429" s="3" t="s">
        <v>48</v>
      </c>
      <c r="AG429" s="7">
        <v>2023</v>
      </c>
      <c r="AH429" s="3" t="s">
        <v>86</v>
      </c>
      <c r="AI429" s="3" t="s">
        <v>48</v>
      </c>
      <c r="AJ429" s="3" t="s">
        <v>48</v>
      </c>
      <c r="AK429" s="3" t="s">
        <v>870</v>
      </c>
      <c r="AL429" s="3" t="s">
        <v>59</v>
      </c>
      <c r="AM429" s="3" t="s">
        <v>60</v>
      </c>
      <c r="AN429" s="3" t="s">
        <v>69</v>
      </c>
      <c r="AO429" s="3" t="s">
        <v>62</v>
      </c>
      <c r="AP429" s="3" t="s">
        <v>69</v>
      </c>
      <c r="AQ429" s="3" t="s">
        <v>61</v>
      </c>
      <c r="AR429" s="3" t="s">
        <v>48</v>
      </c>
    </row>
    <row r="430" spans="1:44" ht="30" customHeight="1">
      <c r="A430" s="3" t="s">
        <v>44</v>
      </c>
      <c r="B430" s="3" t="s">
        <v>45</v>
      </c>
      <c r="C430" s="3" t="s">
        <v>46</v>
      </c>
      <c r="D430" s="3" t="s">
        <v>108</v>
      </c>
      <c r="E430" s="3" t="s">
        <v>48</v>
      </c>
      <c r="F430" s="3" t="s">
        <v>108</v>
      </c>
      <c r="G430" s="3" t="s">
        <v>2292</v>
      </c>
      <c r="H430" s="4">
        <f>IF(DATEDIF(L430,S430,"m")&gt;12,DATEDIF(L430,S430,"y"),(DATEDIF(L430,S430,"m")/12))</f>
        <v>8</v>
      </c>
      <c r="I430" s="7">
        <f>DATEDIF(L430,S430,"M")</f>
        <v>103</v>
      </c>
      <c r="J430" s="7">
        <f>DATEDIF(L430,S430,"D")</f>
        <v>3137</v>
      </c>
      <c r="K430" s="3" t="s">
        <v>51</v>
      </c>
      <c r="L430" s="8">
        <v>41814</v>
      </c>
      <c r="M430" s="3" t="s">
        <v>45</v>
      </c>
      <c r="N430" s="3" t="s">
        <v>73</v>
      </c>
      <c r="O430" s="3" t="s">
        <v>52</v>
      </c>
      <c r="P430" s="3" t="s">
        <v>600</v>
      </c>
      <c r="Q430" s="7">
        <v>0</v>
      </c>
      <c r="R430" s="8">
        <v>44952</v>
      </c>
      <c r="S430" s="8">
        <v>44951</v>
      </c>
      <c r="T430" s="3" t="s">
        <v>54</v>
      </c>
      <c r="U430" s="3" t="s">
        <v>55</v>
      </c>
      <c r="V430" s="9"/>
      <c r="W430" s="30">
        <v>44957</v>
      </c>
      <c r="X430" s="7">
        <v>5</v>
      </c>
      <c r="Y430" s="7">
        <v>1</v>
      </c>
      <c r="Z430" s="7">
        <v>1</v>
      </c>
      <c r="AA430" s="7">
        <f>INT((S430-DATE(YEAR(S430-WEEKDAY(S430-0)+4),1,4)+WEEKDAY(DATE(YEAR(S430-WEEKDAY(S430-0)+4),1,4))+6)/7)</f>
        <v>4</v>
      </c>
      <c r="AB430" s="3" t="s">
        <v>2293</v>
      </c>
      <c r="AC430" s="7">
        <v>171</v>
      </c>
      <c r="AD430" s="7">
        <v>0</v>
      </c>
      <c r="AE430" s="7">
        <v>0</v>
      </c>
      <c r="AF430" s="3" t="s">
        <v>48</v>
      </c>
      <c r="AG430" s="7">
        <v>2023</v>
      </c>
      <c r="AH430" s="3" t="s">
        <v>112</v>
      </c>
      <c r="AI430" s="3" t="s">
        <v>113</v>
      </c>
      <c r="AJ430" s="3" t="s">
        <v>48</v>
      </c>
      <c r="AK430" s="3" t="s">
        <v>79</v>
      </c>
      <c r="AL430" s="3" t="s">
        <v>59</v>
      </c>
      <c r="AM430" s="3" t="s">
        <v>115</v>
      </c>
      <c r="AN430" s="3" t="s">
        <v>61</v>
      </c>
      <c r="AO430" s="3" t="s">
        <v>62</v>
      </c>
      <c r="AP430" s="3" t="s">
        <v>69</v>
      </c>
      <c r="AQ430" s="3" t="s">
        <v>61</v>
      </c>
      <c r="AR430" s="3" t="s">
        <v>48</v>
      </c>
    </row>
    <row r="431" spans="1:44" ht="30" customHeight="1">
      <c r="A431" s="3" t="s">
        <v>44</v>
      </c>
      <c r="B431" s="3" t="s">
        <v>45</v>
      </c>
      <c r="C431" s="3" t="s">
        <v>46</v>
      </c>
      <c r="D431" s="3" t="s">
        <v>108</v>
      </c>
      <c r="E431" s="3" t="s">
        <v>48</v>
      </c>
      <c r="F431" s="3" t="s">
        <v>108</v>
      </c>
      <c r="G431" s="3" t="s">
        <v>1539</v>
      </c>
      <c r="H431" s="4">
        <f>IF(DATEDIF(L431,S431,"m")&gt;12,DATEDIF(L431,S431,"y"),(DATEDIF(L431,S431,"m")/12))</f>
        <v>1</v>
      </c>
      <c r="I431" s="7">
        <f>DATEDIF(L431,S431,"M")</f>
        <v>18</v>
      </c>
      <c r="J431" s="7">
        <f>DATEDIF(L431,S431,"D")</f>
        <v>573</v>
      </c>
      <c r="K431" s="3" t="s">
        <v>64</v>
      </c>
      <c r="L431" s="8">
        <v>44381</v>
      </c>
      <c r="M431" s="3" t="s">
        <v>45</v>
      </c>
      <c r="N431" s="3" t="s">
        <v>73</v>
      </c>
      <c r="O431" s="3" t="s">
        <v>52</v>
      </c>
      <c r="P431" s="3" t="s">
        <v>103</v>
      </c>
      <c r="Q431" s="7">
        <v>0</v>
      </c>
      <c r="R431" s="8">
        <v>44956</v>
      </c>
      <c r="S431" s="8">
        <v>44954</v>
      </c>
      <c r="T431" s="3" t="s">
        <v>54</v>
      </c>
      <c r="U431" s="3" t="s">
        <v>55</v>
      </c>
      <c r="V431" s="9"/>
      <c r="W431" s="30">
        <v>44963</v>
      </c>
      <c r="X431" s="7">
        <v>7</v>
      </c>
      <c r="Y431" s="7">
        <v>2</v>
      </c>
      <c r="Z431" s="7">
        <v>1</v>
      </c>
      <c r="AA431" s="7">
        <f>INT((S431-DATE(YEAR(S431-WEEKDAY(S431-0)+4),1,4)+WEEKDAY(DATE(YEAR(S431-WEEKDAY(S431-0)+4),1,4))+6)/7)</f>
        <v>4</v>
      </c>
      <c r="AB431" s="3" t="s">
        <v>1540</v>
      </c>
      <c r="AC431" s="7">
        <v>180</v>
      </c>
      <c r="AD431" s="7">
        <v>0</v>
      </c>
      <c r="AE431" s="7">
        <v>0</v>
      </c>
      <c r="AF431" s="3" t="s">
        <v>48</v>
      </c>
      <c r="AG431" s="7">
        <v>2023</v>
      </c>
      <c r="AH431" s="3" t="s">
        <v>112</v>
      </c>
      <c r="AI431" s="3" t="s">
        <v>113</v>
      </c>
      <c r="AJ431" s="3" t="s">
        <v>48</v>
      </c>
      <c r="AK431" s="3" t="s">
        <v>79</v>
      </c>
      <c r="AL431" s="3" t="s">
        <v>59</v>
      </c>
      <c r="AM431" s="3" t="s">
        <v>115</v>
      </c>
      <c r="AN431" s="3" t="s">
        <v>61</v>
      </c>
      <c r="AO431" s="3" t="s">
        <v>62</v>
      </c>
      <c r="AP431" s="3" t="s">
        <v>69</v>
      </c>
      <c r="AQ431" s="3" t="s">
        <v>61</v>
      </c>
      <c r="AR431" s="3" t="s">
        <v>48</v>
      </c>
    </row>
    <row r="432" spans="1:44" ht="30" customHeight="1">
      <c r="A432" s="3" t="s">
        <v>44</v>
      </c>
      <c r="B432" s="3" t="s">
        <v>45</v>
      </c>
      <c r="C432" s="3" t="s">
        <v>46</v>
      </c>
      <c r="D432" s="3" t="s">
        <v>108</v>
      </c>
      <c r="E432" s="3" t="s">
        <v>48</v>
      </c>
      <c r="F432" s="3" t="s">
        <v>108</v>
      </c>
      <c r="G432" s="3" t="s">
        <v>1763</v>
      </c>
      <c r="H432" s="5">
        <f>IF(DATEDIF(L432,S432,"m")&gt;12,DATEDIF(L432,S432,"y"),(DATEDIF(L432,S432,"m")/12))</f>
        <v>0.83333333333333337</v>
      </c>
      <c r="I432" s="7">
        <f>DATEDIF(L432,S432,"M")</f>
        <v>10</v>
      </c>
      <c r="J432" s="7">
        <f>DATEDIF(L432,S432,"D")</f>
        <v>333</v>
      </c>
      <c r="K432" s="3" t="s">
        <v>51</v>
      </c>
      <c r="L432" s="8">
        <v>44630</v>
      </c>
      <c r="M432" s="3" t="s">
        <v>45</v>
      </c>
      <c r="N432" s="3" t="s">
        <v>73</v>
      </c>
      <c r="O432" s="3" t="s">
        <v>52</v>
      </c>
      <c r="P432" s="3" t="s">
        <v>1331</v>
      </c>
      <c r="Q432" s="7">
        <v>0</v>
      </c>
      <c r="R432" s="8">
        <v>44965</v>
      </c>
      <c r="S432" s="8">
        <v>44963</v>
      </c>
      <c r="T432" s="3" t="s">
        <v>54</v>
      </c>
      <c r="U432" s="3" t="s">
        <v>55</v>
      </c>
      <c r="V432" s="9"/>
      <c r="W432" s="24">
        <v>44971</v>
      </c>
      <c r="X432" s="7">
        <v>6</v>
      </c>
      <c r="Y432" s="7">
        <v>2</v>
      </c>
      <c r="Z432" s="7">
        <v>2</v>
      </c>
      <c r="AA432" s="7">
        <f>INT((S432-DATE(YEAR(S432-WEEKDAY(S432-0)+4),1,4)+WEEKDAY(DATE(YEAR(S432-WEEKDAY(S432-0)+4),1,4))+6)/7)</f>
        <v>6</v>
      </c>
      <c r="AB432" s="3" t="s">
        <v>1764</v>
      </c>
      <c r="AC432" s="7">
        <v>242</v>
      </c>
      <c r="AD432" s="7">
        <v>0</v>
      </c>
      <c r="AE432" s="7">
        <v>0</v>
      </c>
      <c r="AF432" s="3" t="s">
        <v>48</v>
      </c>
      <c r="AG432" s="7">
        <v>2023</v>
      </c>
      <c r="AH432" s="3" t="s">
        <v>112</v>
      </c>
      <c r="AI432" s="3" t="s">
        <v>113</v>
      </c>
      <c r="AJ432" s="3" t="s">
        <v>48</v>
      </c>
      <c r="AK432" s="3" t="s">
        <v>79</v>
      </c>
      <c r="AL432" s="3" t="s">
        <v>59</v>
      </c>
      <c r="AM432" s="3" t="s">
        <v>115</v>
      </c>
      <c r="AN432" s="3" t="s">
        <v>61</v>
      </c>
      <c r="AO432" s="3" t="s">
        <v>62</v>
      </c>
      <c r="AP432" s="3" t="s">
        <v>69</v>
      </c>
      <c r="AQ432" s="3" t="s">
        <v>61</v>
      </c>
      <c r="AR432" s="3" t="s">
        <v>48</v>
      </c>
    </row>
    <row r="433" spans="1:44" ht="30" customHeight="1">
      <c r="A433" s="3" t="s">
        <v>44</v>
      </c>
      <c r="B433" s="3" t="s">
        <v>45</v>
      </c>
      <c r="C433" s="3" t="s">
        <v>46</v>
      </c>
      <c r="D433" s="3" t="s">
        <v>108</v>
      </c>
      <c r="E433" s="3" t="s">
        <v>48</v>
      </c>
      <c r="F433" s="3" t="s">
        <v>108</v>
      </c>
      <c r="G433" s="3" t="s">
        <v>1943</v>
      </c>
      <c r="H433" s="5">
        <f>IF(DATEDIF(L433,S433,"m")&gt;12,DATEDIF(L433,S433,"y"),(DATEDIF(L433,S433,"m")/12))</f>
        <v>0.66666666666666663</v>
      </c>
      <c r="I433" s="7">
        <f>DATEDIF(L433,S433,"M")</f>
        <v>8</v>
      </c>
      <c r="J433" s="7">
        <f>DATEDIF(L433,S433,"D")</f>
        <v>258</v>
      </c>
      <c r="K433" s="3" t="s">
        <v>64</v>
      </c>
      <c r="L433" s="8">
        <v>44692</v>
      </c>
      <c r="M433" s="3" t="s">
        <v>45</v>
      </c>
      <c r="N433" s="3" t="s">
        <v>73</v>
      </c>
      <c r="O433" s="3" t="s">
        <v>52</v>
      </c>
      <c r="P433" s="3" t="s">
        <v>137</v>
      </c>
      <c r="Q433" s="7">
        <v>0</v>
      </c>
      <c r="R433" s="8">
        <v>44964</v>
      </c>
      <c r="S433" s="8">
        <v>44950</v>
      </c>
      <c r="T433" s="3" t="s">
        <v>54</v>
      </c>
      <c r="U433" s="3" t="s">
        <v>55</v>
      </c>
      <c r="V433" s="9"/>
      <c r="W433" s="24">
        <v>44971</v>
      </c>
      <c r="X433" s="7">
        <v>7</v>
      </c>
      <c r="Y433" s="7">
        <v>14</v>
      </c>
      <c r="Z433" s="7">
        <v>1</v>
      </c>
      <c r="AA433" s="7">
        <f>INT((S433-DATE(YEAR(S433-WEEKDAY(S433-0)+4),1,4)+WEEKDAY(DATE(YEAR(S433-WEEKDAY(S433-0)+4),1,4))+6)/7)</f>
        <v>4</v>
      </c>
      <c r="AB433" s="3" t="s">
        <v>1944</v>
      </c>
      <c r="AC433" s="7">
        <v>221</v>
      </c>
      <c r="AD433" s="7">
        <v>0</v>
      </c>
      <c r="AE433" s="7">
        <v>0</v>
      </c>
      <c r="AF433" s="3" t="s">
        <v>48</v>
      </c>
      <c r="AG433" s="7">
        <v>2023</v>
      </c>
      <c r="AH433" s="3" t="s">
        <v>112</v>
      </c>
      <c r="AI433" s="3" t="s">
        <v>113</v>
      </c>
      <c r="AJ433" s="3" t="s">
        <v>48</v>
      </c>
      <c r="AK433" s="3" t="s">
        <v>79</v>
      </c>
      <c r="AL433" s="3" t="s">
        <v>59</v>
      </c>
      <c r="AM433" s="3" t="s">
        <v>115</v>
      </c>
      <c r="AN433" s="3" t="s">
        <v>61</v>
      </c>
      <c r="AO433" s="3" t="s">
        <v>62</v>
      </c>
      <c r="AP433" s="3" t="s">
        <v>69</v>
      </c>
      <c r="AQ433" s="3" t="s">
        <v>61</v>
      </c>
      <c r="AR433" s="3" t="s">
        <v>48</v>
      </c>
    </row>
    <row r="434" spans="1:44" ht="30" customHeight="1">
      <c r="A434" s="3" t="s">
        <v>44</v>
      </c>
      <c r="B434" s="3" t="s">
        <v>45</v>
      </c>
      <c r="C434" s="3" t="s">
        <v>46</v>
      </c>
      <c r="D434" s="3" t="s">
        <v>108</v>
      </c>
      <c r="E434" s="3" t="s">
        <v>48</v>
      </c>
      <c r="F434" s="3" t="s">
        <v>108</v>
      </c>
      <c r="G434" s="3" t="s">
        <v>2405</v>
      </c>
      <c r="H434" s="4">
        <f>IF(DATEDIF(L434,S434,"m")&gt;12,DATEDIF(L434,S434,"y"),(DATEDIF(L434,S434,"m")/12))</f>
        <v>6</v>
      </c>
      <c r="I434" s="7">
        <f>DATEDIF(L434,S434,"M")</f>
        <v>76</v>
      </c>
      <c r="J434" s="7">
        <f>DATEDIF(L434,S434,"D")</f>
        <v>2342</v>
      </c>
      <c r="K434" s="3" t="s">
        <v>51</v>
      </c>
      <c r="L434" s="8">
        <v>42622</v>
      </c>
      <c r="M434" s="3" t="s">
        <v>45</v>
      </c>
      <c r="N434" s="3" t="s">
        <v>73</v>
      </c>
      <c r="O434" s="3" t="s">
        <v>52</v>
      </c>
      <c r="P434" s="3" t="s">
        <v>225</v>
      </c>
      <c r="Q434" s="7">
        <v>0</v>
      </c>
      <c r="R434" s="8">
        <v>44966</v>
      </c>
      <c r="S434" s="8">
        <v>44964</v>
      </c>
      <c r="T434" s="3" t="s">
        <v>54</v>
      </c>
      <c r="U434" s="3" t="s">
        <v>55</v>
      </c>
      <c r="V434" s="9"/>
      <c r="W434" s="24">
        <v>44971</v>
      </c>
      <c r="X434" s="7">
        <v>5</v>
      </c>
      <c r="Y434" s="7">
        <v>2</v>
      </c>
      <c r="Z434" s="7">
        <v>2</v>
      </c>
      <c r="AA434" s="7">
        <f>INT((S434-DATE(YEAR(S434-WEEKDAY(S434-0)+4),1,4)+WEEKDAY(DATE(YEAR(S434-WEEKDAY(S434-0)+4),1,4))+6)/7)</f>
        <v>6</v>
      </c>
      <c r="AB434" s="3" t="s">
        <v>2406</v>
      </c>
      <c r="AC434" s="7">
        <v>251</v>
      </c>
      <c r="AD434" s="7">
        <v>0</v>
      </c>
      <c r="AE434" s="7">
        <v>0</v>
      </c>
      <c r="AF434" s="3" t="s">
        <v>48</v>
      </c>
      <c r="AG434" s="7">
        <v>2023</v>
      </c>
      <c r="AH434" s="3" t="s">
        <v>112</v>
      </c>
      <c r="AI434" s="3" t="s">
        <v>113</v>
      </c>
      <c r="AJ434" s="3" t="s">
        <v>48</v>
      </c>
      <c r="AK434" s="26" t="s">
        <v>79</v>
      </c>
      <c r="AL434" s="3" t="s">
        <v>59</v>
      </c>
      <c r="AM434" s="3" t="s">
        <v>115</v>
      </c>
      <c r="AN434" s="3" t="s">
        <v>61</v>
      </c>
      <c r="AO434" s="3" t="s">
        <v>62</v>
      </c>
      <c r="AP434" s="3" t="s">
        <v>69</v>
      </c>
      <c r="AQ434" s="3" t="s">
        <v>61</v>
      </c>
      <c r="AR434" s="3" t="s">
        <v>48</v>
      </c>
    </row>
    <row r="435" spans="1:44" ht="30" customHeight="1">
      <c r="A435" s="3" t="s">
        <v>44</v>
      </c>
      <c r="B435" s="3" t="s">
        <v>45</v>
      </c>
      <c r="C435" s="3" t="s">
        <v>46</v>
      </c>
      <c r="D435" s="3" t="s">
        <v>108</v>
      </c>
      <c r="E435" s="3" t="s">
        <v>48</v>
      </c>
      <c r="F435" s="3" t="s">
        <v>108</v>
      </c>
      <c r="G435" s="3" t="s">
        <v>2129</v>
      </c>
      <c r="H435" s="4">
        <f>IF(DATEDIF(L435,S435,"m")&gt;12,DATEDIF(L435,S435,"y"),(DATEDIF(L435,S435,"m")/12))</f>
        <v>1</v>
      </c>
      <c r="I435" s="7">
        <f>DATEDIF(L435,S435,"M")</f>
        <v>18</v>
      </c>
      <c r="J435" s="7">
        <f>DATEDIF(L435,S435,"D")</f>
        <v>566</v>
      </c>
      <c r="K435" s="3" t="s">
        <v>64</v>
      </c>
      <c r="L435" s="8">
        <v>44408</v>
      </c>
      <c r="M435" s="3" t="s">
        <v>45</v>
      </c>
      <c r="N435" s="3" t="s">
        <v>73</v>
      </c>
      <c r="O435" s="3" t="s">
        <v>52</v>
      </c>
      <c r="P435" s="3" t="s">
        <v>180</v>
      </c>
      <c r="Q435" s="7">
        <v>0</v>
      </c>
      <c r="R435" s="8">
        <v>44977</v>
      </c>
      <c r="S435" s="8">
        <v>44974</v>
      </c>
      <c r="T435" s="3" t="s">
        <v>54</v>
      </c>
      <c r="U435" s="3" t="s">
        <v>55</v>
      </c>
      <c r="V435" s="9"/>
      <c r="W435" s="30">
        <v>44984</v>
      </c>
      <c r="X435" s="7">
        <v>7</v>
      </c>
      <c r="Y435" s="7">
        <v>3</v>
      </c>
      <c r="Z435" s="7">
        <v>2</v>
      </c>
      <c r="AA435" s="7">
        <f>INT((S435-DATE(YEAR(S435-WEEKDAY(S435-0)+4),1,4)+WEEKDAY(DATE(YEAR(S435-WEEKDAY(S435-0)+4),1,4))+6)/7)</f>
        <v>7</v>
      </c>
      <c r="AB435" s="3" t="s">
        <v>2130</v>
      </c>
      <c r="AC435" s="7">
        <v>277</v>
      </c>
      <c r="AD435" s="7">
        <v>0</v>
      </c>
      <c r="AE435" s="7">
        <v>0</v>
      </c>
      <c r="AF435" s="3" t="s">
        <v>48</v>
      </c>
      <c r="AG435" s="7">
        <v>2023</v>
      </c>
      <c r="AH435" s="3" t="s">
        <v>112</v>
      </c>
      <c r="AI435" s="3" t="s">
        <v>113</v>
      </c>
      <c r="AJ435" s="3" t="s">
        <v>48</v>
      </c>
      <c r="AK435" s="3" t="s">
        <v>79</v>
      </c>
      <c r="AL435" s="3" t="s">
        <v>59</v>
      </c>
      <c r="AM435" s="3" t="s">
        <v>115</v>
      </c>
      <c r="AN435" s="3" t="s">
        <v>61</v>
      </c>
      <c r="AO435" s="3" t="s">
        <v>62</v>
      </c>
      <c r="AP435" s="3" t="s">
        <v>69</v>
      </c>
      <c r="AQ435" s="3" t="s">
        <v>61</v>
      </c>
      <c r="AR435" s="3" t="s">
        <v>48</v>
      </c>
    </row>
    <row r="436" spans="1:44" ht="30" customHeight="1">
      <c r="A436" s="3" t="s">
        <v>44</v>
      </c>
      <c r="B436" s="3" t="s">
        <v>45</v>
      </c>
      <c r="C436" s="3" t="s">
        <v>46</v>
      </c>
      <c r="D436" s="3" t="s">
        <v>108</v>
      </c>
      <c r="E436" s="3" t="s">
        <v>48</v>
      </c>
      <c r="F436" s="3" t="s">
        <v>108</v>
      </c>
      <c r="G436" s="3" t="s">
        <v>2164</v>
      </c>
      <c r="H436" s="5">
        <f>IF(DATEDIF(L436,S436,"m")&gt;12,DATEDIF(L436,S436,"y"),(DATEDIF(L436,S436,"m")/12))</f>
        <v>0.58333333333333337</v>
      </c>
      <c r="I436" s="7">
        <f>DATEDIF(L436,S436,"M")</f>
        <v>7</v>
      </c>
      <c r="J436" s="7">
        <f>DATEDIF(L436,S436,"D")</f>
        <v>223</v>
      </c>
      <c r="K436" s="3" t="s">
        <v>51</v>
      </c>
      <c r="L436" s="8">
        <v>44754</v>
      </c>
      <c r="M436" s="3" t="s">
        <v>45</v>
      </c>
      <c r="N436" s="3" t="s">
        <v>73</v>
      </c>
      <c r="O436" s="3" t="s">
        <v>52</v>
      </c>
      <c r="P436" s="3" t="s">
        <v>962</v>
      </c>
      <c r="Q436" s="7">
        <v>0</v>
      </c>
      <c r="R436" s="8">
        <v>44978</v>
      </c>
      <c r="S436" s="8">
        <v>44977</v>
      </c>
      <c r="T436" s="3" t="s">
        <v>54</v>
      </c>
      <c r="U436" s="3" t="s">
        <v>55</v>
      </c>
      <c r="V436" s="9"/>
      <c r="W436" s="30">
        <v>44984</v>
      </c>
      <c r="X436" s="7">
        <v>6</v>
      </c>
      <c r="Y436" s="7">
        <v>1</v>
      </c>
      <c r="Z436" s="7">
        <v>2</v>
      </c>
      <c r="AA436" s="7">
        <f>INT((S436-DATE(YEAR(S436-WEEKDAY(S436-0)+4),1,4)+WEEKDAY(DATE(YEAR(S436-WEEKDAY(S436-0)+4),1,4))+6)/7)</f>
        <v>8</v>
      </c>
      <c r="AB436" s="3" t="s">
        <v>2165</v>
      </c>
      <c r="AC436" s="7">
        <v>289</v>
      </c>
      <c r="AD436" s="7">
        <v>0</v>
      </c>
      <c r="AE436" s="7">
        <v>0</v>
      </c>
      <c r="AF436" s="3" t="s">
        <v>48</v>
      </c>
      <c r="AG436" s="7">
        <v>2023</v>
      </c>
      <c r="AH436" s="3" t="s">
        <v>112</v>
      </c>
      <c r="AI436" s="3" t="s">
        <v>113</v>
      </c>
      <c r="AJ436" s="3" t="s">
        <v>48</v>
      </c>
      <c r="AK436" s="3" t="s">
        <v>79</v>
      </c>
      <c r="AL436" s="3" t="s">
        <v>59</v>
      </c>
      <c r="AM436" s="3" t="s">
        <v>115</v>
      </c>
      <c r="AN436" s="3" t="s">
        <v>61</v>
      </c>
      <c r="AO436" s="3" t="s">
        <v>62</v>
      </c>
      <c r="AP436" s="3" t="s">
        <v>69</v>
      </c>
      <c r="AQ436" s="3" t="s">
        <v>61</v>
      </c>
      <c r="AR436" s="3" t="s">
        <v>48</v>
      </c>
    </row>
    <row r="437" spans="1:44" ht="30" customHeight="1">
      <c r="A437" s="3" t="s">
        <v>44</v>
      </c>
      <c r="B437" s="3" t="s">
        <v>45</v>
      </c>
      <c r="C437" s="3" t="s">
        <v>46</v>
      </c>
      <c r="D437" s="3" t="s">
        <v>130</v>
      </c>
      <c r="E437" s="3" t="s">
        <v>48</v>
      </c>
      <c r="F437" s="3" t="s">
        <v>131</v>
      </c>
      <c r="G437" s="3" t="s">
        <v>48</v>
      </c>
      <c r="H437" s="4">
        <f>IF(DATEDIF(L437,S437,"m")&gt;12,DATEDIF(L437,S437,"y"),(DATEDIF(L437,S437,"m")/12))</f>
        <v>52</v>
      </c>
      <c r="I437" s="7">
        <f>DATEDIF(L437,S437,"M")</f>
        <v>631</v>
      </c>
      <c r="J437" s="7">
        <f>DATEDIF(L437,S437,"D")</f>
        <v>19208</v>
      </c>
      <c r="K437" s="3" t="s">
        <v>64</v>
      </c>
      <c r="L437" s="8">
        <v>25755</v>
      </c>
      <c r="M437" s="3" t="s">
        <v>45</v>
      </c>
      <c r="N437" s="3" t="s">
        <v>83</v>
      </c>
      <c r="O437" s="3" t="s">
        <v>52</v>
      </c>
      <c r="P437" s="3" t="s">
        <v>398</v>
      </c>
      <c r="Q437" s="7">
        <v>0</v>
      </c>
      <c r="R437" s="8">
        <v>44970</v>
      </c>
      <c r="S437" s="8">
        <v>44963</v>
      </c>
      <c r="T437" s="3" t="s">
        <v>54</v>
      </c>
      <c r="U437" s="3" t="s">
        <v>55</v>
      </c>
      <c r="V437" s="9"/>
      <c r="W437" s="24">
        <v>44972</v>
      </c>
      <c r="X437" s="7">
        <v>2</v>
      </c>
      <c r="Y437" s="7">
        <v>7</v>
      </c>
      <c r="Z437" s="7">
        <v>2</v>
      </c>
      <c r="AA437" s="7">
        <f>INT((S437-DATE(YEAR(S437-WEEKDAY(S437-0)+4),1,4)+WEEKDAY(DATE(YEAR(S437-WEEKDAY(S437-0)+4),1,4))+6)/7)</f>
        <v>6</v>
      </c>
      <c r="AB437" s="3" t="s">
        <v>399</v>
      </c>
      <c r="AC437" s="7">
        <v>103</v>
      </c>
      <c r="AD437" s="7">
        <v>0</v>
      </c>
      <c r="AE437" s="7">
        <v>0</v>
      </c>
      <c r="AF437" s="3" t="s">
        <v>48</v>
      </c>
      <c r="AG437" s="7">
        <v>2023</v>
      </c>
      <c r="AH437" s="3" t="s">
        <v>133</v>
      </c>
      <c r="AI437" s="3" t="s">
        <v>106</v>
      </c>
      <c r="AJ437" s="3" t="s">
        <v>48</v>
      </c>
      <c r="AK437" s="3" t="s">
        <v>216</v>
      </c>
      <c r="AL437" s="3" t="s">
        <v>59</v>
      </c>
      <c r="AM437" s="3" t="s">
        <v>115</v>
      </c>
      <c r="AN437" s="3" t="s">
        <v>61</v>
      </c>
      <c r="AO437" s="3" t="s">
        <v>62</v>
      </c>
      <c r="AP437" s="3" t="s">
        <v>69</v>
      </c>
      <c r="AQ437" s="3" t="s">
        <v>61</v>
      </c>
      <c r="AR437" s="3" t="s">
        <v>48</v>
      </c>
    </row>
    <row r="438" spans="1:44" ht="30" customHeight="1">
      <c r="A438" s="3" t="s">
        <v>44</v>
      </c>
      <c r="B438" s="3" t="s">
        <v>45</v>
      </c>
      <c r="C438" s="3" t="s">
        <v>46</v>
      </c>
      <c r="D438" s="3" t="s">
        <v>130</v>
      </c>
      <c r="E438" s="3" t="s">
        <v>48</v>
      </c>
      <c r="F438" s="3" t="s">
        <v>131</v>
      </c>
      <c r="G438" s="3" t="s">
        <v>48</v>
      </c>
      <c r="H438" s="4">
        <f>IF(DATEDIF(L438,S438,"m")&gt;12,DATEDIF(L438,S438,"y"),(DATEDIF(L438,S438,"m")/12))</f>
        <v>26</v>
      </c>
      <c r="I438" s="7">
        <f>DATEDIF(L438,S438,"M")</f>
        <v>319</v>
      </c>
      <c r="J438" s="7">
        <f>DATEDIF(L438,S438,"D")</f>
        <v>9715</v>
      </c>
      <c r="K438" s="3" t="s">
        <v>51</v>
      </c>
      <c r="L438" s="8">
        <v>35248</v>
      </c>
      <c r="M438" s="3" t="s">
        <v>45</v>
      </c>
      <c r="N438" s="3" t="s">
        <v>83</v>
      </c>
      <c r="O438" s="3" t="s">
        <v>52</v>
      </c>
      <c r="P438" s="3" t="s">
        <v>84</v>
      </c>
      <c r="Q438" s="7">
        <v>0</v>
      </c>
      <c r="R438" s="8">
        <v>44970</v>
      </c>
      <c r="S438" s="8">
        <v>44963</v>
      </c>
      <c r="T438" s="3" t="s">
        <v>54</v>
      </c>
      <c r="U438" s="3" t="s">
        <v>55</v>
      </c>
      <c r="V438" s="9"/>
      <c r="W438" s="24">
        <v>44972</v>
      </c>
      <c r="X438" s="7">
        <v>2</v>
      </c>
      <c r="Y438" s="7">
        <v>7</v>
      </c>
      <c r="Z438" s="7">
        <v>2</v>
      </c>
      <c r="AA438" s="7">
        <f>INT((S438-DATE(YEAR(S438-WEEKDAY(S438-0)+4),1,4)+WEEKDAY(DATE(YEAR(S438-WEEKDAY(S438-0)+4),1,4))+6)/7)</f>
        <v>6</v>
      </c>
      <c r="AB438" s="3" t="s">
        <v>543</v>
      </c>
      <c r="AC438" s="7">
        <v>105</v>
      </c>
      <c r="AD438" s="7">
        <v>0</v>
      </c>
      <c r="AE438" s="7">
        <v>0</v>
      </c>
      <c r="AF438" s="3" t="s">
        <v>48</v>
      </c>
      <c r="AG438" s="7">
        <v>2023</v>
      </c>
      <c r="AH438" s="3" t="s">
        <v>133</v>
      </c>
      <c r="AI438" s="3" t="s">
        <v>106</v>
      </c>
      <c r="AJ438" s="3" t="s">
        <v>48</v>
      </c>
      <c r="AK438" s="3" t="s">
        <v>488</v>
      </c>
      <c r="AL438" s="3" t="s">
        <v>59</v>
      </c>
      <c r="AM438" s="3" t="s">
        <v>115</v>
      </c>
      <c r="AN438" s="3" t="s">
        <v>61</v>
      </c>
      <c r="AO438" s="3" t="s">
        <v>62</v>
      </c>
      <c r="AP438" s="3" t="s">
        <v>69</v>
      </c>
      <c r="AQ438" s="3" t="s">
        <v>61</v>
      </c>
      <c r="AR438" s="3" t="s">
        <v>48</v>
      </c>
    </row>
    <row r="439" spans="1:44" ht="30" customHeight="1">
      <c r="A439" s="3" t="s">
        <v>44</v>
      </c>
      <c r="B439" s="3" t="s">
        <v>45</v>
      </c>
      <c r="C439" s="3" t="s">
        <v>46</v>
      </c>
      <c r="D439" s="3" t="s">
        <v>130</v>
      </c>
      <c r="E439" s="3" t="s">
        <v>48</v>
      </c>
      <c r="F439" s="3" t="s">
        <v>131</v>
      </c>
      <c r="G439" s="3" t="s">
        <v>48</v>
      </c>
      <c r="H439" s="5">
        <f>IF(DATEDIF(L439,S439,"m")&gt;12,DATEDIF(L439,S439,"y"),(DATEDIF(L439,S439,"m")/12))</f>
        <v>0.41666666666666669</v>
      </c>
      <c r="I439" s="7">
        <f>DATEDIF(L439,S439,"M")</f>
        <v>5</v>
      </c>
      <c r="J439" s="7">
        <f>DATEDIF(L439,S439,"D")</f>
        <v>158</v>
      </c>
      <c r="K439" s="3" t="s">
        <v>64</v>
      </c>
      <c r="L439" s="8">
        <v>44808</v>
      </c>
      <c r="M439" s="3" t="s">
        <v>45</v>
      </c>
      <c r="N439" s="3" t="s">
        <v>83</v>
      </c>
      <c r="O439" s="3" t="s">
        <v>52</v>
      </c>
      <c r="P439" s="3" t="s">
        <v>255</v>
      </c>
      <c r="Q439" s="7">
        <v>0</v>
      </c>
      <c r="R439" s="8">
        <v>44970</v>
      </c>
      <c r="S439" s="8">
        <v>44966</v>
      </c>
      <c r="T439" s="3" t="s">
        <v>54</v>
      </c>
      <c r="U439" s="3" t="s">
        <v>55</v>
      </c>
      <c r="V439" s="9"/>
      <c r="W439" s="24">
        <v>44972</v>
      </c>
      <c r="X439" s="7">
        <v>2</v>
      </c>
      <c r="Y439" s="7">
        <v>3656</v>
      </c>
      <c r="Z439" s="7">
        <v>2</v>
      </c>
      <c r="AA439" s="7">
        <f>INT((S439-DATE(YEAR(S439-WEEKDAY(S439-0)+4),1,4)+WEEKDAY(DATE(YEAR(S439-WEEKDAY(S439-0)+4),1,4))+6)/7)</f>
        <v>6</v>
      </c>
      <c r="AB439" s="3" t="s">
        <v>1299</v>
      </c>
      <c r="AC439" s="7">
        <v>100</v>
      </c>
      <c r="AD439" s="7">
        <v>0</v>
      </c>
      <c r="AE439" s="7">
        <v>0</v>
      </c>
      <c r="AF439" s="3" t="s">
        <v>48</v>
      </c>
      <c r="AG439" s="7">
        <v>2023</v>
      </c>
      <c r="AH439" s="3" t="s">
        <v>133</v>
      </c>
      <c r="AI439" s="3" t="s">
        <v>106</v>
      </c>
      <c r="AJ439" s="3" t="s">
        <v>48</v>
      </c>
      <c r="AK439" s="3" t="s">
        <v>216</v>
      </c>
      <c r="AL439" s="3" t="s">
        <v>59</v>
      </c>
      <c r="AM439" s="3" t="s">
        <v>115</v>
      </c>
      <c r="AN439" s="3" t="s">
        <v>61</v>
      </c>
      <c r="AO439" s="3" t="s">
        <v>62</v>
      </c>
      <c r="AP439" s="3" t="s">
        <v>69</v>
      </c>
      <c r="AQ439" s="3" t="s">
        <v>61</v>
      </c>
      <c r="AR439" s="3" t="s">
        <v>48</v>
      </c>
    </row>
    <row r="440" spans="1:44" ht="30" customHeight="1">
      <c r="A440" s="3" t="s">
        <v>44</v>
      </c>
      <c r="B440" s="3" t="s">
        <v>45</v>
      </c>
      <c r="C440" s="3" t="s">
        <v>46</v>
      </c>
      <c r="D440" s="3" t="s">
        <v>130</v>
      </c>
      <c r="E440" s="3" t="s">
        <v>48</v>
      </c>
      <c r="F440" s="3" t="s">
        <v>131</v>
      </c>
      <c r="G440" s="3" t="s">
        <v>48</v>
      </c>
      <c r="H440" s="4">
        <f>IF(DATEDIF(L440,S440,"m")&gt;12,DATEDIF(L440,S440,"y"),(DATEDIF(L440,S440,"m")/12))</f>
        <v>1</v>
      </c>
      <c r="I440" s="7">
        <f>DATEDIF(L440,S440,"M")</f>
        <v>20</v>
      </c>
      <c r="J440" s="7">
        <f>DATEDIF(L440,S440,"D")</f>
        <v>630</v>
      </c>
      <c r="K440" s="3" t="s">
        <v>64</v>
      </c>
      <c r="L440" s="8">
        <v>44333</v>
      </c>
      <c r="M440" s="3" t="s">
        <v>45</v>
      </c>
      <c r="N440" s="3" t="s">
        <v>83</v>
      </c>
      <c r="O440" s="3" t="s">
        <v>52</v>
      </c>
      <c r="P440" s="3" t="s">
        <v>398</v>
      </c>
      <c r="Q440" s="7">
        <v>0</v>
      </c>
      <c r="R440" s="8">
        <v>44970</v>
      </c>
      <c r="S440" s="8">
        <v>44963</v>
      </c>
      <c r="T440" s="3" t="s">
        <v>54</v>
      </c>
      <c r="U440" s="3" t="s">
        <v>55</v>
      </c>
      <c r="V440" s="9"/>
      <c r="W440" s="24">
        <v>44972</v>
      </c>
      <c r="X440" s="7">
        <v>2</v>
      </c>
      <c r="Y440" s="7">
        <v>7</v>
      </c>
      <c r="Z440" s="7">
        <v>2</v>
      </c>
      <c r="AA440" s="7">
        <f>INT((S440-DATE(YEAR(S440-WEEKDAY(S440-0)+4),1,4)+WEEKDAY(DATE(YEAR(S440-WEEKDAY(S440-0)+4),1,4))+6)/7)</f>
        <v>6</v>
      </c>
      <c r="AB440" s="3" t="s">
        <v>1448</v>
      </c>
      <c r="AC440" s="7">
        <v>104</v>
      </c>
      <c r="AD440" s="7">
        <v>0</v>
      </c>
      <c r="AE440" s="7">
        <v>0</v>
      </c>
      <c r="AF440" s="3" t="s">
        <v>48</v>
      </c>
      <c r="AG440" s="7">
        <v>2023</v>
      </c>
      <c r="AH440" s="3" t="s">
        <v>133</v>
      </c>
      <c r="AI440" s="3" t="s">
        <v>106</v>
      </c>
      <c r="AJ440" s="3" t="s">
        <v>48</v>
      </c>
      <c r="AK440" s="3" t="s">
        <v>216</v>
      </c>
      <c r="AL440" s="3" t="s">
        <v>59</v>
      </c>
      <c r="AM440" s="3" t="s">
        <v>115</v>
      </c>
      <c r="AN440" s="3" t="s">
        <v>61</v>
      </c>
      <c r="AO440" s="3" t="s">
        <v>62</v>
      </c>
      <c r="AP440" s="3" t="s">
        <v>69</v>
      </c>
      <c r="AQ440" s="3" t="s">
        <v>61</v>
      </c>
      <c r="AR440" s="3" t="s">
        <v>48</v>
      </c>
    </row>
    <row r="441" spans="1:44" ht="30" customHeight="1">
      <c r="A441" s="3" t="s">
        <v>44</v>
      </c>
      <c r="B441" s="3" t="s">
        <v>45</v>
      </c>
      <c r="C441" s="3" t="s">
        <v>46</v>
      </c>
      <c r="D441" s="3" t="s">
        <v>130</v>
      </c>
      <c r="E441" s="3" t="s">
        <v>48</v>
      </c>
      <c r="F441" s="3" t="s">
        <v>135</v>
      </c>
      <c r="G441" s="3" t="s">
        <v>1892</v>
      </c>
      <c r="H441" s="5">
        <f>IF(DATEDIF(L441,S441,"m")&gt;12,DATEDIF(L441,S441,"y"),(DATEDIF(L441,S441,"m")/12))</f>
        <v>0.16666666666666666</v>
      </c>
      <c r="I441" s="7">
        <f>DATEDIF(L441,S441,"M")</f>
        <v>2</v>
      </c>
      <c r="J441" s="7">
        <f>DATEDIF(L441,S441,"D")</f>
        <v>64</v>
      </c>
      <c r="K441" s="3" t="s">
        <v>64</v>
      </c>
      <c r="L441" s="8">
        <v>44898</v>
      </c>
      <c r="M441" s="3" t="s">
        <v>45</v>
      </c>
      <c r="N441" s="3" t="s">
        <v>83</v>
      </c>
      <c r="O441" s="3" t="s">
        <v>52</v>
      </c>
      <c r="P441" s="3" t="s">
        <v>103</v>
      </c>
      <c r="Q441" s="7">
        <v>0</v>
      </c>
      <c r="R441" s="8">
        <v>44969</v>
      </c>
      <c r="S441" s="8">
        <v>44962</v>
      </c>
      <c r="T441" s="3" t="s">
        <v>54</v>
      </c>
      <c r="U441" s="3" t="s">
        <v>55</v>
      </c>
      <c r="V441" s="9"/>
      <c r="W441" s="24">
        <v>44972</v>
      </c>
      <c r="X441" s="7">
        <v>3</v>
      </c>
      <c r="Y441" s="7">
        <v>7</v>
      </c>
      <c r="Z441" s="7">
        <v>2</v>
      </c>
      <c r="AA441" s="7">
        <f>INT((S441-DATE(YEAR(S441-WEEKDAY(S441-0)+4),1,4)+WEEKDAY(DATE(YEAR(S441-WEEKDAY(S441-0)+4),1,4))+6)/7)</f>
        <v>6</v>
      </c>
      <c r="AB441" s="3" t="s">
        <v>1893</v>
      </c>
      <c r="AC441" s="7">
        <v>88</v>
      </c>
      <c r="AD441" s="7">
        <v>0</v>
      </c>
      <c r="AE441" s="7">
        <v>0</v>
      </c>
      <c r="AF441" s="3" t="s">
        <v>48</v>
      </c>
      <c r="AG441" s="7">
        <v>2023</v>
      </c>
      <c r="AH441" s="3" t="s">
        <v>139</v>
      </c>
      <c r="AI441" s="3" t="s">
        <v>113</v>
      </c>
      <c r="AJ441" s="3" t="s">
        <v>48</v>
      </c>
      <c r="AK441" s="3" t="s">
        <v>1225</v>
      </c>
      <c r="AL441" s="3" t="s">
        <v>59</v>
      </c>
      <c r="AM441" s="3" t="s">
        <v>60</v>
      </c>
      <c r="AN441" s="3" t="s">
        <v>61</v>
      </c>
      <c r="AO441" s="3" t="s">
        <v>62</v>
      </c>
      <c r="AP441" s="3" t="s">
        <v>69</v>
      </c>
      <c r="AQ441" s="3" t="s">
        <v>61</v>
      </c>
      <c r="AR441" s="3" t="s">
        <v>48</v>
      </c>
    </row>
    <row r="442" spans="1:44" ht="30" customHeight="1">
      <c r="A442" s="3" t="s">
        <v>44</v>
      </c>
      <c r="B442" s="3" t="s">
        <v>45</v>
      </c>
      <c r="C442" s="3" t="s">
        <v>46</v>
      </c>
      <c r="D442" s="3" t="s">
        <v>70</v>
      </c>
      <c r="E442" s="3" t="s">
        <v>48</v>
      </c>
      <c r="F442" s="3" t="s">
        <v>71</v>
      </c>
      <c r="G442" s="3" t="s">
        <v>72</v>
      </c>
      <c r="H442" s="4">
        <f>IF(DATEDIF(L442,S442,"m")&gt;12,DATEDIF(L442,S442,"y"),(DATEDIF(L442,S442,"m")/12))</f>
        <v>1</v>
      </c>
      <c r="I442" s="7">
        <f>DATEDIF(L442,S442,"M")</f>
        <v>16</v>
      </c>
      <c r="J442" s="7">
        <f>DATEDIF(L442,S442,"D")</f>
        <v>511</v>
      </c>
      <c r="K442" s="3" t="s">
        <v>51</v>
      </c>
      <c r="L442" s="8">
        <v>44472</v>
      </c>
      <c r="M442" s="3" t="s">
        <v>45</v>
      </c>
      <c r="N442" s="3" t="s">
        <v>73</v>
      </c>
      <c r="O442" s="3" t="s">
        <v>52</v>
      </c>
      <c r="P442" s="3" t="s">
        <v>74</v>
      </c>
      <c r="Q442" s="7">
        <v>1</v>
      </c>
      <c r="R442" s="8">
        <v>44984</v>
      </c>
      <c r="S442" s="8">
        <v>44983</v>
      </c>
      <c r="T442" s="3" t="s">
        <v>54</v>
      </c>
      <c r="U442" s="3" t="s">
        <v>55</v>
      </c>
      <c r="V442" s="9"/>
      <c r="W442" s="30">
        <v>44988</v>
      </c>
      <c r="X442" s="7">
        <v>4</v>
      </c>
      <c r="Y442" s="7">
        <v>1</v>
      </c>
      <c r="Z442" s="7">
        <v>2</v>
      </c>
      <c r="AA442" s="7">
        <f>INT((S442-DATE(YEAR(S442-WEEKDAY(S442-0)+4),1,4)+WEEKDAY(DATE(YEAR(S442-WEEKDAY(S442-0)+4),1,4))+6)/7)</f>
        <v>9</v>
      </c>
      <c r="AB442" s="3" t="s">
        <v>75</v>
      </c>
      <c r="AC442" s="7">
        <v>696</v>
      </c>
      <c r="AD442" s="7">
        <v>0</v>
      </c>
      <c r="AE442" s="7">
        <v>1</v>
      </c>
      <c r="AF442" s="3" t="s">
        <v>48</v>
      </c>
      <c r="AG442" s="7">
        <v>2023</v>
      </c>
      <c r="AH442" s="3" t="s">
        <v>76</v>
      </c>
      <c r="AI442" s="3" t="s">
        <v>77</v>
      </c>
      <c r="AJ442" s="3" t="s">
        <v>78</v>
      </c>
      <c r="AK442" s="3" t="s">
        <v>79</v>
      </c>
      <c r="AL442" s="3" t="s">
        <v>59</v>
      </c>
      <c r="AM442" s="3" t="s">
        <v>60</v>
      </c>
      <c r="AN442" s="3" t="s">
        <v>61</v>
      </c>
      <c r="AO442" s="3" t="s">
        <v>62</v>
      </c>
      <c r="AP442" s="3" t="s">
        <v>69</v>
      </c>
      <c r="AQ442" s="3" t="s">
        <v>61</v>
      </c>
      <c r="AR442" s="3" t="s">
        <v>48</v>
      </c>
    </row>
    <row r="443" spans="1:44" ht="30" customHeight="1">
      <c r="A443" s="3" t="s">
        <v>44</v>
      </c>
      <c r="B443" s="3" t="s">
        <v>45</v>
      </c>
      <c r="C443" s="3" t="s">
        <v>46</v>
      </c>
      <c r="D443" s="3" t="s">
        <v>130</v>
      </c>
      <c r="E443" s="3" t="s">
        <v>48</v>
      </c>
      <c r="F443" s="3" t="s">
        <v>131</v>
      </c>
      <c r="G443" s="3" t="s">
        <v>48</v>
      </c>
      <c r="H443" s="4">
        <f>IF(DATEDIF(L443,S443,"m")&gt;12,DATEDIF(L443,S443,"y"),(DATEDIF(L443,S443,"m")/12))</f>
        <v>59</v>
      </c>
      <c r="I443" s="7">
        <f>DATEDIF(L443,S443,"M")</f>
        <v>716</v>
      </c>
      <c r="J443" s="7">
        <f>DATEDIF(L443,S443,"D")</f>
        <v>21802</v>
      </c>
      <c r="K443" s="3" t="s">
        <v>51</v>
      </c>
      <c r="L443" s="8">
        <v>23161</v>
      </c>
      <c r="M443" s="3" t="s">
        <v>45</v>
      </c>
      <c r="N443" s="3" t="s">
        <v>83</v>
      </c>
      <c r="O443" s="3" t="s">
        <v>52</v>
      </c>
      <c r="P443" s="3" t="s">
        <v>255</v>
      </c>
      <c r="Q443" s="7">
        <v>0</v>
      </c>
      <c r="R443" s="8">
        <v>44970</v>
      </c>
      <c r="S443" s="8">
        <v>44963</v>
      </c>
      <c r="T443" s="3" t="s">
        <v>54</v>
      </c>
      <c r="U443" s="3" t="s">
        <v>55</v>
      </c>
      <c r="V443" s="9"/>
      <c r="W443" s="24">
        <v>44972</v>
      </c>
      <c r="X443" s="7">
        <v>2</v>
      </c>
      <c r="Y443" s="7">
        <v>3659</v>
      </c>
      <c r="Z443" s="7">
        <v>2</v>
      </c>
      <c r="AA443" s="7">
        <f>INT((S443-DATE(YEAR(S443-WEEKDAY(S443-0)+4),1,4)+WEEKDAY(DATE(YEAR(S443-WEEKDAY(S443-0)+4),1,4))+6)/7)</f>
        <v>6</v>
      </c>
      <c r="AB443" s="3" t="s">
        <v>2271</v>
      </c>
      <c r="AC443" s="7">
        <v>101</v>
      </c>
      <c r="AD443" s="7">
        <v>0</v>
      </c>
      <c r="AE443" s="7">
        <v>0</v>
      </c>
      <c r="AF443" s="3" t="s">
        <v>48</v>
      </c>
      <c r="AG443" s="7">
        <v>2023</v>
      </c>
      <c r="AH443" s="3" t="s">
        <v>133</v>
      </c>
      <c r="AI443" s="3" t="s">
        <v>106</v>
      </c>
      <c r="AJ443" s="3" t="s">
        <v>48</v>
      </c>
      <c r="AK443" s="3" t="s">
        <v>149</v>
      </c>
      <c r="AL443" s="3" t="s">
        <v>59</v>
      </c>
      <c r="AM443" s="3" t="s">
        <v>115</v>
      </c>
      <c r="AN443" s="3" t="s">
        <v>61</v>
      </c>
      <c r="AO443" s="3" t="s">
        <v>62</v>
      </c>
      <c r="AP443" s="3" t="s">
        <v>69</v>
      </c>
      <c r="AQ443" s="3" t="s">
        <v>61</v>
      </c>
      <c r="AR443" s="3" t="s">
        <v>48</v>
      </c>
    </row>
    <row r="444" spans="1:44" ht="30" customHeight="1">
      <c r="A444" s="3" t="s">
        <v>44</v>
      </c>
      <c r="B444" s="3" t="s">
        <v>45</v>
      </c>
      <c r="C444" s="3" t="s">
        <v>46</v>
      </c>
      <c r="D444" s="3" t="s">
        <v>130</v>
      </c>
      <c r="E444" s="3" t="s">
        <v>48</v>
      </c>
      <c r="F444" s="3" t="s">
        <v>131</v>
      </c>
      <c r="G444" s="3" t="s">
        <v>48</v>
      </c>
      <c r="H444" s="11">
        <f>IF(DATEDIF(L444,S444,"m")&gt;12,DATEDIF(L444,S444,"y"),(DATEDIF(L444,S444,"m")/12))</f>
        <v>0</v>
      </c>
      <c r="I444" s="7">
        <f>DATEDIF(L444,S444,"M")</f>
        <v>0</v>
      </c>
      <c r="J444" s="7">
        <f>DATEDIF(L444,S444,"D")</f>
        <v>20</v>
      </c>
      <c r="K444" s="3" t="s">
        <v>51</v>
      </c>
      <c r="L444" s="8">
        <v>44946</v>
      </c>
      <c r="M444" s="3" t="s">
        <v>45</v>
      </c>
      <c r="N444" s="3" t="s">
        <v>83</v>
      </c>
      <c r="O444" s="3" t="s">
        <v>52</v>
      </c>
      <c r="P444" s="3" t="s">
        <v>91</v>
      </c>
      <c r="Q444" s="7">
        <v>0</v>
      </c>
      <c r="R444" s="8">
        <v>44970</v>
      </c>
      <c r="S444" s="8">
        <v>44966</v>
      </c>
      <c r="T444" s="3" t="s">
        <v>54</v>
      </c>
      <c r="U444" s="3" t="s">
        <v>55</v>
      </c>
      <c r="V444" s="9"/>
      <c r="W444" s="24">
        <v>44972</v>
      </c>
      <c r="X444" s="7">
        <v>2</v>
      </c>
      <c r="Y444" s="7">
        <v>4</v>
      </c>
      <c r="Z444" s="7">
        <v>2</v>
      </c>
      <c r="AA444" s="7">
        <f>INT((S444-DATE(YEAR(S444-WEEKDAY(S444-0)+4),1,4)+WEEKDAY(DATE(YEAR(S444-WEEKDAY(S444-0)+4),1,4))+6)/7)</f>
        <v>6</v>
      </c>
      <c r="AB444" s="3" t="s">
        <v>2307</v>
      </c>
      <c r="AC444" s="7">
        <v>102</v>
      </c>
      <c r="AD444" s="7">
        <v>0</v>
      </c>
      <c r="AE444" s="7">
        <v>0</v>
      </c>
      <c r="AF444" s="3" t="s">
        <v>48</v>
      </c>
      <c r="AG444" s="7">
        <v>2023</v>
      </c>
      <c r="AH444" s="3" t="s">
        <v>133</v>
      </c>
      <c r="AI444" s="3" t="s">
        <v>106</v>
      </c>
      <c r="AJ444" s="3" t="s">
        <v>48</v>
      </c>
      <c r="AK444" s="18" t="s">
        <v>793</v>
      </c>
      <c r="AL444" s="3" t="s">
        <v>59</v>
      </c>
      <c r="AM444" s="3" t="s">
        <v>115</v>
      </c>
      <c r="AN444" s="3" t="s">
        <v>61</v>
      </c>
      <c r="AO444" s="3" t="s">
        <v>62</v>
      </c>
      <c r="AP444" s="3" t="s">
        <v>69</v>
      </c>
      <c r="AQ444" s="3" t="s">
        <v>61</v>
      </c>
      <c r="AR444" s="3" t="s">
        <v>48</v>
      </c>
    </row>
    <row r="445" spans="1:44" ht="30" customHeight="1">
      <c r="A445" s="3" t="s">
        <v>44</v>
      </c>
      <c r="B445" s="3" t="s">
        <v>45</v>
      </c>
      <c r="C445" s="3" t="s">
        <v>46</v>
      </c>
      <c r="D445" s="3" t="s">
        <v>70</v>
      </c>
      <c r="E445" s="3" t="s">
        <v>48</v>
      </c>
      <c r="F445" s="3" t="s">
        <v>71</v>
      </c>
      <c r="G445" s="3" t="s">
        <v>1402</v>
      </c>
      <c r="H445" s="4">
        <f>IF(DATEDIF(L445,S445,"m")&gt;12,DATEDIF(L445,S445,"y"),(DATEDIF(L445,S445,"m")/12))</f>
        <v>31</v>
      </c>
      <c r="I445" s="7">
        <f>DATEDIF(L445,S445,"M")</f>
        <v>373</v>
      </c>
      <c r="J445" s="7">
        <f>DATEDIF(L445,S445,"D")</f>
        <v>11365</v>
      </c>
      <c r="K445" s="3" t="s">
        <v>51</v>
      </c>
      <c r="L445" s="8">
        <v>33606</v>
      </c>
      <c r="M445" s="3" t="s">
        <v>45</v>
      </c>
      <c r="N445" s="3" t="s">
        <v>159</v>
      </c>
      <c r="O445" s="3" t="s">
        <v>52</v>
      </c>
      <c r="P445" s="3" t="s">
        <v>84</v>
      </c>
      <c r="Q445" s="7">
        <v>1</v>
      </c>
      <c r="R445" s="8">
        <v>44972</v>
      </c>
      <c r="S445" s="8">
        <v>44971</v>
      </c>
      <c r="T445" s="3" t="s">
        <v>54</v>
      </c>
      <c r="U445" s="3" t="s">
        <v>55</v>
      </c>
      <c r="V445" s="9"/>
      <c r="W445" s="24">
        <v>44973</v>
      </c>
      <c r="X445" s="7">
        <v>1</v>
      </c>
      <c r="Y445" s="7">
        <v>1</v>
      </c>
      <c r="Z445" s="7">
        <v>2</v>
      </c>
      <c r="AA445" s="7">
        <f>INT((S445-DATE(YEAR(S445-WEEKDAY(S445-0)+4),1,4)+WEEKDAY(DATE(YEAR(S445-WEEKDAY(S445-0)+4),1,4))+6)/7)</f>
        <v>7</v>
      </c>
      <c r="AB445" s="3" t="s">
        <v>1403</v>
      </c>
      <c r="AC445" s="7">
        <v>671</v>
      </c>
      <c r="AD445" s="7">
        <v>0</v>
      </c>
      <c r="AE445" s="7">
        <v>1</v>
      </c>
      <c r="AF445" s="3" t="s">
        <v>48</v>
      </c>
      <c r="AG445" s="7">
        <v>2023</v>
      </c>
      <c r="AH445" s="3" t="s">
        <v>76</v>
      </c>
      <c r="AI445" s="3" t="s">
        <v>77</v>
      </c>
      <c r="AJ445" s="3" t="s">
        <v>78</v>
      </c>
      <c r="AK445" s="3" t="s">
        <v>619</v>
      </c>
      <c r="AL445" s="3" t="s">
        <v>59</v>
      </c>
      <c r="AM445" s="3" t="s">
        <v>60</v>
      </c>
      <c r="AN445" s="3" t="s">
        <v>61</v>
      </c>
      <c r="AO445" s="3" t="s">
        <v>62</v>
      </c>
      <c r="AP445" s="3" t="s">
        <v>69</v>
      </c>
      <c r="AQ445" s="3" t="s">
        <v>61</v>
      </c>
      <c r="AR445" s="3" t="s">
        <v>48</v>
      </c>
    </row>
    <row r="446" spans="1:44" ht="30" customHeight="1">
      <c r="A446" s="3" t="s">
        <v>44</v>
      </c>
      <c r="B446" s="3" t="s">
        <v>45</v>
      </c>
      <c r="C446" s="3" t="s">
        <v>46</v>
      </c>
      <c r="D446" s="3" t="s">
        <v>130</v>
      </c>
      <c r="E446" s="3" t="s">
        <v>48</v>
      </c>
      <c r="F446" s="3" t="s">
        <v>135</v>
      </c>
      <c r="G446" s="3" t="s">
        <v>1404</v>
      </c>
      <c r="H446" s="11">
        <f>IF(DATEDIF(L446,S446,"m")&gt;12,DATEDIF(L446,S446,"y"),(DATEDIF(L446,S446,"m")/12))</f>
        <v>0</v>
      </c>
      <c r="I446" s="7">
        <f>DATEDIF(L446,S446,"M")</f>
        <v>0</v>
      </c>
      <c r="J446" s="7">
        <f>DATEDIF(L446,S446,"D")</f>
        <v>30</v>
      </c>
      <c r="K446" s="3" t="s">
        <v>51</v>
      </c>
      <c r="L446" s="8">
        <v>44941</v>
      </c>
      <c r="M446" s="3" t="s">
        <v>45</v>
      </c>
      <c r="N446" s="3" t="s">
        <v>83</v>
      </c>
      <c r="O446" s="3" t="s">
        <v>52</v>
      </c>
      <c r="P446" s="3" t="s">
        <v>169</v>
      </c>
      <c r="Q446" s="7">
        <v>0</v>
      </c>
      <c r="R446" s="8">
        <v>44972</v>
      </c>
      <c r="S446" s="8">
        <v>44971</v>
      </c>
      <c r="T446" s="3" t="s">
        <v>54</v>
      </c>
      <c r="U446" s="3" t="s">
        <v>55</v>
      </c>
      <c r="V446" s="9"/>
      <c r="W446" s="24">
        <v>44973</v>
      </c>
      <c r="X446" s="7">
        <v>1</v>
      </c>
      <c r="Y446" s="7">
        <v>1</v>
      </c>
      <c r="Z446" s="7">
        <v>2</v>
      </c>
      <c r="AA446" s="7">
        <f>INT((S446-DATE(YEAR(S446-WEEKDAY(S446-0)+4),1,4)+WEEKDAY(DATE(YEAR(S446-WEEKDAY(S446-0)+4),1,4))+6)/7)</f>
        <v>7</v>
      </c>
      <c r="AB446" s="3" t="s">
        <v>1405</v>
      </c>
      <c r="AC446" s="7">
        <v>89</v>
      </c>
      <c r="AD446" s="7">
        <v>0</v>
      </c>
      <c r="AE446" s="7">
        <v>0</v>
      </c>
      <c r="AF446" s="3" t="s">
        <v>48</v>
      </c>
      <c r="AG446" s="7">
        <v>2023</v>
      </c>
      <c r="AH446" s="3" t="s">
        <v>139</v>
      </c>
      <c r="AI446" s="3" t="s">
        <v>113</v>
      </c>
      <c r="AJ446" s="3" t="s">
        <v>48</v>
      </c>
      <c r="AK446" s="18" t="s">
        <v>87</v>
      </c>
      <c r="AL446" s="3" t="s">
        <v>59</v>
      </c>
      <c r="AM446" s="3" t="s">
        <v>60</v>
      </c>
      <c r="AN446" s="3" t="s">
        <v>61</v>
      </c>
      <c r="AO446" s="3" t="s">
        <v>62</v>
      </c>
      <c r="AP446" s="3" t="s">
        <v>69</v>
      </c>
      <c r="AQ446" s="3" t="s">
        <v>61</v>
      </c>
      <c r="AR446" s="3" t="s">
        <v>48</v>
      </c>
    </row>
    <row r="447" spans="1:44" ht="30" customHeight="1">
      <c r="A447" s="3" t="s">
        <v>44</v>
      </c>
      <c r="B447" s="3" t="s">
        <v>45</v>
      </c>
      <c r="C447" s="3" t="s">
        <v>46</v>
      </c>
      <c r="D447" s="3" t="s">
        <v>70</v>
      </c>
      <c r="E447" s="3" t="s">
        <v>48</v>
      </c>
      <c r="F447" s="3" t="s">
        <v>71</v>
      </c>
      <c r="G447" s="3" t="s">
        <v>1551</v>
      </c>
      <c r="H447" s="4">
        <f>IF(DATEDIF(L447,S447,"m")&gt;12,DATEDIF(L447,S447,"y"),(DATEDIF(L447,S447,"m")/12))</f>
        <v>1</v>
      </c>
      <c r="I447" s="7">
        <f>DATEDIF(L447,S447,"M")</f>
        <v>20</v>
      </c>
      <c r="J447" s="7">
        <f>DATEDIF(L447,S447,"D")</f>
        <v>613</v>
      </c>
      <c r="K447" s="3" t="s">
        <v>64</v>
      </c>
      <c r="L447" s="8">
        <v>44358</v>
      </c>
      <c r="M447" s="3" t="s">
        <v>45</v>
      </c>
      <c r="N447" s="3" t="s">
        <v>159</v>
      </c>
      <c r="O447" s="3" t="s">
        <v>52</v>
      </c>
      <c r="P447" s="3" t="s">
        <v>169</v>
      </c>
      <c r="Q447" s="7">
        <v>1</v>
      </c>
      <c r="R447" s="8">
        <v>44972</v>
      </c>
      <c r="S447" s="8">
        <v>44971</v>
      </c>
      <c r="T447" s="3" t="s">
        <v>54</v>
      </c>
      <c r="U447" s="3" t="s">
        <v>55</v>
      </c>
      <c r="V447" s="9"/>
      <c r="W447" s="24">
        <v>44973</v>
      </c>
      <c r="X447" s="7">
        <v>1</v>
      </c>
      <c r="Y447" s="7">
        <v>1</v>
      </c>
      <c r="Z447" s="7">
        <v>2</v>
      </c>
      <c r="AA447" s="7">
        <f>INT((S447-DATE(YEAR(S447-WEEKDAY(S447-0)+4),1,4)+WEEKDAY(DATE(YEAR(S447-WEEKDAY(S447-0)+4),1,4))+6)/7)</f>
        <v>7</v>
      </c>
      <c r="AB447" s="3" t="s">
        <v>1552</v>
      </c>
      <c r="AC447" s="7">
        <v>672</v>
      </c>
      <c r="AD447" s="7">
        <v>0</v>
      </c>
      <c r="AE447" s="7">
        <v>1</v>
      </c>
      <c r="AF447" s="3" t="s">
        <v>48</v>
      </c>
      <c r="AG447" s="7">
        <v>2023</v>
      </c>
      <c r="AH447" s="3" t="s">
        <v>76</v>
      </c>
      <c r="AI447" s="3" t="s">
        <v>77</v>
      </c>
      <c r="AJ447" s="3" t="s">
        <v>78</v>
      </c>
      <c r="AK447" s="3" t="s">
        <v>1553</v>
      </c>
      <c r="AL447" s="3" t="s">
        <v>59</v>
      </c>
      <c r="AM447" s="3" t="s">
        <v>60</v>
      </c>
      <c r="AN447" s="3" t="s">
        <v>61</v>
      </c>
      <c r="AO447" s="3" t="s">
        <v>62</v>
      </c>
      <c r="AP447" s="3" t="s">
        <v>69</v>
      </c>
      <c r="AQ447" s="3" t="s">
        <v>69</v>
      </c>
      <c r="AR447" s="3" t="s">
        <v>48</v>
      </c>
    </row>
    <row r="448" spans="1:44" ht="30" customHeight="1">
      <c r="A448" s="3" t="s">
        <v>44</v>
      </c>
      <c r="B448" s="3" t="s">
        <v>45</v>
      </c>
      <c r="C448" s="3" t="s">
        <v>46</v>
      </c>
      <c r="D448" s="3" t="s">
        <v>47</v>
      </c>
      <c r="E448" s="3" t="s">
        <v>48</v>
      </c>
      <c r="F448" s="3" t="s">
        <v>49</v>
      </c>
      <c r="G448" s="3" t="s">
        <v>359</v>
      </c>
      <c r="H448" s="4">
        <f>IF(DATEDIF(L448,S448,"m")&gt;12,DATEDIF(L448,S448,"y"),(DATEDIF(L448,S448,"m")/12))</f>
        <v>18</v>
      </c>
      <c r="I448" s="7">
        <f>DATEDIF(L448,S448,"M")</f>
        <v>227</v>
      </c>
      <c r="J448" s="7">
        <f>DATEDIF(L448,S448,"D")</f>
        <v>6922</v>
      </c>
      <c r="K448" s="3" t="s">
        <v>64</v>
      </c>
      <c r="L448" s="8">
        <v>38050</v>
      </c>
      <c r="M448" s="3" t="s">
        <v>45</v>
      </c>
      <c r="N448" s="3" t="s">
        <v>49</v>
      </c>
      <c r="O448" s="3" t="s">
        <v>52</v>
      </c>
      <c r="P448" s="3" t="s">
        <v>360</v>
      </c>
      <c r="Q448" s="7">
        <v>0</v>
      </c>
      <c r="R448" s="8">
        <v>44974</v>
      </c>
      <c r="S448" s="8">
        <v>44972</v>
      </c>
      <c r="T448" s="3" t="s">
        <v>54</v>
      </c>
      <c r="U448" s="3" t="s">
        <v>55</v>
      </c>
      <c r="V448" s="9"/>
      <c r="W448" s="24">
        <v>44974</v>
      </c>
      <c r="X448" s="7">
        <v>0</v>
      </c>
      <c r="Y448" s="7">
        <v>2</v>
      </c>
      <c r="Z448" s="7">
        <v>2</v>
      </c>
      <c r="AA448" s="7">
        <f>INT((S448-DATE(YEAR(S448-WEEKDAY(S448-0)+4),1,4)+WEEKDAY(DATE(YEAR(S448-WEEKDAY(S448-0)+4),1,4))+6)/7)</f>
        <v>7</v>
      </c>
      <c r="AB448" s="3" t="s">
        <v>361</v>
      </c>
      <c r="AC448" s="7">
        <v>57</v>
      </c>
      <c r="AD448" s="7">
        <v>0</v>
      </c>
      <c r="AE448" s="7">
        <v>0</v>
      </c>
      <c r="AF448" s="3" t="s">
        <v>48</v>
      </c>
      <c r="AG448" s="7">
        <v>2023</v>
      </c>
      <c r="AH448" s="3" t="s">
        <v>57</v>
      </c>
      <c r="AI448" s="3" t="s">
        <v>48</v>
      </c>
      <c r="AJ448" s="3" t="s">
        <v>48</v>
      </c>
      <c r="AK448" s="3" t="s">
        <v>362</v>
      </c>
      <c r="AL448" s="3" t="s">
        <v>59</v>
      </c>
      <c r="AM448" s="3" t="s">
        <v>60</v>
      </c>
      <c r="AN448" s="3" t="s">
        <v>61</v>
      </c>
      <c r="AO448" s="3" t="s">
        <v>62</v>
      </c>
      <c r="AP448" s="3" t="s">
        <v>69</v>
      </c>
      <c r="AQ448" s="3" t="s">
        <v>61</v>
      </c>
      <c r="AR448" s="3" t="s">
        <v>48</v>
      </c>
    </row>
    <row r="449" spans="1:44" ht="30" customHeight="1">
      <c r="A449" s="3" t="s">
        <v>44</v>
      </c>
      <c r="B449" s="3" t="s">
        <v>45</v>
      </c>
      <c r="C449" s="3" t="s">
        <v>46</v>
      </c>
      <c r="D449" s="3" t="s">
        <v>47</v>
      </c>
      <c r="E449" s="3" t="s">
        <v>48</v>
      </c>
      <c r="F449" s="3" t="s">
        <v>49</v>
      </c>
      <c r="G449" s="3" t="s">
        <v>414</v>
      </c>
      <c r="H449" s="4">
        <f>IF(DATEDIF(L449,S449,"m")&gt;12,DATEDIF(L449,S449,"y"),(DATEDIF(L449,S449,"m")/12))</f>
        <v>7</v>
      </c>
      <c r="I449" s="7">
        <f>DATEDIF(L449,S449,"M")</f>
        <v>90</v>
      </c>
      <c r="J449" s="7">
        <f>DATEDIF(L449,S449,"D")</f>
        <v>2753</v>
      </c>
      <c r="K449" s="3" t="s">
        <v>64</v>
      </c>
      <c r="L449" s="8">
        <v>42211</v>
      </c>
      <c r="M449" s="3" t="s">
        <v>45</v>
      </c>
      <c r="N449" s="3" t="s">
        <v>49</v>
      </c>
      <c r="O449" s="3" t="s">
        <v>52</v>
      </c>
      <c r="P449" s="3" t="s">
        <v>137</v>
      </c>
      <c r="Q449" s="7">
        <v>0</v>
      </c>
      <c r="R449" s="8">
        <v>44971</v>
      </c>
      <c r="S449" s="8">
        <v>44964</v>
      </c>
      <c r="T449" s="3" t="s">
        <v>54</v>
      </c>
      <c r="U449" s="3" t="s">
        <v>55</v>
      </c>
      <c r="V449" s="9"/>
      <c r="W449" s="24">
        <v>44974</v>
      </c>
      <c r="X449" s="7">
        <v>3</v>
      </c>
      <c r="Y449" s="7">
        <v>7</v>
      </c>
      <c r="Z449" s="7">
        <v>2</v>
      </c>
      <c r="AA449" s="7">
        <f>INT((S449-DATE(YEAR(S449-WEEKDAY(S449-0)+4),1,4)+WEEKDAY(DATE(YEAR(S449-WEEKDAY(S449-0)+4),1,4))+6)/7)</f>
        <v>6</v>
      </c>
      <c r="AB449" s="3" t="s">
        <v>415</v>
      </c>
      <c r="AC449" s="7">
        <v>54</v>
      </c>
      <c r="AD449" s="7">
        <v>0</v>
      </c>
      <c r="AE449" s="7">
        <v>0</v>
      </c>
      <c r="AF449" s="3" t="s">
        <v>48</v>
      </c>
      <c r="AG449" s="7">
        <v>2023</v>
      </c>
      <c r="AH449" s="3" t="s">
        <v>57</v>
      </c>
      <c r="AI449" s="3" t="s">
        <v>48</v>
      </c>
      <c r="AJ449" s="3" t="s">
        <v>48</v>
      </c>
      <c r="AK449" s="3" t="s">
        <v>220</v>
      </c>
      <c r="AL449" s="3" t="s">
        <v>59</v>
      </c>
      <c r="AM449" s="3" t="s">
        <v>60</v>
      </c>
      <c r="AN449" s="3" t="s">
        <v>61</v>
      </c>
      <c r="AO449" s="3" t="s">
        <v>62</v>
      </c>
      <c r="AP449" s="3" t="s">
        <v>69</v>
      </c>
      <c r="AQ449" s="3" t="s">
        <v>61</v>
      </c>
      <c r="AR449" s="3" t="s">
        <v>48</v>
      </c>
    </row>
    <row r="450" spans="1:44" ht="30" customHeight="1">
      <c r="A450" s="3" t="s">
        <v>44</v>
      </c>
      <c r="B450" s="3" t="s">
        <v>45</v>
      </c>
      <c r="C450" s="3" t="s">
        <v>46</v>
      </c>
      <c r="D450" s="3" t="s">
        <v>47</v>
      </c>
      <c r="E450" s="3" t="s">
        <v>48</v>
      </c>
      <c r="F450" s="3" t="s">
        <v>49</v>
      </c>
      <c r="G450" s="3" t="s">
        <v>437</v>
      </c>
      <c r="H450" s="4">
        <f>IF(DATEDIF(L450,S450,"m")&gt;12,DATEDIF(L450,S450,"y"),(DATEDIF(L450,S450,"m")/12))</f>
        <v>66</v>
      </c>
      <c r="I450" s="7">
        <f>DATEDIF(L450,S450,"M")</f>
        <v>793</v>
      </c>
      <c r="J450" s="7">
        <f>DATEDIF(L450,S450,"D")</f>
        <v>24164</v>
      </c>
      <c r="K450" s="3" t="s">
        <v>51</v>
      </c>
      <c r="L450" s="8">
        <v>20804</v>
      </c>
      <c r="M450" s="3" t="s">
        <v>45</v>
      </c>
      <c r="N450" s="3" t="s">
        <v>49</v>
      </c>
      <c r="O450" s="3" t="s">
        <v>52</v>
      </c>
      <c r="P450" s="3" t="s">
        <v>438</v>
      </c>
      <c r="Q450" s="7">
        <v>0</v>
      </c>
      <c r="R450" s="8">
        <v>44971</v>
      </c>
      <c r="S450" s="8">
        <v>44968</v>
      </c>
      <c r="T450" s="3" t="s">
        <v>54</v>
      </c>
      <c r="U450" s="3" t="s">
        <v>55</v>
      </c>
      <c r="V450" s="9"/>
      <c r="W450" s="24">
        <v>44974</v>
      </c>
      <c r="X450" s="7">
        <v>3</v>
      </c>
      <c r="Y450" s="7">
        <v>3</v>
      </c>
      <c r="Z450" s="7">
        <v>2</v>
      </c>
      <c r="AA450" s="7">
        <f>INT((S450-DATE(YEAR(S450-WEEKDAY(S450-0)+4),1,4)+WEEKDAY(DATE(YEAR(S450-WEEKDAY(S450-0)+4),1,4))+6)/7)</f>
        <v>6</v>
      </c>
      <c r="AB450" s="3" t="s">
        <v>439</v>
      </c>
      <c r="AC450" s="7">
        <v>51</v>
      </c>
      <c r="AD450" s="7">
        <v>0</v>
      </c>
      <c r="AE450" s="7">
        <v>0</v>
      </c>
      <c r="AF450" s="3" t="s">
        <v>48</v>
      </c>
      <c r="AG450" s="7">
        <v>2023</v>
      </c>
      <c r="AH450" s="3" t="s">
        <v>57</v>
      </c>
      <c r="AI450" s="3" t="s">
        <v>48</v>
      </c>
      <c r="AJ450" s="3" t="s">
        <v>48</v>
      </c>
      <c r="AK450" s="3" t="s">
        <v>227</v>
      </c>
      <c r="AL450" s="3" t="s">
        <v>59</v>
      </c>
      <c r="AM450" s="3" t="s">
        <v>60</v>
      </c>
      <c r="AN450" s="3" t="s">
        <v>61</v>
      </c>
      <c r="AO450" s="3" t="s">
        <v>62</v>
      </c>
      <c r="AP450" s="3" t="s">
        <v>69</v>
      </c>
      <c r="AQ450" s="3" t="s">
        <v>61</v>
      </c>
      <c r="AR450" s="3" t="s">
        <v>48</v>
      </c>
    </row>
    <row r="451" spans="1:44" ht="30" customHeight="1">
      <c r="A451" s="3" t="s">
        <v>44</v>
      </c>
      <c r="B451" s="3" t="s">
        <v>45</v>
      </c>
      <c r="C451" s="3" t="s">
        <v>46</v>
      </c>
      <c r="D451" s="3" t="s">
        <v>47</v>
      </c>
      <c r="E451" s="3" t="s">
        <v>48</v>
      </c>
      <c r="F451" s="3" t="s">
        <v>49</v>
      </c>
      <c r="G451" s="3" t="s">
        <v>951</v>
      </c>
      <c r="H451" s="4">
        <f>IF(DATEDIF(L451,S451,"m")&gt;12,DATEDIF(L451,S451,"y"),(DATEDIF(L451,S451,"m")/12))</f>
        <v>64</v>
      </c>
      <c r="I451" s="7">
        <f>DATEDIF(L451,S451,"M")</f>
        <v>769</v>
      </c>
      <c r="J451" s="7">
        <f>DATEDIF(L451,S451,"D")</f>
        <v>23409</v>
      </c>
      <c r="K451" s="3" t="s">
        <v>64</v>
      </c>
      <c r="L451" s="8">
        <v>21558</v>
      </c>
      <c r="M451" s="3" t="s">
        <v>45</v>
      </c>
      <c r="N451" s="3" t="s">
        <v>49</v>
      </c>
      <c r="O451" s="3" t="s">
        <v>52</v>
      </c>
      <c r="P451" s="3" t="s">
        <v>298</v>
      </c>
      <c r="Q451" s="7">
        <v>0</v>
      </c>
      <c r="R451" s="8">
        <v>44970</v>
      </c>
      <c r="S451" s="8">
        <v>44967</v>
      </c>
      <c r="T451" s="3" t="s">
        <v>54</v>
      </c>
      <c r="U451" s="3" t="s">
        <v>55</v>
      </c>
      <c r="V451" s="9"/>
      <c r="W451" s="24">
        <v>44974</v>
      </c>
      <c r="X451" s="7">
        <v>4</v>
      </c>
      <c r="Y451" s="7">
        <v>3</v>
      </c>
      <c r="Z451" s="7">
        <v>2</v>
      </c>
      <c r="AA451" s="7">
        <f>INT((S451-DATE(YEAR(S451-WEEKDAY(S451-0)+4),1,4)+WEEKDAY(DATE(YEAR(S451-WEEKDAY(S451-0)+4),1,4))+6)/7)</f>
        <v>6</v>
      </c>
      <c r="AB451" s="3" t="s">
        <v>952</v>
      </c>
      <c r="AC451" s="7">
        <v>49</v>
      </c>
      <c r="AD451" s="7">
        <v>0</v>
      </c>
      <c r="AE451" s="7">
        <v>0</v>
      </c>
      <c r="AF451" s="3" t="s">
        <v>48</v>
      </c>
      <c r="AG451" s="7">
        <v>2023</v>
      </c>
      <c r="AH451" s="3" t="s">
        <v>57</v>
      </c>
      <c r="AI451" s="3" t="s">
        <v>48</v>
      </c>
      <c r="AJ451" s="3" t="s">
        <v>48</v>
      </c>
      <c r="AK451" s="3" t="s">
        <v>227</v>
      </c>
      <c r="AL451" s="3" t="s">
        <v>59</v>
      </c>
      <c r="AM451" s="3" t="s">
        <v>60</v>
      </c>
      <c r="AN451" s="3" t="s">
        <v>61</v>
      </c>
      <c r="AO451" s="3" t="s">
        <v>62</v>
      </c>
      <c r="AP451" s="3" t="s">
        <v>69</v>
      </c>
      <c r="AQ451" s="3" t="s">
        <v>61</v>
      </c>
      <c r="AR451" s="3" t="s">
        <v>48</v>
      </c>
    </row>
    <row r="452" spans="1:44" ht="30" customHeight="1">
      <c r="A452" s="3" t="s">
        <v>44</v>
      </c>
      <c r="B452" s="3" t="s">
        <v>45</v>
      </c>
      <c r="C452" s="3" t="s">
        <v>46</v>
      </c>
      <c r="D452" s="3" t="s">
        <v>47</v>
      </c>
      <c r="E452" s="3" t="s">
        <v>48</v>
      </c>
      <c r="F452" s="3" t="s">
        <v>49</v>
      </c>
      <c r="G452" s="3" t="s">
        <v>1004</v>
      </c>
      <c r="H452" s="4">
        <f>IF(DATEDIF(L452,S452,"m")&gt;12,DATEDIF(L452,S452,"y"),(DATEDIF(L452,S452,"m")/12))</f>
        <v>41</v>
      </c>
      <c r="I452" s="7">
        <f>DATEDIF(L452,S452,"M")</f>
        <v>503</v>
      </c>
      <c r="J452" s="7">
        <f>DATEDIF(L452,S452,"D")</f>
        <v>15331</v>
      </c>
      <c r="K452" s="3" t="s">
        <v>64</v>
      </c>
      <c r="L452" s="8">
        <v>29633</v>
      </c>
      <c r="M452" s="3" t="s">
        <v>45</v>
      </c>
      <c r="N452" s="3" t="s">
        <v>49</v>
      </c>
      <c r="O452" s="3" t="s">
        <v>52</v>
      </c>
      <c r="P452" s="3" t="s">
        <v>1005</v>
      </c>
      <c r="Q452" s="7">
        <v>0</v>
      </c>
      <c r="R452" s="8">
        <v>44970</v>
      </c>
      <c r="S452" s="8">
        <v>44964</v>
      </c>
      <c r="T452" s="3" t="s">
        <v>54</v>
      </c>
      <c r="U452" s="3" t="s">
        <v>55</v>
      </c>
      <c r="V452" s="9"/>
      <c r="W452" s="24">
        <v>44974</v>
      </c>
      <c r="X452" s="7">
        <v>4</v>
      </c>
      <c r="Y452" s="7">
        <v>6</v>
      </c>
      <c r="Z452" s="7">
        <v>2</v>
      </c>
      <c r="AA452" s="7">
        <f>INT((S452-DATE(YEAR(S452-WEEKDAY(S452-0)+4),1,4)+WEEKDAY(DATE(YEAR(S452-WEEKDAY(S452-0)+4),1,4))+6)/7)</f>
        <v>6</v>
      </c>
      <c r="AB452" s="3" t="s">
        <v>1006</v>
      </c>
      <c r="AC452" s="7">
        <v>48</v>
      </c>
      <c r="AD452" s="7">
        <v>0</v>
      </c>
      <c r="AE452" s="7">
        <v>0</v>
      </c>
      <c r="AF452" s="3" t="s">
        <v>48</v>
      </c>
      <c r="AG452" s="7">
        <v>2023</v>
      </c>
      <c r="AH452" s="3" t="s">
        <v>57</v>
      </c>
      <c r="AI452" s="3" t="s">
        <v>48</v>
      </c>
      <c r="AJ452" s="3" t="s">
        <v>48</v>
      </c>
      <c r="AK452" s="18" t="s">
        <v>58</v>
      </c>
      <c r="AL452" s="3" t="s">
        <v>59</v>
      </c>
      <c r="AM452" s="3" t="s">
        <v>60</v>
      </c>
      <c r="AN452" s="3" t="s">
        <v>61</v>
      </c>
      <c r="AO452" s="3" t="s">
        <v>62</v>
      </c>
      <c r="AP452" s="3" t="s">
        <v>69</v>
      </c>
      <c r="AQ452" s="3" t="s">
        <v>61</v>
      </c>
      <c r="AR452" s="3" t="s">
        <v>48</v>
      </c>
    </row>
    <row r="453" spans="1:44" ht="30" customHeight="1">
      <c r="A453" s="3" t="s">
        <v>44</v>
      </c>
      <c r="B453" s="3" t="s">
        <v>45</v>
      </c>
      <c r="C453" s="3" t="s">
        <v>46</v>
      </c>
      <c r="D453" s="3" t="s">
        <v>47</v>
      </c>
      <c r="E453" s="3" t="s">
        <v>48</v>
      </c>
      <c r="F453" s="3" t="s">
        <v>49</v>
      </c>
      <c r="G453" s="3" t="s">
        <v>1016</v>
      </c>
      <c r="H453" s="4">
        <f>IF(DATEDIF(L453,S453,"m")&gt;12,DATEDIF(L453,S453,"y"),(DATEDIF(L453,S453,"m")/12))</f>
        <v>7</v>
      </c>
      <c r="I453" s="7">
        <f>DATEDIF(L453,S453,"M")</f>
        <v>90</v>
      </c>
      <c r="J453" s="7">
        <f>DATEDIF(L453,S453,"D")</f>
        <v>2770</v>
      </c>
      <c r="K453" s="3" t="s">
        <v>51</v>
      </c>
      <c r="L453" s="8">
        <v>42197</v>
      </c>
      <c r="M453" s="3" t="s">
        <v>45</v>
      </c>
      <c r="N453" s="3" t="s">
        <v>49</v>
      </c>
      <c r="O453" s="3" t="s">
        <v>52</v>
      </c>
      <c r="P453" s="3" t="s">
        <v>658</v>
      </c>
      <c r="Q453" s="7">
        <v>0</v>
      </c>
      <c r="R453" s="8">
        <v>44971</v>
      </c>
      <c r="S453" s="8">
        <v>44967</v>
      </c>
      <c r="T453" s="3" t="s">
        <v>54</v>
      </c>
      <c r="U453" s="3" t="s">
        <v>55</v>
      </c>
      <c r="V453" s="9"/>
      <c r="W453" s="24">
        <v>44974</v>
      </c>
      <c r="X453" s="7">
        <v>3</v>
      </c>
      <c r="Y453" s="7">
        <v>4</v>
      </c>
      <c r="Z453" s="7">
        <v>2</v>
      </c>
      <c r="AA453" s="7">
        <f>INT((S453-DATE(YEAR(S453-WEEKDAY(S453-0)+4),1,4)+WEEKDAY(DATE(YEAR(S453-WEEKDAY(S453-0)+4),1,4))+6)/7)</f>
        <v>6</v>
      </c>
      <c r="AB453" s="3" t="s">
        <v>1017</v>
      </c>
      <c r="AC453" s="7">
        <v>53</v>
      </c>
      <c r="AD453" s="7">
        <v>0</v>
      </c>
      <c r="AE453" s="7">
        <v>0</v>
      </c>
      <c r="AF453" s="3" t="s">
        <v>48</v>
      </c>
      <c r="AG453" s="7">
        <v>2023</v>
      </c>
      <c r="AH453" s="3" t="s">
        <v>57</v>
      </c>
      <c r="AI453" s="3" t="s">
        <v>48</v>
      </c>
      <c r="AJ453" s="3" t="s">
        <v>48</v>
      </c>
      <c r="AK453" s="3" t="s">
        <v>58</v>
      </c>
      <c r="AL453" s="3" t="s">
        <v>59</v>
      </c>
      <c r="AM453" s="3" t="s">
        <v>60</v>
      </c>
      <c r="AN453" s="3" t="s">
        <v>61</v>
      </c>
      <c r="AO453" s="3" t="s">
        <v>62</v>
      </c>
      <c r="AP453" s="3" t="s">
        <v>69</v>
      </c>
      <c r="AQ453" s="3" t="s">
        <v>61</v>
      </c>
      <c r="AR453" s="3" t="s">
        <v>48</v>
      </c>
    </row>
    <row r="454" spans="1:44" ht="30" customHeight="1">
      <c r="A454" s="3" t="s">
        <v>44</v>
      </c>
      <c r="B454" s="3" t="s">
        <v>45</v>
      </c>
      <c r="C454" s="3" t="s">
        <v>46</v>
      </c>
      <c r="D454" s="3" t="s">
        <v>47</v>
      </c>
      <c r="E454" s="3" t="s">
        <v>48</v>
      </c>
      <c r="F454" s="3" t="s">
        <v>49</v>
      </c>
      <c r="G454" s="3" t="s">
        <v>1615</v>
      </c>
      <c r="H454" s="4">
        <f>IF(DATEDIF(L454,S454,"m")&gt;12,DATEDIF(L454,S454,"y"),(DATEDIF(L454,S454,"m")/12))</f>
        <v>28</v>
      </c>
      <c r="I454" s="7">
        <f>DATEDIF(L454,S454,"M")</f>
        <v>340</v>
      </c>
      <c r="J454" s="7">
        <f>DATEDIF(L454,S454,"D")</f>
        <v>10367</v>
      </c>
      <c r="K454" s="3" t="s">
        <v>51</v>
      </c>
      <c r="L454" s="8">
        <v>34602</v>
      </c>
      <c r="M454" s="3" t="s">
        <v>45</v>
      </c>
      <c r="N454" s="3" t="s">
        <v>65</v>
      </c>
      <c r="O454" s="3" t="s">
        <v>52</v>
      </c>
      <c r="P454" s="3" t="s">
        <v>91</v>
      </c>
      <c r="Q454" s="7">
        <v>0</v>
      </c>
      <c r="R454" s="8">
        <v>44973</v>
      </c>
      <c r="S454" s="8">
        <v>44969</v>
      </c>
      <c r="T454" s="3" t="s">
        <v>54</v>
      </c>
      <c r="U454" s="3" t="s">
        <v>55</v>
      </c>
      <c r="V454" s="9"/>
      <c r="W454" s="24">
        <v>44974</v>
      </c>
      <c r="X454" s="7">
        <v>1</v>
      </c>
      <c r="Y454" s="7">
        <v>4</v>
      </c>
      <c r="Z454" s="7">
        <v>2</v>
      </c>
      <c r="AA454" s="7">
        <f>INT((S454-DATE(YEAR(S454-WEEKDAY(S454-0)+4),1,4)+WEEKDAY(DATE(YEAR(S454-WEEKDAY(S454-0)+4),1,4))+6)/7)</f>
        <v>7</v>
      </c>
      <c r="AB454" s="3" t="s">
        <v>1616</v>
      </c>
      <c r="AC454" s="7">
        <v>60</v>
      </c>
      <c r="AD454" s="7">
        <v>0</v>
      </c>
      <c r="AE454" s="7">
        <v>0</v>
      </c>
      <c r="AF454" s="3" t="s">
        <v>48</v>
      </c>
      <c r="AG454" s="7">
        <v>2023</v>
      </c>
      <c r="AH454" s="3" t="s">
        <v>57</v>
      </c>
      <c r="AI454" s="3" t="s">
        <v>48</v>
      </c>
      <c r="AJ454" s="3" t="s">
        <v>48</v>
      </c>
      <c r="AK454" s="18" t="s">
        <v>1214</v>
      </c>
      <c r="AL454" s="3" t="s">
        <v>59</v>
      </c>
      <c r="AM454" s="3" t="s">
        <v>60</v>
      </c>
      <c r="AN454" s="3" t="s">
        <v>61</v>
      </c>
      <c r="AO454" s="3" t="s">
        <v>62</v>
      </c>
      <c r="AP454" s="3" t="s">
        <v>69</v>
      </c>
      <c r="AQ454" s="3" t="s">
        <v>61</v>
      </c>
      <c r="AR454" s="3" t="s">
        <v>48</v>
      </c>
    </row>
    <row r="455" spans="1:44" ht="30" customHeight="1">
      <c r="A455" s="3" t="s">
        <v>44</v>
      </c>
      <c r="B455" s="3" t="s">
        <v>45</v>
      </c>
      <c r="C455" s="3" t="s">
        <v>46</v>
      </c>
      <c r="D455" s="3" t="s">
        <v>47</v>
      </c>
      <c r="E455" s="3" t="s">
        <v>48</v>
      </c>
      <c r="F455" s="3" t="s">
        <v>49</v>
      </c>
      <c r="G455" s="3" t="s">
        <v>1665</v>
      </c>
      <c r="H455" s="4">
        <v>5</v>
      </c>
      <c r="I455" s="7">
        <v>0</v>
      </c>
      <c r="J455" s="7">
        <v>0</v>
      </c>
      <c r="K455" s="3" t="s">
        <v>51</v>
      </c>
      <c r="L455" s="22"/>
      <c r="M455" s="3" t="s">
        <v>45</v>
      </c>
      <c r="N455" s="3" t="s">
        <v>49</v>
      </c>
      <c r="O455" s="3" t="s">
        <v>52</v>
      </c>
      <c r="P455" s="3" t="s">
        <v>84</v>
      </c>
      <c r="Q455" s="7">
        <v>0</v>
      </c>
      <c r="R455" s="8">
        <v>44973</v>
      </c>
      <c r="S455" s="8">
        <v>44970</v>
      </c>
      <c r="T455" s="3" t="s">
        <v>54</v>
      </c>
      <c r="U455" s="3" t="s">
        <v>55</v>
      </c>
      <c r="V455" s="9"/>
      <c r="W455" s="10">
        <v>44974</v>
      </c>
      <c r="X455" s="7">
        <v>1</v>
      </c>
      <c r="Y455" s="7">
        <v>3</v>
      </c>
      <c r="Z455" s="7">
        <v>2</v>
      </c>
      <c r="AA455" s="7">
        <f>INT((S455-DATE(YEAR(S455-WEEKDAY(S455-0)+4),1,4)+WEEKDAY(DATE(YEAR(S455-WEEKDAY(S455-0)+4),1,4))+6)/7)</f>
        <v>7</v>
      </c>
      <c r="AB455" s="3" t="s">
        <v>1666</v>
      </c>
      <c r="AC455" s="7">
        <v>59</v>
      </c>
      <c r="AD455" s="7">
        <v>0</v>
      </c>
      <c r="AE455" s="7">
        <v>0</v>
      </c>
      <c r="AF455" s="3" t="s">
        <v>48</v>
      </c>
      <c r="AG455" s="7">
        <v>2023</v>
      </c>
      <c r="AH455" s="3" t="s">
        <v>57</v>
      </c>
      <c r="AI455" s="3" t="s">
        <v>48</v>
      </c>
      <c r="AJ455" s="3" t="s">
        <v>48</v>
      </c>
      <c r="AK455" s="3" t="s">
        <v>227</v>
      </c>
      <c r="AL455" s="3" t="s">
        <v>59</v>
      </c>
      <c r="AM455" s="3" t="s">
        <v>60</v>
      </c>
      <c r="AN455" s="3" t="s">
        <v>61</v>
      </c>
      <c r="AO455" s="3" t="s">
        <v>62</v>
      </c>
      <c r="AP455" s="3" t="s">
        <v>69</v>
      </c>
      <c r="AQ455" s="3" t="s">
        <v>61</v>
      </c>
      <c r="AR455" s="3" t="s">
        <v>48</v>
      </c>
    </row>
    <row r="456" spans="1:44" ht="30" customHeight="1">
      <c r="A456" s="3" t="s">
        <v>44</v>
      </c>
      <c r="B456" s="3" t="s">
        <v>45</v>
      </c>
      <c r="C456" s="3" t="s">
        <v>46</v>
      </c>
      <c r="D456" s="3" t="s">
        <v>47</v>
      </c>
      <c r="E456" s="3" t="s">
        <v>48</v>
      </c>
      <c r="F456" s="3" t="s">
        <v>49</v>
      </c>
      <c r="G456" s="3" t="s">
        <v>1669</v>
      </c>
      <c r="H456" s="4">
        <f>IF(DATEDIF(L456,S456,"m")&gt;12,DATEDIF(L456,S456,"y"),(DATEDIF(L456,S456,"m")/12))</f>
        <v>4</v>
      </c>
      <c r="I456" s="7">
        <f>DATEDIF(L456,S456,"M")</f>
        <v>53</v>
      </c>
      <c r="J456" s="7">
        <f>DATEDIF(L456,S456,"D")</f>
        <v>1634</v>
      </c>
      <c r="K456" s="3" t="s">
        <v>64</v>
      </c>
      <c r="L456" s="8">
        <v>43334</v>
      </c>
      <c r="M456" s="3" t="s">
        <v>45</v>
      </c>
      <c r="N456" s="3" t="s">
        <v>49</v>
      </c>
      <c r="O456" s="3" t="s">
        <v>52</v>
      </c>
      <c r="P456" s="3" t="s">
        <v>1670</v>
      </c>
      <c r="Q456" s="7">
        <v>0</v>
      </c>
      <c r="R456" s="8">
        <v>44971</v>
      </c>
      <c r="S456" s="8">
        <v>44968</v>
      </c>
      <c r="T456" s="3" t="s">
        <v>54</v>
      </c>
      <c r="U456" s="3" t="s">
        <v>55</v>
      </c>
      <c r="V456" s="9"/>
      <c r="W456" s="10">
        <v>44974</v>
      </c>
      <c r="X456" s="7">
        <v>3</v>
      </c>
      <c r="Y456" s="7">
        <v>3</v>
      </c>
      <c r="Z456" s="7">
        <v>2</v>
      </c>
      <c r="AA456" s="7">
        <f>INT((S456-DATE(YEAR(S456-WEEKDAY(S456-0)+4),1,4)+WEEKDAY(DATE(YEAR(S456-WEEKDAY(S456-0)+4),1,4))+6)/7)</f>
        <v>6</v>
      </c>
      <c r="AB456" s="3" t="s">
        <v>1671</v>
      </c>
      <c r="AC456" s="7">
        <v>52</v>
      </c>
      <c r="AD456" s="7">
        <v>0</v>
      </c>
      <c r="AE456" s="7">
        <v>0</v>
      </c>
      <c r="AF456" s="3" t="s">
        <v>48</v>
      </c>
      <c r="AG456" s="7">
        <v>2023</v>
      </c>
      <c r="AH456" s="3" t="s">
        <v>57</v>
      </c>
      <c r="AI456" s="3" t="s">
        <v>48</v>
      </c>
      <c r="AJ456" s="3" t="s">
        <v>48</v>
      </c>
      <c r="AK456" s="3" t="s">
        <v>813</v>
      </c>
      <c r="AL456" s="3" t="s">
        <v>59</v>
      </c>
      <c r="AM456" s="3" t="s">
        <v>60</v>
      </c>
      <c r="AN456" s="3" t="s">
        <v>61</v>
      </c>
      <c r="AO456" s="3" t="s">
        <v>62</v>
      </c>
      <c r="AP456" s="3" t="s">
        <v>69</v>
      </c>
      <c r="AQ456" s="3" t="s">
        <v>61</v>
      </c>
      <c r="AR456" s="3" t="s">
        <v>48</v>
      </c>
    </row>
    <row r="457" spans="1:44" ht="30" customHeight="1">
      <c r="A457" s="3" t="s">
        <v>44</v>
      </c>
      <c r="B457" s="3" t="s">
        <v>45</v>
      </c>
      <c r="C457" s="3" t="s">
        <v>46</v>
      </c>
      <c r="D457" s="3" t="s">
        <v>47</v>
      </c>
      <c r="E457" s="3" t="s">
        <v>48</v>
      </c>
      <c r="F457" s="3" t="s">
        <v>49</v>
      </c>
      <c r="G457" s="3" t="s">
        <v>1782</v>
      </c>
      <c r="H457" s="4">
        <f>IF(DATEDIF(L457,S457,"m")&gt;12,DATEDIF(L457,S457,"y"),(DATEDIF(L457,S457,"m")/12))</f>
        <v>4</v>
      </c>
      <c r="I457" s="7">
        <f>DATEDIF(L457,S457,"M")</f>
        <v>55</v>
      </c>
      <c r="J457" s="7">
        <f>DATEDIF(L457,S457,"D")</f>
        <v>1703</v>
      </c>
      <c r="K457" s="3" t="s">
        <v>64</v>
      </c>
      <c r="L457" s="8">
        <v>43262</v>
      </c>
      <c r="M457" s="3" t="s">
        <v>45</v>
      </c>
      <c r="N457" s="3" t="s">
        <v>49</v>
      </c>
      <c r="O457" s="3" t="s">
        <v>52</v>
      </c>
      <c r="P457" s="3" t="s">
        <v>137</v>
      </c>
      <c r="Q457" s="7">
        <v>0</v>
      </c>
      <c r="R457" s="8">
        <v>44970</v>
      </c>
      <c r="S457" s="8">
        <v>44965</v>
      </c>
      <c r="T457" s="3" t="s">
        <v>54</v>
      </c>
      <c r="U457" s="3" t="s">
        <v>55</v>
      </c>
      <c r="V457" s="9"/>
      <c r="W457" s="10">
        <v>44974</v>
      </c>
      <c r="X457" s="7">
        <v>4</v>
      </c>
      <c r="Y457" s="7">
        <v>5</v>
      </c>
      <c r="Z457" s="7">
        <v>2</v>
      </c>
      <c r="AA457" s="7">
        <f>INT((S457-DATE(YEAR(S457-WEEKDAY(S457-0)+4),1,4)+WEEKDAY(DATE(YEAR(S457-WEEKDAY(S457-0)+4),1,4))+6)/7)</f>
        <v>6</v>
      </c>
      <c r="AB457" s="3" t="s">
        <v>1783</v>
      </c>
      <c r="AC457" s="7">
        <v>47</v>
      </c>
      <c r="AD457" s="7">
        <v>0</v>
      </c>
      <c r="AE457" s="7">
        <v>0</v>
      </c>
      <c r="AF457" s="3" t="s">
        <v>48</v>
      </c>
      <c r="AG457" s="7">
        <v>2023</v>
      </c>
      <c r="AH457" s="3" t="s">
        <v>57</v>
      </c>
      <c r="AI457" s="3" t="s">
        <v>48</v>
      </c>
      <c r="AJ457" s="3" t="s">
        <v>48</v>
      </c>
      <c r="AK457" s="3" t="s">
        <v>220</v>
      </c>
      <c r="AL457" s="3" t="s">
        <v>59</v>
      </c>
      <c r="AM457" s="3" t="s">
        <v>60</v>
      </c>
      <c r="AN457" s="3" t="s">
        <v>61</v>
      </c>
      <c r="AO457" s="3" t="s">
        <v>62</v>
      </c>
      <c r="AP457" s="3" t="s">
        <v>69</v>
      </c>
      <c r="AQ457" s="3" t="s">
        <v>61</v>
      </c>
      <c r="AR457" s="3" t="s">
        <v>48</v>
      </c>
    </row>
    <row r="458" spans="1:44" ht="30" customHeight="1">
      <c r="A458" s="3" t="s">
        <v>44</v>
      </c>
      <c r="B458" s="3" t="s">
        <v>45</v>
      </c>
      <c r="C458" s="3" t="s">
        <v>46</v>
      </c>
      <c r="D458" s="3" t="s">
        <v>47</v>
      </c>
      <c r="E458" s="3" t="s">
        <v>48</v>
      </c>
      <c r="F458" s="3" t="s">
        <v>49</v>
      </c>
      <c r="G458" s="3" t="s">
        <v>1795</v>
      </c>
      <c r="H458" s="4">
        <f>IF(DATEDIF(L458,S458,"m")&gt;12,DATEDIF(L458,S458,"y"),(DATEDIF(L458,S458,"m")/12))</f>
        <v>12</v>
      </c>
      <c r="I458" s="7">
        <f>DATEDIF(L458,S458,"M")</f>
        <v>145</v>
      </c>
      <c r="J458" s="7">
        <f>DATEDIF(L458,S458,"D")</f>
        <v>4431</v>
      </c>
      <c r="K458" s="3" t="s">
        <v>64</v>
      </c>
      <c r="L458" s="8">
        <v>40539</v>
      </c>
      <c r="M458" s="3" t="s">
        <v>45</v>
      </c>
      <c r="N458" s="3" t="s">
        <v>49</v>
      </c>
      <c r="O458" s="3" t="s">
        <v>52</v>
      </c>
      <c r="P458" s="3" t="s">
        <v>1796</v>
      </c>
      <c r="Q458" s="7">
        <v>0</v>
      </c>
      <c r="R458" s="8">
        <v>44973</v>
      </c>
      <c r="S458" s="8">
        <v>44970</v>
      </c>
      <c r="T458" s="3" t="s">
        <v>54</v>
      </c>
      <c r="U458" s="3" t="s">
        <v>55</v>
      </c>
      <c r="V458" s="9"/>
      <c r="W458" s="10">
        <v>44974</v>
      </c>
      <c r="X458" s="7">
        <v>1</v>
      </c>
      <c r="Y458" s="7">
        <v>3</v>
      </c>
      <c r="Z458" s="7">
        <v>2</v>
      </c>
      <c r="AA458" s="7">
        <f>INT((S458-DATE(YEAR(S458-WEEKDAY(S458-0)+4),1,4)+WEEKDAY(DATE(YEAR(S458-WEEKDAY(S458-0)+4),1,4))+6)/7)</f>
        <v>7</v>
      </c>
      <c r="AB458" s="3" t="s">
        <v>1797</v>
      </c>
      <c r="AC458" s="7">
        <v>62</v>
      </c>
      <c r="AD458" s="7">
        <v>0</v>
      </c>
      <c r="AE458" s="7">
        <v>0</v>
      </c>
      <c r="AF458" s="3" t="s">
        <v>48</v>
      </c>
      <c r="AG458" s="7">
        <v>2023</v>
      </c>
      <c r="AH458" s="3" t="s">
        <v>57</v>
      </c>
      <c r="AI458" s="3" t="s">
        <v>48</v>
      </c>
      <c r="AJ458" s="3" t="s">
        <v>48</v>
      </c>
      <c r="AK458" s="3" t="s">
        <v>220</v>
      </c>
      <c r="AL458" s="3" t="s">
        <v>59</v>
      </c>
      <c r="AM458" s="3" t="s">
        <v>60</v>
      </c>
      <c r="AN458" s="3" t="s">
        <v>61</v>
      </c>
      <c r="AO458" s="3" t="s">
        <v>62</v>
      </c>
      <c r="AP458" s="3" t="s">
        <v>69</v>
      </c>
      <c r="AQ458" s="3" t="s">
        <v>61</v>
      </c>
      <c r="AR458" s="3" t="s">
        <v>48</v>
      </c>
    </row>
    <row r="459" spans="1:44" ht="30" customHeight="1">
      <c r="A459" s="3" t="s">
        <v>44</v>
      </c>
      <c r="B459" s="3" t="s">
        <v>45</v>
      </c>
      <c r="C459" s="3" t="s">
        <v>46</v>
      </c>
      <c r="D459" s="3" t="s">
        <v>47</v>
      </c>
      <c r="E459" s="3" t="s">
        <v>48</v>
      </c>
      <c r="F459" s="3" t="s">
        <v>49</v>
      </c>
      <c r="G459" s="3" t="s">
        <v>1857</v>
      </c>
      <c r="H459" s="4">
        <f>IF(DATEDIF(L459,S459,"m")&gt;12,DATEDIF(L459,S459,"y"),(DATEDIF(L459,S459,"m")/12))</f>
        <v>19</v>
      </c>
      <c r="I459" s="7">
        <f>DATEDIF(L459,S459,"M")</f>
        <v>231</v>
      </c>
      <c r="J459" s="7">
        <f>DATEDIF(L459,S459,"D")</f>
        <v>7055</v>
      </c>
      <c r="K459" s="3" t="s">
        <v>64</v>
      </c>
      <c r="L459" s="8">
        <v>37915</v>
      </c>
      <c r="M459" s="3" t="s">
        <v>45</v>
      </c>
      <c r="N459" s="3" t="s">
        <v>49</v>
      </c>
      <c r="O459" s="3" t="s">
        <v>52</v>
      </c>
      <c r="P459" s="3" t="s">
        <v>91</v>
      </c>
      <c r="Q459" s="7">
        <v>0</v>
      </c>
      <c r="R459" s="8">
        <v>44973</v>
      </c>
      <c r="S459" s="8">
        <v>44970</v>
      </c>
      <c r="T459" s="3" t="s">
        <v>54</v>
      </c>
      <c r="U459" s="3" t="s">
        <v>55</v>
      </c>
      <c r="V459" s="9"/>
      <c r="W459" s="10">
        <v>44974</v>
      </c>
      <c r="X459" s="7">
        <v>1</v>
      </c>
      <c r="Y459" s="7">
        <v>3</v>
      </c>
      <c r="Z459" s="7">
        <v>2</v>
      </c>
      <c r="AA459" s="7">
        <f>INT((S459-DATE(YEAR(S459-WEEKDAY(S459-0)+4),1,4)+WEEKDAY(DATE(YEAR(S459-WEEKDAY(S459-0)+4),1,4))+6)/7)</f>
        <v>7</v>
      </c>
      <c r="AB459" s="3" t="s">
        <v>1858</v>
      </c>
      <c r="AC459" s="7">
        <v>58</v>
      </c>
      <c r="AD459" s="7">
        <v>0</v>
      </c>
      <c r="AE459" s="7">
        <v>0</v>
      </c>
      <c r="AF459" s="3" t="s">
        <v>48</v>
      </c>
      <c r="AG459" s="7">
        <v>2023</v>
      </c>
      <c r="AH459" s="3" t="s">
        <v>57</v>
      </c>
      <c r="AI459" s="3" t="s">
        <v>48</v>
      </c>
      <c r="AJ459" s="3" t="s">
        <v>48</v>
      </c>
      <c r="AK459" s="3" t="s">
        <v>717</v>
      </c>
      <c r="AL459" s="3" t="s">
        <v>59</v>
      </c>
      <c r="AM459" s="3" t="s">
        <v>60</v>
      </c>
      <c r="AN459" s="3" t="s">
        <v>61</v>
      </c>
      <c r="AO459" s="3" t="s">
        <v>62</v>
      </c>
      <c r="AP459" s="3" t="s">
        <v>69</v>
      </c>
      <c r="AQ459" s="3" t="s">
        <v>61</v>
      </c>
      <c r="AR459" s="3" t="s">
        <v>48</v>
      </c>
    </row>
    <row r="460" spans="1:44" ht="30" customHeight="1">
      <c r="A460" s="3" t="s">
        <v>44</v>
      </c>
      <c r="B460" s="3" t="s">
        <v>45</v>
      </c>
      <c r="C460" s="3" t="s">
        <v>46</v>
      </c>
      <c r="D460" s="3" t="s">
        <v>130</v>
      </c>
      <c r="E460" s="3" t="s">
        <v>48</v>
      </c>
      <c r="F460" s="3" t="s">
        <v>135</v>
      </c>
      <c r="G460" s="3" t="s">
        <v>1894</v>
      </c>
      <c r="H460" s="4">
        <f>IF(DATEDIF(L460,S460,"m")&gt;12,DATEDIF(L460,S460,"y"),(DATEDIF(L460,S460,"m")/12))</f>
        <v>38</v>
      </c>
      <c r="I460" s="7">
        <f>DATEDIF(L460,S460,"M")</f>
        <v>460</v>
      </c>
      <c r="J460" s="7">
        <f>DATEDIF(L460,S460,"D")</f>
        <v>14024</v>
      </c>
      <c r="K460" s="3" t="s">
        <v>51</v>
      </c>
      <c r="L460" s="8">
        <v>30945</v>
      </c>
      <c r="M460" s="3" t="s">
        <v>45</v>
      </c>
      <c r="N460" s="3" t="s">
        <v>83</v>
      </c>
      <c r="O460" s="3" t="s">
        <v>52</v>
      </c>
      <c r="P460" s="3" t="s">
        <v>137</v>
      </c>
      <c r="Q460" s="7">
        <v>0</v>
      </c>
      <c r="R460" s="8">
        <v>44973</v>
      </c>
      <c r="S460" s="8">
        <v>44969</v>
      </c>
      <c r="T460" s="3" t="s">
        <v>54</v>
      </c>
      <c r="U460" s="3" t="s">
        <v>55</v>
      </c>
      <c r="V460" s="9"/>
      <c r="W460" s="10">
        <v>44974</v>
      </c>
      <c r="X460" s="7">
        <v>1</v>
      </c>
      <c r="Y460" s="7">
        <v>4</v>
      </c>
      <c r="Z460" s="7">
        <v>2</v>
      </c>
      <c r="AA460" s="7">
        <f>INT((S460-DATE(YEAR(S460-WEEKDAY(S460-0)+4),1,4)+WEEKDAY(DATE(YEAR(S460-WEEKDAY(S460-0)+4),1,4))+6)/7)</f>
        <v>7</v>
      </c>
      <c r="AB460" s="3" t="s">
        <v>1895</v>
      </c>
      <c r="AC460" s="7">
        <v>90</v>
      </c>
      <c r="AD460" s="7">
        <v>0</v>
      </c>
      <c r="AE460" s="7">
        <v>0</v>
      </c>
      <c r="AF460" s="3" t="s">
        <v>48</v>
      </c>
      <c r="AG460" s="7">
        <v>2023</v>
      </c>
      <c r="AH460" s="3" t="s">
        <v>139</v>
      </c>
      <c r="AI460" s="3" t="s">
        <v>113</v>
      </c>
      <c r="AJ460" s="3" t="s">
        <v>48</v>
      </c>
      <c r="AK460" s="3" t="s">
        <v>1225</v>
      </c>
      <c r="AL460" s="3" t="s">
        <v>59</v>
      </c>
      <c r="AM460" s="3" t="s">
        <v>60</v>
      </c>
      <c r="AN460" s="3" t="s">
        <v>61</v>
      </c>
      <c r="AO460" s="3" t="s">
        <v>62</v>
      </c>
      <c r="AP460" s="3" t="s">
        <v>69</v>
      </c>
      <c r="AQ460" s="3" t="s">
        <v>61</v>
      </c>
      <c r="AR460" s="3" t="s">
        <v>48</v>
      </c>
    </row>
    <row r="461" spans="1:44" ht="30" customHeight="1">
      <c r="A461" s="3" t="s">
        <v>44</v>
      </c>
      <c r="B461" s="3" t="s">
        <v>45</v>
      </c>
      <c r="C461" s="3" t="s">
        <v>46</v>
      </c>
      <c r="D461" s="3" t="s">
        <v>47</v>
      </c>
      <c r="E461" s="3" t="s">
        <v>48</v>
      </c>
      <c r="F461" s="3" t="s">
        <v>49</v>
      </c>
      <c r="G461" s="3" t="s">
        <v>1996</v>
      </c>
      <c r="H461" s="5">
        <f>IF(DATEDIF(L461,S461,"m")&gt;12,DATEDIF(L461,S461,"y"),(DATEDIF(L461,S461,"m")/12))</f>
        <v>0.16666666666666666</v>
      </c>
      <c r="I461" s="7">
        <f>DATEDIF(L461,S461,"M")</f>
        <v>2</v>
      </c>
      <c r="J461" s="7">
        <f>DATEDIF(L461,S461,"D")</f>
        <v>85</v>
      </c>
      <c r="K461" s="3" t="s">
        <v>64</v>
      </c>
      <c r="L461" s="8">
        <v>44883</v>
      </c>
      <c r="M461" s="3" t="s">
        <v>45</v>
      </c>
      <c r="N461" s="3" t="s">
        <v>49</v>
      </c>
      <c r="O461" s="3" t="s">
        <v>52</v>
      </c>
      <c r="P461" s="3" t="s">
        <v>1997</v>
      </c>
      <c r="Q461" s="7">
        <v>0</v>
      </c>
      <c r="R461" s="8">
        <v>44971</v>
      </c>
      <c r="S461" s="8">
        <v>44968</v>
      </c>
      <c r="T461" s="3" t="s">
        <v>54</v>
      </c>
      <c r="U461" s="3" t="s">
        <v>55</v>
      </c>
      <c r="V461" s="9"/>
      <c r="W461" s="10">
        <v>44974</v>
      </c>
      <c r="X461" s="7">
        <v>3</v>
      </c>
      <c r="Y461" s="7">
        <v>3</v>
      </c>
      <c r="Z461" s="7">
        <v>2</v>
      </c>
      <c r="AA461" s="7">
        <f>INT((S461-DATE(YEAR(S461-WEEKDAY(S461-0)+4),1,4)+WEEKDAY(DATE(YEAR(S461-WEEKDAY(S461-0)+4),1,4))+6)/7)</f>
        <v>6</v>
      </c>
      <c r="AB461" s="3" t="s">
        <v>1998</v>
      </c>
      <c r="AC461" s="7">
        <v>55</v>
      </c>
      <c r="AD461" s="7">
        <v>0</v>
      </c>
      <c r="AE461" s="7">
        <v>0</v>
      </c>
      <c r="AF461" s="3" t="s">
        <v>48</v>
      </c>
      <c r="AG461" s="7">
        <v>2023</v>
      </c>
      <c r="AH461" s="3" t="s">
        <v>57</v>
      </c>
      <c r="AI461" s="3" t="s">
        <v>48</v>
      </c>
      <c r="AJ461" s="3" t="s">
        <v>48</v>
      </c>
      <c r="AK461" s="3" t="s">
        <v>58</v>
      </c>
      <c r="AL461" s="3" t="s">
        <v>59</v>
      </c>
      <c r="AM461" s="3" t="s">
        <v>60</v>
      </c>
      <c r="AN461" s="3" t="s">
        <v>61</v>
      </c>
      <c r="AO461" s="3" t="s">
        <v>62</v>
      </c>
      <c r="AP461" s="3" t="s">
        <v>69</v>
      </c>
      <c r="AQ461" s="3" t="s">
        <v>61</v>
      </c>
      <c r="AR461" s="3" t="s">
        <v>48</v>
      </c>
    </row>
    <row r="462" spans="1:44" ht="30" customHeight="1">
      <c r="A462" s="3" t="s">
        <v>44</v>
      </c>
      <c r="B462" s="3" t="s">
        <v>45</v>
      </c>
      <c r="C462" s="3" t="s">
        <v>46</v>
      </c>
      <c r="D462" s="3" t="s">
        <v>108</v>
      </c>
      <c r="E462" s="3" t="s">
        <v>48</v>
      </c>
      <c r="F462" s="3" t="s">
        <v>108</v>
      </c>
      <c r="G462" s="3" t="s">
        <v>2216</v>
      </c>
      <c r="H462" s="4">
        <f>IF(DATEDIF(L462,S462,"m")&gt;12,DATEDIF(L462,S462,"y"),(DATEDIF(L462,S462,"m")/12))</f>
        <v>4</v>
      </c>
      <c r="I462" s="7">
        <f>DATEDIF(L462,S462,"M")</f>
        <v>48</v>
      </c>
      <c r="J462" s="7">
        <f>DATEDIF(L462,S462,"D")</f>
        <v>1480</v>
      </c>
      <c r="K462" s="3" t="s">
        <v>64</v>
      </c>
      <c r="L462" s="8">
        <v>43507</v>
      </c>
      <c r="M462" s="3" t="s">
        <v>45</v>
      </c>
      <c r="N462" s="3" t="s">
        <v>73</v>
      </c>
      <c r="O462" s="3" t="s">
        <v>52</v>
      </c>
      <c r="P462" s="3" t="s">
        <v>156</v>
      </c>
      <c r="Q462" s="7">
        <v>0</v>
      </c>
      <c r="R462" s="8">
        <v>44988</v>
      </c>
      <c r="S462" s="8">
        <v>44987</v>
      </c>
      <c r="T462" s="3" t="s">
        <v>54</v>
      </c>
      <c r="U462" s="3" t="s">
        <v>55</v>
      </c>
      <c r="V462" s="9"/>
      <c r="W462" s="10">
        <v>44991</v>
      </c>
      <c r="X462" s="7">
        <v>3</v>
      </c>
      <c r="Y462" s="7">
        <v>1</v>
      </c>
      <c r="Z462" s="7">
        <v>3</v>
      </c>
      <c r="AA462" s="7">
        <f>INT((S462-DATE(YEAR(S462-WEEKDAY(S462-0)+4),1,4)+WEEKDAY(DATE(YEAR(S462-WEEKDAY(S462-0)+4),1,4))+6)/7)</f>
        <v>9</v>
      </c>
      <c r="AB462" s="3" t="s">
        <v>2217</v>
      </c>
      <c r="AC462" s="7">
        <v>325</v>
      </c>
      <c r="AD462" s="7">
        <v>0</v>
      </c>
      <c r="AE462" s="7">
        <v>0</v>
      </c>
      <c r="AF462" s="3" t="s">
        <v>48</v>
      </c>
      <c r="AG462" s="7">
        <v>2023</v>
      </c>
      <c r="AH462" s="3" t="s">
        <v>112</v>
      </c>
      <c r="AI462" s="3" t="s">
        <v>113</v>
      </c>
      <c r="AJ462" s="3" t="s">
        <v>48</v>
      </c>
      <c r="AK462" s="3" t="s">
        <v>79</v>
      </c>
      <c r="AL462" s="3" t="s">
        <v>59</v>
      </c>
      <c r="AM462" s="3" t="s">
        <v>115</v>
      </c>
      <c r="AN462" s="3" t="s">
        <v>61</v>
      </c>
      <c r="AO462" s="3" t="s">
        <v>62</v>
      </c>
      <c r="AP462" s="3" t="s">
        <v>69</v>
      </c>
      <c r="AQ462" s="3" t="s">
        <v>61</v>
      </c>
      <c r="AR462" s="3" t="s">
        <v>48</v>
      </c>
    </row>
    <row r="463" spans="1:44" ht="30" customHeight="1">
      <c r="A463" s="3" t="s">
        <v>44</v>
      </c>
      <c r="B463" s="3" t="s">
        <v>45</v>
      </c>
      <c r="C463" s="3" t="s">
        <v>46</v>
      </c>
      <c r="D463" s="3" t="s">
        <v>47</v>
      </c>
      <c r="E463" s="3" t="s">
        <v>48</v>
      </c>
      <c r="F463" s="3" t="s">
        <v>49</v>
      </c>
      <c r="G463" s="3" t="s">
        <v>2268</v>
      </c>
      <c r="H463" s="4">
        <f>IF(DATEDIF(L463,S463,"m")&gt;12,DATEDIF(L463,S463,"y"),(DATEDIF(L463,S463,"m")/12))</f>
        <v>5</v>
      </c>
      <c r="I463" s="7">
        <f>DATEDIF(L463,S463,"M")</f>
        <v>69</v>
      </c>
      <c r="J463" s="7">
        <f>DATEDIF(L463,S463,"D")</f>
        <v>2111</v>
      </c>
      <c r="K463" s="3" t="s">
        <v>51</v>
      </c>
      <c r="L463" s="8">
        <v>42857</v>
      </c>
      <c r="M463" s="3" t="s">
        <v>45</v>
      </c>
      <c r="N463" s="3" t="s">
        <v>49</v>
      </c>
      <c r="O463" s="3" t="s">
        <v>52</v>
      </c>
      <c r="P463" s="3" t="s">
        <v>2269</v>
      </c>
      <c r="Q463" s="7">
        <v>0</v>
      </c>
      <c r="R463" s="8">
        <v>44971</v>
      </c>
      <c r="S463" s="8">
        <v>44968</v>
      </c>
      <c r="T463" s="3" t="s">
        <v>54</v>
      </c>
      <c r="U463" s="3" t="s">
        <v>55</v>
      </c>
      <c r="V463" s="9"/>
      <c r="W463" s="10">
        <v>44974</v>
      </c>
      <c r="X463" s="7">
        <v>3</v>
      </c>
      <c r="Y463" s="7">
        <v>3</v>
      </c>
      <c r="Z463" s="7">
        <v>2</v>
      </c>
      <c r="AA463" s="7">
        <f>INT((S463-DATE(YEAR(S463-WEEKDAY(S463-0)+4),1,4)+WEEKDAY(DATE(YEAR(S463-WEEKDAY(S463-0)+4),1,4))+6)/7)</f>
        <v>6</v>
      </c>
      <c r="AB463" s="3" t="s">
        <v>2270</v>
      </c>
      <c r="AC463" s="7">
        <v>56</v>
      </c>
      <c r="AD463" s="7">
        <v>0</v>
      </c>
      <c r="AE463" s="7">
        <v>0</v>
      </c>
      <c r="AF463" s="3" t="s">
        <v>48</v>
      </c>
      <c r="AG463" s="7">
        <v>2023</v>
      </c>
      <c r="AH463" s="3" t="s">
        <v>57</v>
      </c>
      <c r="AI463" s="3" t="s">
        <v>48</v>
      </c>
      <c r="AJ463" s="3" t="s">
        <v>48</v>
      </c>
      <c r="AK463" s="3" t="s">
        <v>362</v>
      </c>
      <c r="AL463" s="3" t="s">
        <v>59</v>
      </c>
      <c r="AM463" s="3" t="s">
        <v>60</v>
      </c>
      <c r="AN463" s="3" t="s">
        <v>61</v>
      </c>
      <c r="AO463" s="3" t="s">
        <v>62</v>
      </c>
      <c r="AP463" s="3" t="s">
        <v>69</v>
      </c>
      <c r="AQ463" s="3" t="s">
        <v>61</v>
      </c>
      <c r="AR463" s="3" t="s">
        <v>48</v>
      </c>
    </row>
    <row r="464" spans="1:44" ht="30" customHeight="1">
      <c r="A464" s="3" t="s">
        <v>44</v>
      </c>
      <c r="B464" s="3" t="s">
        <v>45</v>
      </c>
      <c r="C464" s="3" t="s">
        <v>46</v>
      </c>
      <c r="D464" s="3" t="s">
        <v>70</v>
      </c>
      <c r="E464" s="3" t="s">
        <v>48</v>
      </c>
      <c r="F464" s="3" t="s">
        <v>71</v>
      </c>
      <c r="G464" s="3" t="s">
        <v>631</v>
      </c>
      <c r="H464" s="4">
        <f>IF(DATEDIF(L464,S464,"m")&gt;12,DATEDIF(L464,S464,"y"),(DATEDIF(L464,S464,"m")/12))</f>
        <v>44</v>
      </c>
      <c r="I464" s="7">
        <f>DATEDIF(L464,S464,"M")</f>
        <v>533</v>
      </c>
      <c r="J464" s="7">
        <f>DATEDIF(L464,S464,"D")</f>
        <v>16232</v>
      </c>
      <c r="K464" s="3" t="s">
        <v>51</v>
      </c>
      <c r="L464" s="8">
        <v>28741</v>
      </c>
      <c r="M464" s="3" t="s">
        <v>45</v>
      </c>
      <c r="N464" s="3" t="s">
        <v>203</v>
      </c>
      <c r="O464" s="3" t="s">
        <v>52</v>
      </c>
      <c r="P464" s="3" t="s">
        <v>103</v>
      </c>
      <c r="Q464" s="7">
        <v>1</v>
      </c>
      <c r="R464" s="8">
        <v>44975</v>
      </c>
      <c r="S464" s="8">
        <v>44973</v>
      </c>
      <c r="T464" s="3" t="s">
        <v>54</v>
      </c>
      <c r="U464" s="3" t="s">
        <v>55</v>
      </c>
      <c r="V464" s="9"/>
      <c r="W464" s="10">
        <v>44977</v>
      </c>
      <c r="X464" s="7">
        <v>2</v>
      </c>
      <c r="Y464" s="7">
        <v>2</v>
      </c>
      <c r="Z464" s="7">
        <v>2</v>
      </c>
      <c r="AA464" s="7">
        <f>INT((S464-DATE(YEAR(S464-WEEKDAY(S464-0)+4),1,4)+WEEKDAY(DATE(YEAR(S464-WEEKDAY(S464-0)+4),1,4))+6)/7)</f>
        <v>7</v>
      </c>
      <c r="AB464" s="3" t="s">
        <v>632</v>
      </c>
      <c r="AC464" s="7">
        <v>673</v>
      </c>
      <c r="AD464" s="7">
        <v>0</v>
      </c>
      <c r="AE464" s="7">
        <v>1</v>
      </c>
      <c r="AF464" s="3" t="s">
        <v>48</v>
      </c>
      <c r="AG464" s="7">
        <v>2023</v>
      </c>
      <c r="AH464" s="3" t="s">
        <v>76</v>
      </c>
      <c r="AI464" s="3" t="s">
        <v>166</v>
      </c>
      <c r="AJ464" s="3" t="s">
        <v>78</v>
      </c>
      <c r="AK464" s="12" t="s">
        <v>327</v>
      </c>
      <c r="AL464" s="3" t="s">
        <v>59</v>
      </c>
      <c r="AM464" s="3" t="s">
        <v>60</v>
      </c>
      <c r="AN464" s="3" t="s">
        <v>61</v>
      </c>
      <c r="AO464" s="3" t="s">
        <v>62</v>
      </c>
      <c r="AP464" s="3" t="s">
        <v>69</v>
      </c>
      <c r="AQ464" s="3" t="s">
        <v>61</v>
      </c>
      <c r="AR464" s="3" t="s">
        <v>48</v>
      </c>
    </row>
    <row r="465" spans="1:44" ht="30" customHeight="1">
      <c r="A465" s="3" t="s">
        <v>44</v>
      </c>
      <c r="B465" s="3" t="s">
        <v>45</v>
      </c>
      <c r="C465" s="3" t="s">
        <v>46</v>
      </c>
      <c r="D465" s="3" t="s">
        <v>70</v>
      </c>
      <c r="E465" s="3" t="s">
        <v>48</v>
      </c>
      <c r="F465" s="3" t="s">
        <v>71</v>
      </c>
      <c r="G465" s="3" t="s">
        <v>679</v>
      </c>
      <c r="H465" s="4">
        <f>IF(DATEDIF(L465,S465,"m")&gt;12,DATEDIF(L465,S465,"y"),(DATEDIF(L465,S465,"m")/12))</f>
        <v>5</v>
      </c>
      <c r="I465" s="7">
        <f>DATEDIF(L465,S465,"M")</f>
        <v>62</v>
      </c>
      <c r="J465" s="7">
        <f>DATEDIF(L465,S465,"D")</f>
        <v>1912</v>
      </c>
      <c r="K465" s="3" t="s">
        <v>51</v>
      </c>
      <c r="L465" s="21">
        <v>43062</v>
      </c>
      <c r="M465" s="3" t="s">
        <v>45</v>
      </c>
      <c r="N465" s="3" t="s">
        <v>203</v>
      </c>
      <c r="O465" s="3" t="s">
        <v>52</v>
      </c>
      <c r="P465" s="3" t="s">
        <v>225</v>
      </c>
      <c r="Q465" s="7">
        <v>1</v>
      </c>
      <c r="R465" s="8">
        <v>44975</v>
      </c>
      <c r="S465" s="8">
        <v>44974</v>
      </c>
      <c r="T465" s="3" t="s">
        <v>54</v>
      </c>
      <c r="U465" s="3" t="s">
        <v>55</v>
      </c>
      <c r="V465" s="9"/>
      <c r="W465" s="10">
        <v>44977</v>
      </c>
      <c r="X465" s="7">
        <v>2</v>
      </c>
      <c r="Y465" s="7">
        <v>1</v>
      </c>
      <c r="Z465" s="7">
        <v>2</v>
      </c>
      <c r="AA465" s="7">
        <f>INT((S465-DATE(YEAR(S465-WEEKDAY(S465-0)+4),1,4)+WEEKDAY(DATE(YEAR(S465-WEEKDAY(S465-0)+4),1,4))+6)/7)</f>
        <v>7</v>
      </c>
      <c r="AB465" s="3" t="s">
        <v>680</v>
      </c>
      <c r="AC465" s="7">
        <v>675</v>
      </c>
      <c r="AD465" s="7">
        <v>0</v>
      </c>
      <c r="AE465" s="7">
        <v>1</v>
      </c>
      <c r="AF465" s="3" t="s">
        <v>48</v>
      </c>
      <c r="AG465" s="7">
        <v>2023</v>
      </c>
      <c r="AH465" s="3" t="s">
        <v>76</v>
      </c>
      <c r="AI465" s="3" t="s">
        <v>166</v>
      </c>
      <c r="AJ465" s="3" t="s">
        <v>78</v>
      </c>
      <c r="AK465" s="12" t="s">
        <v>327</v>
      </c>
      <c r="AL465" s="3" t="s">
        <v>59</v>
      </c>
      <c r="AM465" s="3" t="s">
        <v>60</v>
      </c>
      <c r="AN465" s="3" t="s">
        <v>61</v>
      </c>
      <c r="AO465" s="3" t="s">
        <v>62</v>
      </c>
      <c r="AP465" s="3" t="s">
        <v>69</v>
      </c>
      <c r="AQ465" s="3" t="s">
        <v>61</v>
      </c>
      <c r="AR465" s="3" t="s">
        <v>48</v>
      </c>
    </row>
    <row r="466" spans="1:44" ht="30" customHeight="1">
      <c r="A466" s="3" t="s">
        <v>44</v>
      </c>
      <c r="B466" s="3" t="s">
        <v>45</v>
      </c>
      <c r="C466" s="3" t="s">
        <v>46</v>
      </c>
      <c r="D466" s="3" t="s">
        <v>108</v>
      </c>
      <c r="E466" s="3" t="s">
        <v>48</v>
      </c>
      <c r="F466" s="3" t="s">
        <v>108</v>
      </c>
      <c r="G466" s="3" t="s">
        <v>2222</v>
      </c>
      <c r="H466" s="4">
        <f>IF(DATEDIF(L466,S466,"m")&gt;12,DATEDIF(L466,S466,"y"),(DATEDIF(L466,S466,"m")/12))</f>
        <v>3</v>
      </c>
      <c r="I466" s="7">
        <f>DATEDIF(L466,S466,"M")</f>
        <v>42</v>
      </c>
      <c r="J466" s="7">
        <f>DATEDIF(L466,S466,"D")</f>
        <v>1309</v>
      </c>
      <c r="K466" s="3" t="s">
        <v>64</v>
      </c>
      <c r="L466" s="8">
        <v>43676</v>
      </c>
      <c r="M466" s="3" t="s">
        <v>45</v>
      </c>
      <c r="N466" s="3" t="s">
        <v>73</v>
      </c>
      <c r="O466" s="3" t="s">
        <v>52</v>
      </c>
      <c r="P466" s="3" t="s">
        <v>91</v>
      </c>
      <c r="Q466" s="7">
        <v>0</v>
      </c>
      <c r="R466" s="8">
        <v>44988</v>
      </c>
      <c r="S466" s="8">
        <v>44985</v>
      </c>
      <c r="T466" s="3" t="s">
        <v>54</v>
      </c>
      <c r="U466" s="3" t="s">
        <v>55</v>
      </c>
      <c r="V466" s="9"/>
      <c r="W466" s="10">
        <v>44991</v>
      </c>
      <c r="X466" s="7">
        <v>3</v>
      </c>
      <c r="Y466" s="7">
        <v>3</v>
      </c>
      <c r="Z466" s="7">
        <v>2</v>
      </c>
      <c r="AA466" s="7">
        <f>INT((S466-DATE(YEAR(S466-WEEKDAY(S466-0)+4),1,4)+WEEKDAY(DATE(YEAR(S466-WEEKDAY(S466-0)+4),1,4))+6)/7)</f>
        <v>9</v>
      </c>
      <c r="AB466" s="3" t="s">
        <v>2223</v>
      </c>
      <c r="AC466" s="7">
        <v>331</v>
      </c>
      <c r="AD466" s="7">
        <v>0</v>
      </c>
      <c r="AE466" s="7">
        <v>0</v>
      </c>
      <c r="AF466" s="3" t="s">
        <v>48</v>
      </c>
      <c r="AG466" s="7">
        <v>2023</v>
      </c>
      <c r="AH466" s="3" t="s">
        <v>112</v>
      </c>
      <c r="AI466" s="3" t="s">
        <v>113</v>
      </c>
      <c r="AJ466" s="3" t="s">
        <v>48</v>
      </c>
      <c r="AK466" s="3" t="s">
        <v>79</v>
      </c>
      <c r="AL466" s="3" t="s">
        <v>59</v>
      </c>
      <c r="AM466" s="3" t="s">
        <v>115</v>
      </c>
      <c r="AN466" s="3" t="s">
        <v>61</v>
      </c>
      <c r="AO466" s="3" t="s">
        <v>62</v>
      </c>
      <c r="AP466" s="3" t="s">
        <v>69</v>
      </c>
      <c r="AQ466" s="3" t="s">
        <v>61</v>
      </c>
      <c r="AR466" s="3" t="s">
        <v>48</v>
      </c>
    </row>
    <row r="467" spans="1:44" ht="30" customHeight="1">
      <c r="A467" s="3" t="s">
        <v>44</v>
      </c>
      <c r="B467" s="3" t="s">
        <v>45</v>
      </c>
      <c r="C467" s="3" t="s">
        <v>46</v>
      </c>
      <c r="D467" s="3" t="s">
        <v>108</v>
      </c>
      <c r="E467" s="3" t="s">
        <v>48</v>
      </c>
      <c r="F467" s="3" t="s">
        <v>108</v>
      </c>
      <c r="G467" s="3" t="s">
        <v>2288</v>
      </c>
      <c r="H467" s="4">
        <f>IF(DATEDIF(L467,S467,"m")&gt;12,DATEDIF(L467,S467,"y"),(DATEDIF(L467,S467,"m")/12))</f>
        <v>3</v>
      </c>
      <c r="I467" s="7">
        <f>DATEDIF(L467,S467,"M")</f>
        <v>43</v>
      </c>
      <c r="J467" s="7">
        <f>DATEDIF(L467,S467,"D")</f>
        <v>1333</v>
      </c>
      <c r="K467" s="3" t="s">
        <v>64</v>
      </c>
      <c r="L467" s="8">
        <v>43654</v>
      </c>
      <c r="M467" s="3" t="s">
        <v>45</v>
      </c>
      <c r="N467" s="3" t="s">
        <v>73</v>
      </c>
      <c r="O467" s="3" t="s">
        <v>52</v>
      </c>
      <c r="P467" s="3" t="s">
        <v>156</v>
      </c>
      <c r="Q467" s="7">
        <v>0</v>
      </c>
      <c r="R467" s="8">
        <v>44988</v>
      </c>
      <c r="S467" s="8">
        <v>44987</v>
      </c>
      <c r="T467" s="3" t="s">
        <v>54</v>
      </c>
      <c r="U467" s="3" t="s">
        <v>55</v>
      </c>
      <c r="V467" s="9"/>
      <c r="W467" s="10">
        <v>44991</v>
      </c>
      <c r="X467" s="7">
        <v>3</v>
      </c>
      <c r="Y467" s="7">
        <v>1</v>
      </c>
      <c r="Z467" s="7">
        <v>3</v>
      </c>
      <c r="AA467" s="7">
        <f>INT((S467-DATE(YEAR(S467-WEEKDAY(S467-0)+4),1,4)+WEEKDAY(DATE(YEAR(S467-WEEKDAY(S467-0)+4),1,4))+6)/7)</f>
        <v>9</v>
      </c>
      <c r="AB467" s="3" t="s">
        <v>2289</v>
      </c>
      <c r="AC467" s="7">
        <v>333</v>
      </c>
      <c r="AD467" s="7">
        <v>0</v>
      </c>
      <c r="AE467" s="7">
        <v>0</v>
      </c>
      <c r="AF467" s="3" t="s">
        <v>48</v>
      </c>
      <c r="AG467" s="7">
        <v>2023</v>
      </c>
      <c r="AH467" s="3" t="s">
        <v>112</v>
      </c>
      <c r="AI467" s="3" t="s">
        <v>113</v>
      </c>
      <c r="AJ467" s="3" t="s">
        <v>48</v>
      </c>
      <c r="AK467" s="3" t="s">
        <v>79</v>
      </c>
      <c r="AL467" s="3" t="s">
        <v>59</v>
      </c>
      <c r="AM467" s="3" t="s">
        <v>115</v>
      </c>
      <c r="AN467" s="3" t="s">
        <v>61</v>
      </c>
      <c r="AO467" s="3" t="s">
        <v>62</v>
      </c>
      <c r="AP467" s="3" t="s">
        <v>69</v>
      </c>
      <c r="AQ467" s="3" t="s">
        <v>61</v>
      </c>
      <c r="AR467" s="3" t="s">
        <v>48</v>
      </c>
    </row>
    <row r="468" spans="1:44" ht="30" customHeight="1">
      <c r="A468" s="3" t="s">
        <v>44</v>
      </c>
      <c r="B468" s="3" t="s">
        <v>45</v>
      </c>
      <c r="C468" s="3" t="s">
        <v>46</v>
      </c>
      <c r="D468" s="3" t="s">
        <v>70</v>
      </c>
      <c r="E468" s="3" t="s">
        <v>48</v>
      </c>
      <c r="F468" s="3" t="s">
        <v>71</v>
      </c>
      <c r="G468" s="3" t="s">
        <v>868</v>
      </c>
      <c r="H468" s="4">
        <f>IF(DATEDIF(L468,S468,"m")&gt;12,DATEDIF(L468,S468,"y"),(DATEDIF(L468,S468,"m")/12))</f>
        <v>3</v>
      </c>
      <c r="I468" s="7">
        <f>DATEDIF(L468,S468,"M")</f>
        <v>47</v>
      </c>
      <c r="J468" s="7">
        <f>DATEDIF(L468,S468,"D")</f>
        <v>1448</v>
      </c>
      <c r="K468" s="3" t="s">
        <v>51</v>
      </c>
      <c r="L468" s="8">
        <v>43526</v>
      </c>
      <c r="M468" s="3" t="s">
        <v>45</v>
      </c>
      <c r="N468" s="3" t="s">
        <v>164</v>
      </c>
      <c r="O468" s="3" t="s">
        <v>52</v>
      </c>
      <c r="P468" s="3" t="s">
        <v>176</v>
      </c>
      <c r="Q468" s="7">
        <v>1</v>
      </c>
      <c r="R468" s="8">
        <v>44975</v>
      </c>
      <c r="S468" s="8">
        <v>44974</v>
      </c>
      <c r="T468" s="3" t="s">
        <v>54</v>
      </c>
      <c r="U468" s="3" t="s">
        <v>55</v>
      </c>
      <c r="V468" s="9"/>
      <c r="W468" s="10">
        <v>44977</v>
      </c>
      <c r="X468" s="7">
        <v>2</v>
      </c>
      <c r="Y468" s="7">
        <v>1</v>
      </c>
      <c r="Z468" s="7">
        <v>2</v>
      </c>
      <c r="AA468" s="7">
        <f>INT((S468-DATE(YEAR(S468-WEEKDAY(S468-0)+4),1,4)+WEEKDAY(DATE(YEAR(S468-WEEKDAY(S468-0)+4),1,4))+6)/7)</f>
        <v>7</v>
      </c>
      <c r="AB468" s="3" t="s">
        <v>869</v>
      </c>
      <c r="AC468" s="7">
        <v>674</v>
      </c>
      <c r="AD468" s="7">
        <v>0</v>
      </c>
      <c r="AE468" s="7">
        <v>1</v>
      </c>
      <c r="AF468" s="3" t="s">
        <v>48</v>
      </c>
      <c r="AG468" s="7">
        <v>2023</v>
      </c>
      <c r="AH468" s="3" t="s">
        <v>76</v>
      </c>
      <c r="AI468" s="3" t="s">
        <v>166</v>
      </c>
      <c r="AJ468" s="3" t="s">
        <v>78</v>
      </c>
      <c r="AK468" s="3" t="s">
        <v>870</v>
      </c>
      <c r="AL468" s="3" t="s">
        <v>59</v>
      </c>
      <c r="AM468" s="3" t="s">
        <v>60</v>
      </c>
      <c r="AN468" s="3" t="s">
        <v>61</v>
      </c>
      <c r="AO468" s="3" t="s">
        <v>62</v>
      </c>
      <c r="AP468" s="3" t="s">
        <v>69</v>
      </c>
      <c r="AQ468" s="3" t="s">
        <v>61</v>
      </c>
      <c r="AR468" s="3" t="s">
        <v>48</v>
      </c>
    </row>
    <row r="469" spans="1:44" ht="30" customHeight="1">
      <c r="A469" s="3" t="s">
        <v>44</v>
      </c>
      <c r="B469" s="3" t="s">
        <v>45</v>
      </c>
      <c r="C469" s="3" t="s">
        <v>120</v>
      </c>
      <c r="D469" s="3" t="s">
        <v>121</v>
      </c>
      <c r="E469" s="3" t="s">
        <v>48</v>
      </c>
      <c r="F469" s="3" t="s">
        <v>983</v>
      </c>
      <c r="G469" s="3" t="s">
        <v>984</v>
      </c>
      <c r="H469" s="5">
        <f>IF(DATEDIF(L469,S469,"m")&gt;12,DATEDIF(L469,S469,"y"),(DATEDIF(L469,S469,"m")/12))</f>
        <v>8.3333333333333329E-2</v>
      </c>
      <c r="I469" s="7">
        <f>DATEDIF(L469,S469,"M")</f>
        <v>1</v>
      </c>
      <c r="J469" s="7">
        <f>DATEDIF(L469,S469,"D")</f>
        <v>53</v>
      </c>
      <c r="K469" s="3" t="s">
        <v>64</v>
      </c>
      <c r="L469" s="8">
        <v>44914</v>
      </c>
      <c r="M469" s="3" t="s">
        <v>45</v>
      </c>
      <c r="N469" s="3" t="s">
        <v>90</v>
      </c>
      <c r="O469" s="3" t="s">
        <v>52</v>
      </c>
      <c r="P469" s="3" t="s">
        <v>985</v>
      </c>
      <c r="Q469" s="7">
        <v>1</v>
      </c>
      <c r="R469" s="8">
        <v>44970</v>
      </c>
      <c r="S469" s="8">
        <v>44967</v>
      </c>
      <c r="T469" s="3" t="s">
        <v>464</v>
      </c>
      <c r="U469" s="3" t="s">
        <v>55</v>
      </c>
      <c r="V469" s="9"/>
      <c r="W469" s="10">
        <v>44977</v>
      </c>
      <c r="X469" s="7">
        <v>7</v>
      </c>
      <c r="Y469" s="7">
        <v>3</v>
      </c>
      <c r="Z469" s="7">
        <v>2</v>
      </c>
      <c r="AA469" s="7">
        <f>INT((S469-DATE(YEAR(S469-WEEKDAY(S469-0)+4),1,4)+WEEKDAY(DATE(YEAR(S469-WEEKDAY(S469-0)+4),1,4))+6)/7)</f>
        <v>6</v>
      </c>
      <c r="AB469" s="3" t="s">
        <v>986</v>
      </c>
      <c r="AC469" s="7">
        <v>182</v>
      </c>
      <c r="AD469" s="25"/>
      <c r="AE469" s="7">
        <v>1</v>
      </c>
      <c r="AF469" s="3" t="s">
        <v>48</v>
      </c>
      <c r="AG469" s="7">
        <v>2023</v>
      </c>
      <c r="AH469" s="12" t="s">
        <v>987</v>
      </c>
      <c r="AI469" s="3" t="s">
        <v>48</v>
      </c>
      <c r="AJ469" s="3" t="s">
        <v>48</v>
      </c>
      <c r="AK469" s="3" t="s">
        <v>162</v>
      </c>
      <c r="AL469" s="3" t="s">
        <v>59</v>
      </c>
      <c r="AM469" s="3" t="s">
        <v>99</v>
      </c>
      <c r="AN469" s="3" t="s">
        <v>61</v>
      </c>
      <c r="AO469" s="3" t="s">
        <v>48</v>
      </c>
      <c r="AP469" s="3" t="s">
        <v>69</v>
      </c>
      <c r="AQ469" s="3" t="s">
        <v>61</v>
      </c>
      <c r="AR469" s="3" t="s">
        <v>48</v>
      </c>
    </row>
    <row r="470" spans="1:44" ht="30" customHeight="1">
      <c r="A470" s="3" t="s">
        <v>44</v>
      </c>
      <c r="B470" s="3" t="s">
        <v>45</v>
      </c>
      <c r="C470" s="3" t="s">
        <v>80</v>
      </c>
      <c r="D470" s="3" t="s">
        <v>93</v>
      </c>
      <c r="E470" s="3" t="s">
        <v>48</v>
      </c>
      <c r="F470" s="3" t="s">
        <v>94</v>
      </c>
      <c r="G470" s="3" t="s">
        <v>1136</v>
      </c>
      <c r="H470" s="5">
        <f>IF(DATEDIF(L470,S470,"m")&gt;12,DATEDIF(L470,S470,"y"),(DATEDIF(L470,S470,"m")/12))</f>
        <v>0.5</v>
      </c>
      <c r="I470" s="7">
        <f>DATEDIF(L470,S470,"M")</f>
        <v>6</v>
      </c>
      <c r="J470" s="7">
        <f>DATEDIF(L470,S470,"D")</f>
        <v>205</v>
      </c>
      <c r="K470" s="3" t="s">
        <v>64</v>
      </c>
      <c r="L470" s="8">
        <v>44763</v>
      </c>
      <c r="M470" s="3" t="s">
        <v>45</v>
      </c>
      <c r="N470" s="3" t="s">
        <v>83</v>
      </c>
      <c r="O470" s="3" t="s">
        <v>52</v>
      </c>
      <c r="P470" s="3" t="s">
        <v>176</v>
      </c>
      <c r="Q470" s="7">
        <v>0</v>
      </c>
      <c r="R470" s="8">
        <v>44971</v>
      </c>
      <c r="S470" s="8">
        <v>44968</v>
      </c>
      <c r="T470" s="3" t="s">
        <v>54</v>
      </c>
      <c r="U470" s="3" t="s">
        <v>55</v>
      </c>
      <c r="V470" s="9"/>
      <c r="W470" s="10">
        <v>44977</v>
      </c>
      <c r="X470" s="7">
        <v>6</v>
      </c>
      <c r="Y470" s="7">
        <v>3</v>
      </c>
      <c r="Z470" s="7">
        <v>2</v>
      </c>
      <c r="AA470" s="7">
        <f>INT((S470-DATE(YEAR(S470-WEEKDAY(S470-0)+4),1,4)+WEEKDAY(DATE(YEAR(S470-WEEKDAY(S470-0)+4),1,4))+6)/7)</f>
        <v>6</v>
      </c>
      <c r="AB470" s="3" t="s">
        <v>1137</v>
      </c>
      <c r="AC470" s="7">
        <v>637</v>
      </c>
      <c r="AD470" s="7">
        <v>0</v>
      </c>
      <c r="AE470" s="7">
        <v>0</v>
      </c>
      <c r="AF470" s="3" t="s">
        <v>48</v>
      </c>
      <c r="AG470" s="7">
        <v>2023</v>
      </c>
      <c r="AH470" s="3" t="s">
        <v>97</v>
      </c>
      <c r="AI470" s="3" t="s">
        <v>48</v>
      </c>
      <c r="AJ470" s="3" t="s">
        <v>48</v>
      </c>
      <c r="AK470" s="3" t="s">
        <v>154</v>
      </c>
      <c r="AL470" s="3" t="s">
        <v>59</v>
      </c>
      <c r="AM470" s="3" t="s">
        <v>99</v>
      </c>
      <c r="AN470" s="3" t="s">
        <v>61</v>
      </c>
      <c r="AO470" s="3" t="s">
        <v>48</v>
      </c>
      <c r="AP470" s="3" t="s">
        <v>69</v>
      </c>
      <c r="AQ470" s="3" t="s">
        <v>61</v>
      </c>
      <c r="AR470" s="3" t="s">
        <v>48</v>
      </c>
    </row>
    <row r="471" spans="1:44" ht="30" customHeight="1">
      <c r="A471" s="3" t="s">
        <v>44</v>
      </c>
      <c r="B471" s="3" t="s">
        <v>45</v>
      </c>
      <c r="C471" s="3" t="s">
        <v>80</v>
      </c>
      <c r="D471" s="3" t="s">
        <v>93</v>
      </c>
      <c r="E471" s="3" t="s">
        <v>48</v>
      </c>
      <c r="F471" s="3" t="s">
        <v>94</v>
      </c>
      <c r="G471" s="3" t="s">
        <v>1138</v>
      </c>
      <c r="H471" s="4">
        <f>IF(DATEDIF(L471,S471,"m")&gt;12,DATEDIF(L471,S471,"y"),(DATEDIF(L471,S471,"m")/12))</f>
        <v>4</v>
      </c>
      <c r="I471" s="7">
        <f>DATEDIF(L471,S471,"M")</f>
        <v>54</v>
      </c>
      <c r="J471" s="7">
        <f>DATEDIF(L471,S471,"D")</f>
        <v>1655</v>
      </c>
      <c r="K471" s="3" t="s">
        <v>51</v>
      </c>
      <c r="L471" s="8">
        <v>43285</v>
      </c>
      <c r="M471" s="3" t="s">
        <v>45</v>
      </c>
      <c r="N471" s="3" t="s">
        <v>83</v>
      </c>
      <c r="O471" s="3" t="s">
        <v>52</v>
      </c>
      <c r="P471" s="3" t="s">
        <v>176</v>
      </c>
      <c r="Q471" s="7">
        <v>0</v>
      </c>
      <c r="R471" s="8">
        <v>44971</v>
      </c>
      <c r="S471" s="8">
        <v>44940</v>
      </c>
      <c r="T471" s="3" t="s">
        <v>54</v>
      </c>
      <c r="U471" s="3" t="s">
        <v>55</v>
      </c>
      <c r="V471" s="9"/>
      <c r="W471" s="10">
        <v>44977</v>
      </c>
      <c r="X471" s="7">
        <v>6</v>
      </c>
      <c r="Y471" s="7">
        <v>31</v>
      </c>
      <c r="Z471" s="7">
        <v>1</v>
      </c>
      <c r="AA471" s="7">
        <f>INT((S471-DATE(YEAR(S471-WEEKDAY(S471-0)+4),1,4)+WEEKDAY(DATE(YEAR(S471-WEEKDAY(S471-0)+4),1,4))+6)/7)</f>
        <v>2</v>
      </c>
      <c r="AB471" s="3" t="s">
        <v>1139</v>
      </c>
      <c r="AC471" s="7">
        <v>638</v>
      </c>
      <c r="AD471" s="7">
        <v>0</v>
      </c>
      <c r="AE471" s="7">
        <v>0</v>
      </c>
      <c r="AF471" s="3" t="s">
        <v>48</v>
      </c>
      <c r="AG471" s="7">
        <v>2023</v>
      </c>
      <c r="AH471" s="3" t="s">
        <v>97</v>
      </c>
      <c r="AI471" s="3" t="s">
        <v>48</v>
      </c>
      <c r="AJ471" s="3" t="s">
        <v>48</v>
      </c>
      <c r="AK471" s="3" t="s">
        <v>154</v>
      </c>
      <c r="AL471" s="3" t="s">
        <v>59</v>
      </c>
      <c r="AM471" s="3" t="s">
        <v>99</v>
      </c>
      <c r="AN471" s="3" t="s">
        <v>61</v>
      </c>
      <c r="AO471" s="3" t="s">
        <v>48</v>
      </c>
      <c r="AP471" s="3" t="s">
        <v>69</v>
      </c>
      <c r="AQ471" s="3" t="s">
        <v>61</v>
      </c>
      <c r="AR471" s="3" t="s">
        <v>48</v>
      </c>
    </row>
    <row r="472" spans="1:44" ht="30" customHeight="1">
      <c r="A472" s="3" t="s">
        <v>44</v>
      </c>
      <c r="B472" s="3" t="s">
        <v>45</v>
      </c>
      <c r="C472" s="3" t="s">
        <v>80</v>
      </c>
      <c r="D472" s="3" t="s">
        <v>93</v>
      </c>
      <c r="E472" s="3" t="s">
        <v>48</v>
      </c>
      <c r="F472" s="3" t="s">
        <v>94</v>
      </c>
      <c r="G472" s="3" t="s">
        <v>2290</v>
      </c>
      <c r="H472" s="4">
        <f>IF(DATEDIF(L472,S472,"m")&gt;12,DATEDIF(L472,S472,"y"),(DATEDIF(L472,S472,"m")/12))</f>
        <v>7</v>
      </c>
      <c r="I472" s="7">
        <f>DATEDIF(L472,S472,"M")</f>
        <v>85</v>
      </c>
      <c r="J472" s="7">
        <f>DATEDIF(L472,S472,"D")</f>
        <v>2594</v>
      </c>
      <c r="K472" s="3" t="s">
        <v>51</v>
      </c>
      <c r="L472" s="8">
        <v>42346</v>
      </c>
      <c r="M472" s="3" t="s">
        <v>45</v>
      </c>
      <c r="N472" s="3" t="s">
        <v>83</v>
      </c>
      <c r="O472" s="3" t="s">
        <v>52</v>
      </c>
      <c r="P472" s="3" t="s">
        <v>176</v>
      </c>
      <c r="Q472" s="7">
        <v>0</v>
      </c>
      <c r="R472" s="8">
        <v>44971</v>
      </c>
      <c r="S472" s="8">
        <v>44940</v>
      </c>
      <c r="T472" s="3" t="s">
        <v>54</v>
      </c>
      <c r="U472" s="3" t="s">
        <v>55</v>
      </c>
      <c r="V472" s="9"/>
      <c r="W472" s="10">
        <v>44977</v>
      </c>
      <c r="X472" s="7">
        <v>6</v>
      </c>
      <c r="Y472" s="7">
        <v>31</v>
      </c>
      <c r="Z472" s="7">
        <v>1</v>
      </c>
      <c r="AA472" s="7">
        <f>INT((S472-DATE(YEAR(S472-WEEKDAY(S472-0)+4),1,4)+WEEKDAY(DATE(YEAR(S472-WEEKDAY(S472-0)+4),1,4))+6)/7)</f>
        <v>2</v>
      </c>
      <c r="AB472" s="3" t="s">
        <v>2291</v>
      </c>
      <c r="AC472" s="7">
        <v>636</v>
      </c>
      <c r="AD472" s="7">
        <v>0</v>
      </c>
      <c r="AE472" s="7">
        <v>0</v>
      </c>
      <c r="AF472" s="3" t="s">
        <v>48</v>
      </c>
      <c r="AG472" s="7">
        <v>2023</v>
      </c>
      <c r="AH472" s="3" t="s">
        <v>97</v>
      </c>
      <c r="AI472" s="3" t="s">
        <v>48</v>
      </c>
      <c r="AJ472" s="3" t="s">
        <v>48</v>
      </c>
      <c r="AK472" s="18" t="s">
        <v>154</v>
      </c>
      <c r="AL472" s="3" t="s">
        <v>59</v>
      </c>
      <c r="AM472" s="3" t="s">
        <v>99</v>
      </c>
      <c r="AN472" s="3" t="s">
        <v>61</v>
      </c>
      <c r="AO472" s="3" t="s">
        <v>48</v>
      </c>
      <c r="AP472" s="3" t="s">
        <v>69</v>
      </c>
      <c r="AQ472" s="3" t="s">
        <v>61</v>
      </c>
      <c r="AR472" s="3" t="s">
        <v>48</v>
      </c>
    </row>
    <row r="473" spans="1:44" ht="30" customHeight="1">
      <c r="A473" s="3" t="s">
        <v>44</v>
      </c>
      <c r="B473" s="3" t="s">
        <v>45</v>
      </c>
      <c r="C473" s="3" t="s">
        <v>46</v>
      </c>
      <c r="D473" s="3" t="s">
        <v>1261</v>
      </c>
      <c r="E473" s="3" t="s">
        <v>48</v>
      </c>
      <c r="F473" s="3" t="s">
        <v>1261</v>
      </c>
      <c r="G473" s="3" t="s">
        <v>191</v>
      </c>
      <c r="H473" s="4">
        <f>IF(DATEDIF(L473,S473,"m")&gt;12,DATEDIF(L473,S473,"y"),(DATEDIF(L473,S473,"m")/12))</f>
        <v>53</v>
      </c>
      <c r="I473" s="7">
        <f>DATEDIF(L473,S473,"M")</f>
        <v>637</v>
      </c>
      <c r="J473" s="7">
        <f>DATEDIF(L473,S473,"D")</f>
        <v>19409</v>
      </c>
      <c r="K473" s="3" t="s">
        <v>64</v>
      </c>
      <c r="L473" s="8">
        <v>25553</v>
      </c>
      <c r="M473" s="3" t="s">
        <v>45</v>
      </c>
      <c r="N473" s="3" t="s">
        <v>65</v>
      </c>
      <c r="O473" s="3" t="s">
        <v>52</v>
      </c>
      <c r="P473" s="3" t="s">
        <v>137</v>
      </c>
      <c r="Q473" s="7">
        <v>1</v>
      </c>
      <c r="R473" s="8">
        <v>44966</v>
      </c>
      <c r="S473" s="8">
        <v>44962</v>
      </c>
      <c r="T473" s="3" t="s">
        <v>54</v>
      </c>
      <c r="U473" s="3" t="s">
        <v>55</v>
      </c>
      <c r="V473" s="9"/>
      <c r="W473" s="10">
        <v>44977</v>
      </c>
      <c r="X473" s="7">
        <v>11</v>
      </c>
      <c r="Y473" s="7">
        <v>4</v>
      </c>
      <c r="Z473" s="7">
        <v>2</v>
      </c>
      <c r="AA473" s="7">
        <f>INT((S473-DATE(YEAR(S473-WEEKDAY(S473-0)+4),1,4)+WEEKDAY(DATE(YEAR(S473-WEEKDAY(S473-0)+4),1,4))+6)/7)</f>
        <v>6</v>
      </c>
      <c r="AB473" s="3" t="s">
        <v>2396</v>
      </c>
      <c r="AC473" s="7">
        <v>259</v>
      </c>
      <c r="AD473" s="7">
        <v>0</v>
      </c>
      <c r="AE473" s="7">
        <v>0</v>
      </c>
      <c r="AF473" s="3" t="s">
        <v>48</v>
      </c>
      <c r="AG473" s="7">
        <v>2023</v>
      </c>
      <c r="AH473" s="3" t="s">
        <v>1264</v>
      </c>
      <c r="AI473" s="3" t="s">
        <v>106</v>
      </c>
      <c r="AJ473" s="3" t="s">
        <v>252</v>
      </c>
      <c r="AK473" s="3" t="s">
        <v>182</v>
      </c>
      <c r="AL473" s="3" t="s">
        <v>59</v>
      </c>
      <c r="AM473" s="3" t="s">
        <v>115</v>
      </c>
      <c r="AN473" s="3" t="s">
        <v>61</v>
      </c>
      <c r="AO473" s="3" t="s">
        <v>62</v>
      </c>
      <c r="AP473" s="3" t="s">
        <v>69</v>
      </c>
      <c r="AQ473" s="3" t="s">
        <v>61</v>
      </c>
      <c r="AR473" s="3" t="s">
        <v>48</v>
      </c>
    </row>
    <row r="474" spans="1:44" ht="30" customHeight="1">
      <c r="A474" s="3" t="s">
        <v>44</v>
      </c>
      <c r="B474" s="3" t="s">
        <v>45</v>
      </c>
      <c r="C474" s="3" t="s">
        <v>46</v>
      </c>
      <c r="D474" s="3" t="s">
        <v>100</v>
      </c>
      <c r="E474" s="3" t="s">
        <v>48</v>
      </c>
      <c r="F474" s="3" t="s">
        <v>101</v>
      </c>
      <c r="G474" s="3" t="s">
        <v>379</v>
      </c>
      <c r="H474" s="4">
        <f>IF(DATEDIF(L474,S474,"m")&gt;12,DATEDIF(L474,S474,"y"),(DATEDIF(L474,S474,"m")/12))</f>
        <v>5</v>
      </c>
      <c r="I474" s="7">
        <f>DATEDIF(L474,S474,"M")</f>
        <v>61</v>
      </c>
      <c r="J474" s="7">
        <f>DATEDIF(L474,S474,"D")</f>
        <v>1878</v>
      </c>
      <c r="K474" s="3" t="s">
        <v>51</v>
      </c>
      <c r="L474" s="8">
        <v>43090</v>
      </c>
      <c r="M474" s="3" t="s">
        <v>45</v>
      </c>
      <c r="N474" s="3" t="s">
        <v>101</v>
      </c>
      <c r="O474" s="3" t="s">
        <v>52</v>
      </c>
      <c r="P474" s="3" t="s">
        <v>84</v>
      </c>
      <c r="Q474" s="7">
        <v>0</v>
      </c>
      <c r="R474" s="8">
        <v>44970</v>
      </c>
      <c r="S474" s="8">
        <v>44968</v>
      </c>
      <c r="T474" s="3" t="s">
        <v>54</v>
      </c>
      <c r="U474" s="3" t="s">
        <v>55</v>
      </c>
      <c r="V474" s="9"/>
      <c r="W474" s="10">
        <v>44978</v>
      </c>
      <c r="X474" s="7">
        <v>8</v>
      </c>
      <c r="Y474" s="7">
        <v>2</v>
      </c>
      <c r="Z474" s="7">
        <v>2</v>
      </c>
      <c r="AA474" s="7">
        <f>INT((S474-DATE(YEAR(S474-WEEKDAY(S474-0)+4),1,4)+WEEKDAY(DATE(YEAR(S474-WEEKDAY(S474-0)+4),1,4))+6)/7)</f>
        <v>6</v>
      </c>
      <c r="AB474" s="3" t="s">
        <v>380</v>
      </c>
      <c r="AC474" s="7">
        <v>64</v>
      </c>
      <c r="AD474" s="7">
        <v>0</v>
      </c>
      <c r="AE474" s="7">
        <v>0</v>
      </c>
      <c r="AF474" s="3" t="s">
        <v>48</v>
      </c>
      <c r="AG474" s="7">
        <v>2023</v>
      </c>
      <c r="AH474" s="3" t="s">
        <v>105</v>
      </c>
      <c r="AI474" s="3" t="s">
        <v>106</v>
      </c>
      <c r="AJ474" s="3" t="s">
        <v>48</v>
      </c>
      <c r="AK474" s="3" t="s">
        <v>381</v>
      </c>
      <c r="AL474" s="3" t="s">
        <v>59</v>
      </c>
      <c r="AM474" s="3" t="s">
        <v>99</v>
      </c>
      <c r="AN474" s="3" t="s">
        <v>61</v>
      </c>
      <c r="AO474" s="3" t="s">
        <v>62</v>
      </c>
      <c r="AP474" s="3" t="s">
        <v>69</v>
      </c>
      <c r="AQ474" s="3" t="s">
        <v>61</v>
      </c>
      <c r="AR474" s="3" t="s">
        <v>48</v>
      </c>
    </row>
    <row r="475" spans="1:44" ht="30" customHeight="1">
      <c r="A475" s="3" t="s">
        <v>44</v>
      </c>
      <c r="B475" s="3" t="s">
        <v>45</v>
      </c>
      <c r="C475" s="3" t="s">
        <v>46</v>
      </c>
      <c r="D475" s="3" t="s">
        <v>108</v>
      </c>
      <c r="E475" s="3" t="s">
        <v>48</v>
      </c>
      <c r="F475" s="3" t="s">
        <v>108</v>
      </c>
      <c r="G475" s="3" t="s">
        <v>350</v>
      </c>
      <c r="H475" s="4">
        <f>IF(DATEDIF(L475,S475,"m")&gt;12,DATEDIF(L475,S475,"y"),(DATEDIF(L475,S475,"m")/12))</f>
        <v>6</v>
      </c>
      <c r="I475" s="7">
        <f>DATEDIF(L475,S475,"M")</f>
        <v>76</v>
      </c>
      <c r="J475" s="7">
        <f>DATEDIF(L475,S475,"D")</f>
        <v>2325</v>
      </c>
      <c r="K475" s="3" t="s">
        <v>64</v>
      </c>
      <c r="L475" s="8">
        <v>42665</v>
      </c>
      <c r="M475" s="3" t="s">
        <v>45</v>
      </c>
      <c r="N475" s="3" t="s">
        <v>73</v>
      </c>
      <c r="O475" s="3" t="s">
        <v>52</v>
      </c>
      <c r="P475" s="3" t="s">
        <v>351</v>
      </c>
      <c r="Q475" s="7">
        <v>0</v>
      </c>
      <c r="R475" s="8">
        <v>44991</v>
      </c>
      <c r="S475" s="8">
        <v>44990</v>
      </c>
      <c r="T475" s="3" t="s">
        <v>54</v>
      </c>
      <c r="U475" s="3" t="s">
        <v>55</v>
      </c>
      <c r="V475" s="9"/>
      <c r="W475" s="10">
        <v>44998</v>
      </c>
      <c r="X475" s="7">
        <v>7</v>
      </c>
      <c r="Y475" s="7">
        <v>1</v>
      </c>
      <c r="Z475" s="7">
        <v>3</v>
      </c>
      <c r="AA475" s="7">
        <f>INT((S475-DATE(YEAR(S475-WEEKDAY(S475-0)+4),1,4)+WEEKDAY(DATE(YEAR(S475-WEEKDAY(S475-0)+4),1,4))+6)/7)</f>
        <v>10</v>
      </c>
      <c r="AB475" s="3" t="s">
        <v>352</v>
      </c>
      <c r="AC475" s="7">
        <v>339</v>
      </c>
      <c r="AD475" s="7">
        <v>0</v>
      </c>
      <c r="AE475" s="7">
        <v>0</v>
      </c>
      <c r="AF475" s="3" t="s">
        <v>48</v>
      </c>
      <c r="AG475" s="7">
        <v>2023</v>
      </c>
      <c r="AH475" s="3" t="s">
        <v>112</v>
      </c>
      <c r="AI475" s="3" t="s">
        <v>113</v>
      </c>
      <c r="AJ475" s="3" t="s">
        <v>48</v>
      </c>
      <c r="AK475" s="3" t="s">
        <v>79</v>
      </c>
      <c r="AL475" s="3" t="s">
        <v>59</v>
      </c>
      <c r="AM475" s="3" t="s">
        <v>115</v>
      </c>
      <c r="AN475" s="3" t="s">
        <v>61</v>
      </c>
      <c r="AO475" s="3" t="s">
        <v>62</v>
      </c>
      <c r="AP475" s="3" t="s">
        <v>69</v>
      </c>
      <c r="AQ475" s="3" t="s">
        <v>61</v>
      </c>
      <c r="AR475" s="3" t="s">
        <v>48</v>
      </c>
    </row>
    <row r="476" spans="1:44" ht="30" customHeight="1">
      <c r="A476" s="3" t="s">
        <v>44</v>
      </c>
      <c r="B476" s="3" t="s">
        <v>45</v>
      </c>
      <c r="C476" s="3" t="s">
        <v>46</v>
      </c>
      <c r="D476" s="3" t="s">
        <v>100</v>
      </c>
      <c r="E476" s="3" t="s">
        <v>48</v>
      </c>
      <c r="F476" s="3" t="s">
        <v>101</v>
      </c>
      <c r="G476" s="3" t="s">
        <v>496</v>
      </c>
      <c r="H476" s="4">
        <f>IF(DATEDIF(L476,S476,"m")&gt;12,DATEDIF(L476,S476,"y"),(DATEDIF(L476,S476,"m")/12))</f>
        <v>6</v>
      </c>
      <c r="I476" s="7">
        <f>DATEDIF(L476,S476,"M")</f>
        <v>78</v>
      </c>
      <c r="J476" s="7">
        <f>DATEDIF(L476,S476,"D")</f>
        <v>2379</v>
      </c>
      <c r="K476" s="3" t="s">
        <v>51</v>
      </c>
      <c r="L476" s="8">
        <v>42588</v>
      </c>
      <c r="M476" s="3" t="s">
        <v>45</v>
      </c>
      <c r="N476" s="3" t="s">
        <v>65</v>
      </c>
      <c r="O476" s="3" t="s">
        <v>52</v>
      </c>
      <c r="P476" s="3" t="s">
        <v>84</v>
      </c>
      <c r="Q476" s="7">
        <v>0</v>
      </c>
      <c r="R476" s="8">
        <v>44969</v>
      </c>
      <c r="S476" s="8">
        <v>44967</v>
      </c>
      <c r="T476" s="3" t="s">
        <v>54</v>
      </c>
      <c r="U476" s="3" t="s">
        <v>55</v>
      </c>
      <c r="V476" s="9"/>
      <c r="W476" s="10">
        <v>44978</v>
      </c>
      <c r="X476" s="7">
        <v>9</v>
      </c>
      <c r="Y476" s="7">
        <v>2</v>
      </c>
      <c r="Z476" s="7">
        <v>2</v>
      </c>
      <c r="AA476" s="7">
        <f>INT((S476-DATE(YEAR(S476-WEEKDAY(S476-0)+4),1,4)+WEEKDAY(DATE(YEAR(S476-WEEKDAY(S476-0)+4),1,4))+6)/7)</f>
        <v>6</v>
      </c>
      <c r="AB476" s="3" t="s">
        <v>497</v>
      </c>
      <c r="AC476" s="7">
        <v>63</v>
      </c>
      <c r="AD476" s="7">
        <v>0</v>
      </c>
      <c r="AE476" s="7">
        <v>0</v>
      </c>
      <c r="AF476" s="3" t="s">
        <v>48</v>
      </c>
      <c r="AG476" s="7">
        <v>2023</v>
      </c>
      <c r="AH476" s="3" t="s">
        <v>105</v>
      </c>
      <c r="AI476" s="3" t="s">
        <v>106</v>
      </c>
      <c r="AJ476" s="3" t="s">
        <v>252</v>
      </c>
      <c r="AK476" s="3" t="s">
        <v>232</v>
      </c>
      <c r="AL476" s="3" t="s">
        <v>59</v>
      </c>
      <c r="AM476" s="3" t="s">
        <v>99</v>
      </c>
      <c r="AN476" s="3" t="s">
        <v>61</v>
      </c>
      <c r="AO476" s="3" t="s">
        <v>62</v>
      </c>
      <c r="AP476" s="3" t="s">
        <v>69</v>
      </c>
      <c r="AQ476" s="3" t="s">
        <v>61</v>
      </c>
      <c r="AR476" s="3" t="s">
        <v>48</v>
      </c>
    </row>
    <row r="477" spans="1:44" ht="30" customHeight="1">
      <c r="A477" s="3" t="s">
        <v>44</v>
      </c>
      <c r="B477" s="3" t="s">
        <v>45</v>
      </c>
      <c r="C477" s="3" t="s">
        <v>46</v>
      </c>
      <c r="D477" s="3" t="s">
        <v>70</v>
      </c>
      <c r="E477" s="3" t="s">
        <v>48</v>
      </c>
      <c r="F477" s="3" t="s">
        <v>71</v>
      </c>
      <c r="G477" s="3" t="s">
        <v>669</v>
      </c>
      <c r="H477" s="4">
        <f>IF(DATEDIF(L477,S477,"m")&gt;12,DATEDIF(L477,S477,"y"),(DATEDIF(L477,S477,"m")/12))</f>
        <v>4</v>
      </c>
      <c r="I477" s="7">
        <f>DATEDIF(L477,S477,"M")</f>
        <v>52</v>
      </c>
      <c r="J477" s="7">
        <f>DATEDIF(L477,S477,"D")</f>
        <v>1584</v>
      </c>
      <c r="K477" s="3" t="s">
        <v>51</v>
      </c>
      <c r="L477" s="8">
        <v>43391</v>
      </c>
      <c r="M477" s="3" t="s">
        <v>45</v>
      </c>
      <c r="N477" s="3" t="s">
        <v>203</v>
      </c>
      <c r="O477" s="3" t="s">
        <v>52</v>
      </c>
      <c r="P477" s="3" t="s">
        <v>463</v>
      </c>
      <c r="Q477" s="7">
        <v>1</v>
      </c>
      <c r="R477" s="8">
        <v>44976</v>
      </c>
      <c r="S477" s="8">
        <v>44975</v>
      </c>
      <c r="T477" s="3" t="s">
        <v>54</v>
      </c>
      <c r="U477" s="3" t="s">
        <v>55</v>
      </c>
      <c r="V477" s="9"/>
      <c r="W477" s="10">
        <v>44978</v>
      </c>
      <c r="X477" s="7">
        <v>2</v>
      </c>
      <c r="Y477" s="7">
        <v>1</v>
      </c>
      <c r="Z477" s="7">
        <v>2</v>
      </c>
      <c r="AA477" s="7">
        <f>INT((S477-DATE(YEAR(S477-WEEKDAY(S477-0)+4),1,4)+WEEKDAY(DATE(YEAR(S477-WEEKDAY(S477-0)+4),1,4))+6)/7)</f>
        <v>7</v>
      </c>
      <c r="AB477" s="3" t="s">
        <v>670</v>
      </c>
      <c r="AC477" s="7">
        <v>679</v>
      </c>
      <c r="AD477" s="7">
        <v>0</v>
      </c>
      <c r="AE477" s="7">
        <v>1</v>
      </c>
      <c r="AF477" s="3" t="s">
        <v>48</v>
      </c>
      <c r="AG477" s="7">
        <v>2023</v>
      </c>
      <c r="AH477" s="3" t="s">
        <v>76</v>
      </c>
      <c r="AI477" s="3" t="s">
        <v>166</v>
      </c>
      <c r="AJ477" s="3" t="s">
        <v>78</v>
      </c>
      <c r="AK477" s="3" t="s">
        <v>671</v>
      </c>
      <c r="AL477" s="3" t="s">
        <v>59</v>
      </c>
      <c r="AM477" s="3" t="s">
        <v>60</v>
      </c>
      <c r="AN477" s="3" t="s">
        <v>61</v>
      </c>
      <c r="AO477" s="3" t="s">
        <v>62</v>
      </c>
      <c r="AP477" s="3" t="s">
        <v>69</v>
      </c>
      <c r="AQ477" s="3" t="s">
        <v>61</v>
      </c>
      <c r="AR477" s="3" t="s">
        <v>48</v>
      </c>
    </row>
    <row r="478" spans="1:44" ht="30" customHeight="1">
      <c r="A478" s="3" t="s">
        <v>44</v>
      </c>
      <c r="B478" s="3" t="s">
        <v>45</v>
      </c>
      <c r="C478" s="3" t="s">
        <v>121</v>
      </c>
      <c r="D478" s="3" t="s">
        <v>121</v>
      </c>
      <c r="E478" s="3" t="s">
        <v>48</v>
      </c>
      <c r="F478" s="3" t="s">
        <v>449</v>
      </c>
      <c r="G478" s="3" t="s">
        <v>687</v>
      </c>
      <c r="H478" s="5">
        <f>IF(DATEDIF(L478,S478,"m")&gt;12,DATEDIF(L478,S478,"y"),(DATEDIF(L478,S478,"m")/12))</f>
        <v>0.41666666666666669</v>
      </c>
      <c r="I478" s="7">
        <f>DATEDIF(L478,S478,"M")</f>
        <v>5</v>
      </c>
      <c r="J478" s="7">
        <f>DATEDIF(L478,S478,"D")</f>
        <v>169</v>
      </c>
      <c r="K478" s="3" t="s">
        <v>51</v>
      </c>
      <c r="L478" s="8">
        <v>44797</v>
      </c>
      <c r="M478" s="3" t="s">
        <v>45</v>
      </c>
      <c r="N478" s="3" t="s">
        <v>159</v>
      </c>
      <c r="O478" s="3" t="s">
        <v>52</v>
      </c>
      <c r="P478" s="3" t="s">
        <v>169</v>
      </c>
      <c r="Q478" s="7">
        <v>1</v>
      </c>
      <c r="R478" s="8">
        <v>44973</v>
      </c>
      <c r="S478" s="8">
        <v>44966</v>
      </c>
      <c r="T478" s="3" t="s">
        <v>54</v>
      </c>
      <c r="U478" s="3" t="s">
        <v>55</v>
      </c>
      <c r="V478" s="9"/>
      <c r="W478" s="10">
        <v>44978</v>
      </c>
      <c r="X478" s="7">
        <v>5</v>
      </c>
      <c r="Y478" s="7">
        <v>7</v>
      </c>
      <c r="Z478" s="7">
        <v>2</v>
      </c>
      <c r="AA478" s="7">
        <f>INT((S478-DATE(YEAR(S478-WEEKDAY(S478-0)+4),1,4)+WEEKDAY(DATE(YEAR(S478-WEEKDAY(S478-0)+4),1,4))+6)/7)</f>
        <v>6</v>
      </c>
      <c r="AB478" s="3" t="s">
        <v>688</v>
      </c>
      <c r="AC478" s="7">
        <v>39418</v>
      </c>
      <c r="AD478" s="7">
        <v>0</v>
      </c>
      <c r="AE478" s="7">
        <v>1</v>
      </c>
      <c r="AF478" s="3" t="s">
        <v>48</v>
      </c>
      <c r="AG478" s="7">
        <v>2023</v>
      </c>
      <c r="AH478" s="12" t="s">
        <v>452</v>
      </c>
      <c r="AI478" s="3" t="s">
        <v>453</v>
      </c>
      <c r="AJ478" s="3" t="s">
        <v>48</v>
      </c>
      <c r="AK478" s="3" t="s">
        <v>689</v>
      </c>
      <c r="AL478" s="3" t="s">
        <v>59</v>
      </c>
      <c r="AM478" s="3" t="s">
        <v>60</v>
      </c>
      <c r="AN478" s="3" t="s">
        <v>69</v>
      </c>
      <c r="AO478" s="3" t="s">
        <v>62</v>
      </c>
      <c r="AP478" s="3" t="s">
        <v>69</v>
      </c>
      <c r="AQ478" s="3" t="s">
        <v>61</v>
      </c>
      <c r="AR478" s="3" t="s">
        <v>48</v>
      </c>
    </row>
    <row r="479" spans="1:44" ht="30" customHeight="1">
      <c r="A479" s="3" t="s">
        <v>44</v>
      </c>
      <c r="B479" s="3" t="s">
        <v>45</v>
      </c>
      <c r="C479" s="3" t="s">
        <v>46</v>
      </c>
      <c r="D479" s="3" t="s">
        <v>47</v>
      </c>
      <c r="E479" s="3" t="s">
        <v>48</v>
      </c>
      <c r="F479" s="3" t="s">
        <v>49</v>
      </c>
      <c r="G479" s="3" t="s">
        <v>696</v>
      </c>
      <c r="H479" s="5">
        <f>IF(DATEDIF(L479,S479,"m")&gt;12,DATEDIF(L479,S479,"y"),(DATEDIF(L479,S479,"m")/12))</f>
        <v>0.58333333333333337</v>
      </c>
      <c r="I479" s="7">
        <f>DATEDIF(L479,S479,"M")</f>
        <v>7</v>
      </c>
      <c r="J479" s="7">
        <f>DATEDIF(L479,S479,"D")</f>
        <v>232</v>
      </c>
      <c r="K479" s="3" t="s">
        <v>64</v>
      </c>
      <c r="L479" s="8">
        <v>44740</v>
      </c>
      <c r="M479" s="3" t="s">
        <v>45</v>
      </c>
      <c r="N479" s="3" t="s">
        <v>49</v>
      </c>
      <c r="O479" s="3" t="s">
        <v>52</v>
      </c>
      <c r="P479" s="3" t="s">
        <v>389</v>
      </c>
      <c r="Q479" s="7">
        <v>1</v>
      </c>
      <c r="R479" s="8">
        <v>44978</v>
      </c>
      <c r="S479" s="8">
        <v>44972</v>
      </c>
      <c r="T479" s="3" t="s">
        <v>54</v>
      </c>
      <c r="U479" s="3" t="s">
        <v>55</v>
      </c>
      <c r="V479" s="9"/>
      <c r="W479" s="10">
        <v>44978</v>
      </c>
      <c r="X479" s="7">
        <v>0</v>
      </c>
      <c r="Y479" s="7">
        <v>6</v>
      </c>
      <c r="Z479" s="7">
        <v>2</v>
      </c>
      <c r="AA479" s="7">
        <f>INT((S479-DATE(YEAR(S479-WEEKDAY(S479-0)+4),1,4)+WEEKDAY(DATE(YEAR(S479-WEEKDAY(S479-0)+4),1,4))+6)/7)</f>
        <v>7</v>
      </c>
      <c r="AB479" s="3" t="s">
        <v>697</v>
      </c>
      <c r="AC479" s="7">
        <v>70</v>
      </c>
      <c r="AD479" s="7">
        <v>0</v>
      </c>
      <c r="AE479" s="7">
        <v>0</v>
      </c>
      <c r="AF479" s="3" t="s">
        <v>48</v>
      </c>
      <c r="AG479" s="7">
        <v>2023</v>
      </c>
      <c r="AH479" s="3" t="s">
        <v>57</v>
      </c>
      <c r="AI479" s="3" t="s">
        <v>48</v>
      </c>
      <c r="AJ479" s="3" t="s">
        <v>48</v>
      </c>
      <c r="AK479" s="3" t="s">
        <v>58</v>
      </c>
      <c r="AL479" s="3" t="s">
        <v>59</v>
      </c>
      <c r="AM479" s="3" t="s">
        <v>60</v>
      </c>
      <c r="AN479" s="3" t="s">
        <v>61</v>
      </c>
      <c r="AO479" s="3" t="s">
        <v>62</v>
      </c>
      <c r="AP479" s="3" t="s">
        <v>69</v>
      </c>
      <c r="AQ479" s="3" t="s">
        <v>61</v>
      </c>
      <c r="AR479" s="3" t="s">
        <v>48</v>
      </c>
    </row>
    <row r="480" spans="1:44" ht="30" customHeight="1">
      <c r="A480" s="3" t="s">
        <v>44</v>
      </c>
      <c r="B480" s="3" t="s">
        <v>45</v>
      </c>
      <c r="C480" s="3" t="s">
        <v>46</v>
      </c>
      <c r="D480" s="3" t="s">
        <v>47</v>
      </c>
      <c r="E480" s="3" t="s">
        <v>48</v>
      </c>
      <c r="F480" s="3" t="s">
        <v>49</v>
      </c>
      <c r="G480" s="3" t="s">
        <v>1029</v>
      </c>
      <c r="H480" s="4">
        <f>IF(DATEDIF(L480,S480,"m")&gt;12,DATEDIF(L480,S480,"y"),(DATEDIF(L480,S480,"m")/12))</f>
        <v>5</v>
      </c>
      <c r="I480" s="7">
        <f>DATEDIF(L480,S480,"M")</f>
        <v>62</v>
      </c>
      <c r="J480" s="7">
        <f>DATEDIF(L480,S480,"D")</f>
        <v>1901</v>
      </c>
      <c r="K480" s="3" t="s">
        <v>51</v>
      </c>
      <c r="L480" s="8">
        <v>43071</v>
      </c>
      <c r="M480" s="3" t="s">
        <v>45</v>
      </c>
      <c r="N480" s="3" t="s">
        <v>49</v>
      </c>
      <c r="O480" s="3" t="s">
        <v>52</v>
      </c>
      <c r="P480" s="3" t="s">
        <v>777</v>
      </c>
      <c r="Q480" s="7">
        <v>0</v>
      </c>
      <c r="R480" s="8">
        <v>44976</v>
      </c>
      <c r="S480" s="8">
        <v>44972</v>
      </c>
      <c r="T480" s="3" t="s">
        <v>54</v>
      </c>
      <c r="U480" s="3" t="s">
        <v>55</v>
      </c>
      <c r="V480" s="9"/>
      <c r="W480" s="10">
        <v>44978</v>
      </c>
      <c r="X480" s="7">
        <v>2</v>
      </c>
      <c r="Y480" s="7">
        <v>4</v>
      </c>
      <c r="Z480" s="7">
        <v>2</v>
      </c>
      <c r="AA480" s="7">
        <f>INT((S480-DATE(YEAR(S480-WEEKDAY(S480-0)+4),1,4)+WEEKDAY(DATE(YEAR(S480-WEEKDAY(S480-0)+4),1,4))+6)/7)</f>
        <v>7</v>
      </c>
      <c r="AB480" s="3" t="s">
        <v>1030</v>
      </c>
      <c r="AC480" s="7">
        <v>68</v>
      </c>
      <c r="AD480" s="7">
        <v>0</v>
      </c>
      <c r="AE480" s="7">
        <v>0</v>
      </c>
      <c r="AF480" s="3" t="s">
        <v>48</v>
      </c>
      <c r="AG480" s="7">
        <v>2023</v>
      </c>
      <c r="AH480" s="3" t="s">
        <v>57</v>
      </c>
      <c r="AI480" s="3" t="s">
        <v>48</v>
      </c>
      <c r="AJ480" s="3" t="s">
        <v>48</v>
      </c>
      <c r="AK480" s="3" t="s">
        <v>717</v>
      </c>
      <c r="AL480" s="3" t="s">
        <v>59</v>
      </c>
      <c r="AM480" s="3" t="s">
        <v>60</v>
      </c>
      <c r="AN480" s="3" t="s">
        <v>61</v>
      </c>
      <c r="AO480" s="3" t="s">
        <v>62</v>
      </c>
      <c r="AP480" s="3" t="s">
        <v>69</v>
      </c>
      <c r="AQ480" s="3" t="s">
        <v>61</v>
      </c>
      <c r="AR480" s="3" t="s">
        <v>48</v>
      </c>
    </row>
    <row r="481" spans="1:44" ht="30" customHeight="1">
      <c r="A481" s="3" t="s">
        <v>44</v>
      </c>
      <c r="B481" s="3" t="s">
        <v>45</v>
      </c>
      <c r="C481" s="3" t="s">
        <v>46</v>
      </c>
      <c r="D481" s="3" t="s">
        <v>108</v>
      </c>
      <c r="E481" s="3" t="s">
        <v>48</v>
      </c>
      <c r="F481" s="3" t="s">
        <v>108</v>
      </c>
      <c r="G481" s="3" t="s">
        <v>2179</v>
      </c>
      <c r="H481" s="4">
        <f>IF(DATEDIF(L481,S481,"m")&gt;12,DATEDIF(L481,S481,"y"),(DATEDIF(L481,S481,"m")/12))</f>
        <v>12</v>
      </c>
      <c r="I481" s="7">
        <f>DATEDIF(L481,S481,"M")</f>
        <v>151</v>
      </c>
      <c r="J481" s="7">
        <f>DATEDIF(L481,S481,"D")</f>
        <v>4600</v>
      </c>
      <c r="K481" s="3" t="s">
        <v>64</v>
      </c>
      <c r="L481" s="8">
        <v>40389</v>
      </c>
      <c r="M481" s="3" t="s">
        <v>45</v>
      </c>
      <c r="N481" s="3" t="s">
        <v>73</v>
      </c>
      <c r="O481" s="3" t="s">
        <v>52</v>
      </c>
      <c r="P481" s="3" t="s">
        <v>351</v>
      </c>
      <c r="Q481" s="7">
        <v>0</v>
      </c>
      <c r="R481" s="8">
        <v>44991</v>
      </c>
      <c r="S481" s="8">
        <v>44989</v>
      </c>
      <c r="T481" s="3" t="s">
        <v>54</v>
      </c>
      <c r="U481" s="3" t="s">
        <v>55</v>
      </c>
      <c r="V481" s="9"/>
      <c r="W481" s="10">
        <v>44998</v>
      </c>
      <c r="X481" s="7">
        <v>7</v>
      </c>
      <c r="Y481" s="7">
        <v>2</v>
      </c>
      <c r="Z481" s="7">
        <v>3</v>
      </c>
      <c r="AA481" s="7">
        <f>INT((S481-DATE(YEAR(S481-WEEKDAY(S481-0)+4),1,4)+WEEKDAY(DATE(YEAR(S481-WEEKDAY(S481-0)+4),1,4))+6)/7)</f>
        <v>9</v>
      </c>
      <c r="AB481" s="3" t="s">
        <v>2180</v>
      </c>
      <c r="AC481" s="7">
        <v>338</v>
      </c>
      <c r="AD481" s="7">
        <v>0</v>
      </c>
      <c r="AE481" s="7">
        <v>0</v>
      </c>
      <c r="AF481" s="3" t="s">
        <v>48</v>
      </c>
      <c r="AG481" s="7">
        <v>2023</v>
      </c>
      <c r="AH481" s="3" t="s">
        <v>112</v>
      </c>
      <c r="AI481" s="3" t="s">
        <v>113</v>
      </c>
      <c r="AJ481" s="3" t="s">
        <v>48</v>
      </c>
      <c r="AK481" s="26" t="s">
        <v>79</v>
      </c>
      <c r="AL481" s="3" t="s">
        <v>59</v>
      </c>
      <c r="AM481" s="3" t="s">
        <v>115</v>
      </c>
      <c r="AN481" s="3" t="s">
        <v>61</v>
      </c>
      <c r="AO481" s="3" t="s">
        <v>62</v>
      </c>
      <c r="AP481" s="3" t="s">
        <v>69</v>
      </c>
      <c r="AQ481" s="3" t="s">
        <v>61</v>
      </c>
      <c r="AR481" s="3" t="s">
        <v>48</v>
      </c>
    </row>
    <row r="482" spans="1:44" ht="30" customHeight="1">
      <c r="A482" s="3" t="s">
        <v>44</v>
      </c>
      <c r="B482" s="3" t="s">
        <v>45</v>
      </c>
      <c r="C482" s="3" t="s">
        <v>46</v>
      </c>
      <c r="D482" s="3" t="s">
        <v>100</v>
      </c>
      <c r="E482" s="3" t="s">
        <v>48</v>
      </c>
      <c r="F482" s="3" t="s">
        <v>101</v>
      </c>
      <c r="G482" s="3" t="s">
        <v>1336</v>
      </c>
      <c r="H482" s="4">
        <f>IF(DATEDIF(L482,S482,"m")&gt;12,DATEDIF(L482,S482,"y"),(DATEDIF(L482,S482,"m")/12))</f>
        <v>3</v>
      </c>
      <c r="I482" s="7">
        <f>DATEDIF(L482,S482,"M")</f>
        <v>38</v>
      </c>
      <c r="J482" s="7">
        <f>DATEDIF(L482,S482,"D")</f>
        <v>1165</v>
      </c>
      <c r="K482" s="3" t="s">
        <v>64</v>
      </c>
      <c r="L482" s="8">
        <v>43804</v>
      </c>
      <c r="M482" s="3" t="s">
        <v>45</v>
      </c>
      <c r="N482" s="3" t="s">
        <v>65</v>
      </c>
      <c r="O482" s="3" t="s">
        <v>52</v>
      </c>
      <c r="P482" s="3" t="s">
        <v>84</v>
      </c>
      <c r="Q482" s="7">
        <v>0</v>
      </c>
      <c r="R482" s="8">
        <v>44972</v>
      </c>
      <c r="S482" s="8">
        <v>44969</v>
      </c>
      <c r="T482" s="3" t="s">
        <v>54</v>
      </c>
      <c r="U482" s="3" t="s">
        <v>55</v>
      </c>
      <c r="V482" s="9"/>
      <c r="W482" s="10">
        <v>44978</v>
      </c>
      <c r="X482" s="7">
        <v>6</v>
      </c>
      <c r="Y482" s="7">
        <v>3</v>
      </c>
      <c r="Z482" s="7">
        <v>2</v>
      </c>
      <c r="AA482" s="7">
        <f>INT((S482-DATE(YEAR(S482-WEEKDAY(S482-0)+4),1,4)+WEEKDAY(DATE(YEAR(S482-WEEKDAY(S482-0)+4),1,4))+6)/7)</f>
        <v>7</v>
      </c>
      <c r="AB482" s="3" t="s">
        <v>1337</v>
      </c>
      <c r="AC482" s="7">
        <v>65</v>
      </c>
      <c r="AD482" s="7">
        <v>0</v>
      </c>
      <c r="AE482" s="7">
        <v>0</v>
      </c>
      <c r="AF482" s="3" t="s">
        <v>48</v>
      </c>
      <c r="AG482" s="7">
        <v>2023</v>
      </c>
      <c r="AH482" s="3" t="s">
        <v>105</v>
      </c>
      <c r="AI482" s="3" t="s">
        <v>106</v>
      </c>
      <c r="AJ482" s="3" t="s">
        <v>252</v>
      </c>
      <c r="AK482" s="3" t="s">
        <v>903</v>
      </c>
      <c r="AL482" s="3" t="s">
        <v>59</v>
      </c>
      <c r="AM482" s="3" t="s">
        <v>99</v>
      </c>
      <c r="AN482" s="3" t="s">
        <v>61</v>
      </c>
      <c r="AO482" s="3" t="s">
        <v>62</v>
      </c>
      <c r="AP482" s="3" t="s">
        <v>69</v>
      </c>
      <c r="AQ482" s="3" t="s">
        <v>61</v>
      </c>
      <c r="AR482" s="3" t="s">
        <v>48</v>
      </c>
    </row>
    <row r="483" spans="1:44" ht="30" customHeight="1">
      <c r="A483" s="3" t="s">
        <v>44</v>
      </c>
      <c r="B483" s="3" t="s">
        <v>45</v>
      </c>
      <c r="C483" s="3" t="s">
        <v>46</v>
      </c>
      <c r="D483" s="3" t="s">
        <v>70</v>
      </c>
      <c r="E483" s="3" t="s">
        <v>48</v>
      </c>
      <c r="F483" s="3" t="s">
        <v>71</v>
      </c>
      <c r="G483" s="3" t="s">
        <v>1350</v>
      </c>
      <c r="H483" s="5">
        <f>IF(DATEDIF(L483,S483,"m")&gt;12,DATEDIF(L483,S483,"y"),(DATEDIF(L483,S483,"m")/12))</f>
        <v>0.83333333333333337</v>
      </c>
      <c r="I483" s="7">
        <f>DATEDIF(L483,S483,"M")</f>
        <v>10</v>
      </c>
      <c r="J483" s="7">
        <f>DATEDIF(L483,S483,"D")</f>
        <v>323</v>
      </c>
      <c r="K483" s="3" t="s">
        <v>51</v>
      </c>
      <c r="L483" s="8">
        <v>44652</v>
      </c>
      <c r="M483" s="3" t="s">
        <v>45</v>
      </c>
      <c r="N483" s="3" t="s">
        <v>203</v>
      </c>
      <c r="O483" s="3" t="s">
        <v>52</v>
      </c>
      <c r="P483" s="3" t="s">
        <v>103</v>
      </c>
      <c r="Q483" s="7">
        <v>1</v>
      </c>
      <c r="R483" s="8">
        <v>44976</v>
      </c>
      <c r="S483" s="8">
        <v>44975</v>
      </c>
      <c r="T483" s="3" t="s">
        <v>54</v>
      </c>
      <c r="U483" s="3" t="s">
        <v>55</v>
      </c>
      <c r="V483" s="9"/>
      <c r="W483" s="10">
        <v>44978</v>
      </c>
      <c r="X483" s="7">
        <v>2</v>
      </c>
      <c r="Y483" s="7">
        <v>1</v>
      </c>
      <c r="Z483" s="7">
        <v>2</v>
      </c>
      <c r="AA483" s="7">
        <f>INT((S483-DATE(YEAR(S483-WEEKDAY(S483-0)+4),1,4)+WEEKDAY(DATE(YEAR(S483-WEEKDAY(S483-0)+4),1,4))+6)/7)</f>
        <v>7</v>
      </c>
      <c r="AB483" s="3" t="s">
        <v>1351</v>
      </c>
      <c r="AC483" s="7">
        <v>676</v>
      </c>
      <c r="AD483" s="7">
        <v>0</v>
      </c>
      <c r="AE483" s="7">
        <v>1</v>
      </c>
      <c r="AF483" s="3" t="s">
        <v>48</v>
      </c>
      <c r="AG483" s="7">
        <v>2023</v>
      </c>
      <c r="AH483" s="3" t="s">
        <v>76</v>
      </c>
      <c r="AI483" s="3" t="s">
        <v>166</v>
      </c>
      <c r="AJ483" s="3" t="s">
        <v>78</v>
      </c>
      <c r="AK483" s="3" t="s">
        <v>171</v>
      </c>
      <c r="AL483" s="3" t="s">
        <v>59</v>
      </c>
      <c r="AM483" s="3" t="s">
        <v>60</v>
      </c>
      <c r="AN483" s="3" t="s">
        <v>61</v>
      </c>
      <c r="AO483" s="3" t="s">
        <v>62</v>
      </c>
      <c r="AP483" s="3" t="s">
        <v>69</v>
      </c>
      <c r="AQ483" s="3" t="s">
        <v>61</v>
      </c>
      <c r="AR483" s="3" t="s">
        <v>48</v>
      </c>
    </row>
    <row r="484" spans="1:44" ht="30" customHeight="1">
      <c r="A484" s="3" t="s">
        <v>44</v>
      </c>
      <c r="B484" s="3" t="s">
        <v>45</v>
      </c>
      <c r="C484" s="3" t="s">
        <v>46</v>
      </c>
      <c r="D484" s="3" t="s">
        <v>100</v>
      </c>
      <c r="E484" s="3" t="s">
        <v>48</v>
      </c>
      <c r="F484" s="3" t="s">
        <v>48</v>
      </c>
      <c r="G484" s="3" t="s">
        <v>48</v>
      </c>
      <c r="H484" s="4">
        <f>IF(DATEDIF(L484,S484,"m")&gt;12,DATEDIF(L484,S484,"y"),(DATEDIF(L484,S484,"m")/12))</f>
        <v>20</v>
      </c>
      <c r="I484" s="7">
        <f>DATEDIF(L484,S484,"M")</f>
        <v>244</v>
      </c>
      <c r="J484" s="7">
        <f>DATEDIF(L484,S484,"D")</f>
        <v>7449</v>
      </c>
      <c r="K484" s="3" t="s">
        <v>51</v>
      </c>
      <c r="L484" s="8">
        <v>37515</v>
      </c>
      <c r="M484" s="3" t="s">
        <v>45</v>
      </c>
      <c r="N484" s="3" t="s">
        <v>101</v>
      </c>
      <c r="O484" s="3" t="s">
        <v>52</v>
      </c>
      <c r="P484" s="3" t="s">
        <v>74</v>
      </c>
      <c r="Q484" s="7">
        <v>1</v>
      </c>
      <c r="R484" s="8">
        <v>44966</v>
      </c>
      <c r="S484" s="8">
        <v>44964</v>
      </c>
      <c r="T484" s="3" t="s">
        <v>54</v>
      </c>
      <c r="U484" s="3" t="s">
        <v>55</v>
      </c>
      <c r="V484" s="9"/>
      <c r="W484" s="10">
        <v>44978</v>
      </c>
      <c r="X484" s="7">
        <v>12</v>
      </c>
      <c r="Y484" s="7">
        <v>2</v>
      </c>
      <c r="Z484" s="7">
        <v>2</v>
      </c>
      <c r="AA484" s="7">
        <f>INT((S484-DATE(YEAR(S484-WEEKDAY(S484-0)+4),1,4)+WEEKDAY(DATE(YEAR(S484-WEEKDAY(S484-0)+4),1,4))+6)/7)</f>
        <v>6</v>
      </c>
      <c r="AB484" s="3" t="s">
        <v>1713</v>
      </c>
      <c r="AC484" s="7">
        <v>67</v>
      </c>
      <c r="AD484" s="7">
        <v>0</v>
      </c>
      <c r="AE484" s="7">
        <v>0</v>
      </c>
      <c r="AF484" s="3" t="s">
        <v>48</v>
      </c>
      <c r="AG484" s="7">
        <v>2023</v>
      </c>
      <c r="AH484" s="3" t="s">
        <v>223</v>
      </c>
      <c r="AI484" s="3" t="s">
        <v>106</v>
      </c>
      <c r="AJ484" s="3" t="s">
        <v>100</v>
      </c>
      <c r="AK484" s="3" t="s">
        <v>316</v>
      </c>
      <c r="AL484" s="3" t="s">
        <v>59</v>
      </c>
      <c r="AM484" s="3" t="s">
        <v>99</v>
      </c>
      <c r="AN484" s="3" t="s">
        <v>61</v>
      </c>
      <c r="AO484" s="3" t="s">
        <v>62</v>
      </c>
      <c r="AP484" s="3" t="s">
        <v>69</v>
      </c>
      <c r="AQ484" s="3" t="s">
        <v>61</v>
      </c>
      <c r="AR484" s="3" t="s">
        <v>48</v>
      </c>
    </row>
    <row r="485" spans="1:44" ht="30" customHeight="1">
      <c r="A485" s="3" t="s">
        <v>44</v>
      </c>
      <c r="B485" s="3" t="s">
        <v>45</v>
      </c>
      <c r="C485" s="3" t="s">
        <v>46</v>
      </c>
      <c r="D485" s="3" t="s">
        <v>47</v>
      </c>
      <c r="E485" s="3" t="s">
        <v>48</v>
      </c>
      <c r="F485" s="3" t="s">
        <v>49</v>
      </c>
      <c r="G485" s="3" t="s">
        <v>1820</v>
      </c>
      <c r="H485" s="4">
        <f>IF(DATEDIF(L485,S485,"m")&gt;12,DATEDIF(L485,S485,"y"),(DATEDIF(L485,S485,"m")/12))</f>
        <v>12</v>
      </c>
      <c r="I485" s="7">
        <f>DATEDIF(L485,S485,"M")</f>
        <v>151</v>
      </c>
      <c r="J485" s="7">
        <f>DATEDIF(L485,S485,"D")</f>
        <v>4604</v>
      </c>
      <c r="K485" s="3" t="s">
        <v>64</v>
      </c>
      <c r="L485" s="8">
        <v>40368</v>
      </c>
      <c r="M485" s="3" t="s">
        <v>45</v>
      </c>
      <c r="N485" s="3" t="s">
        <v>49</v>
      </c>
      <c r="O485" s="3" t="s">
        <v>52</v>
      </c>
      <c r="P485" s="3" t="s">
        <v>174</v>
      </c>
      <c r="Q485" s="7">
        <v>0</v>
      </c>
      <c r="R485" s="8">
        <v>44976</v>
      </c>
      <c r="S485" s="8">
        <v>44972</v>
      </c>
      <c r="T485" s="3" t="s">
        <v>54</v>
      </c>
      <c r="U485" s="3" t="s">
        <v>55</v>
      </c>
      <c r="V485" s="9"/>
      <c r="W485" s="10">
        <v>44978</v>
      </c>
      <c r="X485" s="7">
        <v>2</v>
      </c>
      <c r="Y485" s="7">
        <v>4</v>
      </c>
      <c r="Z485" s="7">
        <v>2</v>
      </c>
      <c r="AA485" s="7">
        <f>INT((S485-DATE(YEAR(S485-WEEKDAY(S485-0)+4),1,4)+WEEKDAY(DATE(YEAR(S485-WEEKDAY(S485-0)+4),1,4))+6)/7)</f>
        <v>7</v>
      </c>
      <c r="AB485" s="3" t="s">
        <v>1821</v>
      </c>
      <c r="AC485" s="7">
        <v>65</v>
      </c>
      <c r="AD485" s="7">
        <v>0</v>
      </c>
      <c r="AE485" s="7">
        <v>0</v>
      </c>
      <c r="AF485" s="3" t="s">
        <v>48</v>
      </c>
      <c r="AG485" s="7">
        <v>2023</v>
      </c>
      <c r="AH485" s="3" t="s">
        <v>57</v>
      </c>
      <c r="AI485" s="3" t="s">
        <v>48</v>
      </c>
      <c r="AJ485" s="3" t="s">
        <v>48</v>
      </c>
      <c r="AK485" s="3" t="s">
        <v>58</v>
      </c>
      <c r="AL485" s="3" t="s">
        <v>59</v>
      </c>
      <c r="AM485" s="3" t="s">
        <v>60</v>
      </c>
      <c r="AN485" s="3" t="s">
        <v>61</v>
      </c>
      <c r="AO485" s="3" t="s">
        <v>62</v>
      </c>
      <c r="AP485" s="3" t="s">
        <v>69</v>
      </c>
      <c r="AQ485" s="3" t="s">
        <v>61</v>
      </c>
      <c r="AR485" s="3" t="s">
        <v>48</v>
      </c>
    </row>
    <row r="486" spans="1:44" ht="30" customHeight="1">
      <c r="A486" s="3" t="s">
        <v>44</v>
      </c>
      <c r="B486" s="3" t="s">
        <v>45</v>
      </c>
      <c r="C486" s="3" t="s">
        <v>46</v>
      </c>
      <c r="D486" s="3" t="s">
        <v>47</v>
      </c>
      <c r="E486" s="3" t="s">
        <v>48</v>
      </c>
      <c r="F486" s="3" t="s">
        <v>49</v>
      </c>
      <c r="G486" s="3" t="s">
        <v>1964</v>
      </c>
      <c r="H486" s="4">
        <f>IF(DATEDIF(L486,S486,"m")&gt;12,DATEDIF(L486,S486,"y"),(DATEDIF(L486,S486,"m")/12))</f>
        <v>6</v>
      </c>
      <c r="I486" s="7">
        <f>DATEDIF(L486,S486,"M")</f>
        <v>79</v>
      </c>
      <c r="J486" s="7">
        <f>DATEDIF(L486,S486,"D")</f>
        <v>2416</v>
      </c>
      <c r="K486" s="3" t="s">
        <v>64</v>
      </c>
      <c r="L486" s="8">
        <v>42558</v>
      </c>
      <c r="M486" s="3" t="s">
        <v>45</v>
      </c>
      <c r="N486" s="3" t="s">
        <v>49</v>
      </c>
      <c r="O486" s="3" t="s">
        <v>52</v>
      </c>
      <c r="P486" s="3" t="s">
        <v>156</v>
      </c>
      <c r="Q486" s="7">
        <v>0</v>
      </c>
      <c r="R486" s="8">
        <v>44976</v>
      </c>
      <c r="S486" s="8">
        <v>44974</v>
      </c>
      <c r="T486" s="3" t="s">
        <v>54</v>
      </c>
      <c r="U486" s="3" t="s">
        <v>55</v>
      </c>
      <c r="V486" s="9"/>
      <c r="W486" s="10">
        <v>44978</v>
      </c>
      <c r="X486" s="7">
        <v>2</v>
      </c>
      <c r="Y486" s="7">
        <v>2</v>
      </c>
      <c r="Z486" s="7">
        <v>2</v>
      </c>
      <c r="AA486" s="7">
        <f>INT((S486-DATE(YEAR(S486-WEEKDAY(S486-0)+4),1,4)+WEEKDAY(DATE(YEAR(S486-WEEKDAY(S486-0)+4),1,4))+6)/7)</f>
        <v>7</v>
      </c>
      <c r="AB486" s="3" t="s">
        <v>1965</v>
      </c>
      <c r="AC486" s="7">
        <v>69</v>
      </c>
      <c r="AD486" s="7">
        <v>0</v>
      </c>
      <c r="AE486" s="7">
        <v>0</v>
      </c>
      <c r="AF486" s="3" t="s">
        <v>48</v>
      </c>
      <c r="AG486" s="7">
        <v>2023</v>
      </c>
      <c r="AH486" s="3" t="s">
        <v>57</v>
      </c>
      <c r="AI486" s="3" t="s">
        <v>48</v>
      </c>
      <c r="AJ486" s="3" t="s">
        <v>48</v>
      </c>
      <c r="AK486" s="3" t="s">
        <v>813</v>
      </c>
      <c r="AL486" s="3" t="s">
        <v>59</v>
      </c>
      <c r="AM486" s="3" t="s">
        <v>60</v>
      </c>
      <c r="AN486" s="3" t="s">
        <v>61</v>
      </c>
      <c r="AO486" s="3" t="s">
        <v>62</v>
      </c>
      <c r="AP486" s="3" t="s">
        <v>69</v>
      </c>
      <c r="AQ486" s="3" t="s">
        <v>61</v>
      </c>
      <c r="AR486" s="3" t="s">
        <v>48</v>
      </c>
    </row>
    <row r="487" spans="1:44" ht="30" customHeight="1">
      <c r="A487" s="3" t="s">
        <v>44</v>
      </c>
      <c r="B487" s="3" t="s">
        <v>45</v>
      </c>
      <c r="C487" s="3" t="s">
        <v>46</v>
      </c>
      <c r="D487" s="3" t="s">
        <v>100</v>
      </c>
      <c r="E487" s="3" t="s">
        <v>48</v>
      </c>
      <c r="F487" s="3" t="s">
        <v>101</v>
      </c>
      <c r="G487" s="3" t="s">
        <v>2017</v>
      </c>
      <c r="H487" s="4">
        <f>IF(DATEDIF(L487,S487,"m")&gt;12,DATEDIF(L487,S487,"y"),(DATEDIF(L487,S487,"m")/12))</f>
        <v>5</v>
      </c>
      <c r="I487" s="7">
        <f>DATEDIF(L487,S487,"M")</f>
        <v>61</v>
      </c>
      <c r="J487" s="7">
        <f>DATEDIF(L487,S487,"D")</f>
        <v>1877</v>
      </c>
      <c r="K487" s="3" t="s">
        <v>64</v>
      </c>
      <c r="L487" s="8">
        <v>43088</v>
      </c>
      <c r="M487" s="3" t="s">
        <v>45</v>
      </c>
      <c r="N487" s="3" t="s">
        <v>65</v>
      </c>
      <c r="O487" s="3" t="s">
        <v>52</v>
      </c>
      <c r="P487" s="3" t="s">
        <v>84</v>
      </c>
      <c r="Q487" s="7">
        <v>0</v>
      </c>
      <c r="R487" s="8">
        <v>44972</v>
      </c>
      <c r="S487" s="8">
        <v>44965</v>
      </c>
      <c r="T487" s="3" t="s">
        <v>54</v>
      </c>
      <c r="U487" s="3" t="s">
        <v>55</v>
      </c>
      <c r="V487" s="9"/>
      <c r="W487" s="10">
        <v>44978</v>
      </c>
      <c r="X487" s="7">
        <v>6</v>
      </c>
      <c r="Y487" s="7">
        <v>7</v>
      </c>
      <c r="Z487" s="7">
        <v>2</v>
      </c>
      <c r="AA487" s="7">
        <f>INT((S487-DATE(YEAR(S487-WEEKDAY(S487-0)+4),1,4)+WEEKDAY(DATE(YEAR(S487-WEEKDAY(S487-0)+4),1,4))+6)/7)</f>
        <v>6</v>
      </c>
      <c r="AB487" s="3" t="s">
        <v>2018</v>
      </c>
      <c r="AC487" s="7">
        <v>66</v>
      </c>
      <c r="AD487" s="7">
        <v>0</v>
      </c>
      <c r="AE487" s="7">
        <v>0</v>
      </c>
      <c r="AF487" s="3" t="s">
        <v>48</v>
      </c>
      <c r="AG487" s="7">
        <v>2023</v>
      </c>
      <c r="AH487" s="3" t="s">
        <v>105</v>
      </c>
      <c r="AI487" s="3" t="s">
        <v>106</v>
      </c>
      <c r="AJ487" s="3" t="s">
        <v>252</v>
      </c>
      <c r="AK487" s="3" t="s">
        <v>903</v>
      </c>
      <c r="AL487" s="3" t="s">
        <v>59</v>
      </c>
      <c r="AM487" s="3" t="s">
        <v>99</v>
      </c>
      <c r="AN487" s="3" t="s">
        <v>61</v>
      </c>
      <c r="AO487" s="3" t="s">
        <v>62</v>
      </c>
      <c r="AP487" s="3" t="s">
        <v>69</v>
      </c>
      <c r="AQ487" s="3" t="s">
        <v>61</v>
      </c>
      <c r="AR487" s="3" t="s">
        <v>48</v>
      </c>
    </row>
    <row r="488" spans="1:44" ht="30" customHeight="1">
      <c r="A488" s="3" t="s">
        <v>44</v>
      </c>
      <c r="B488" s="3" t="s">
        <v>45</v>
      </c>
      <c r="C488" s="3" t="s">
        <v>46</v>
      </c>
      <c r="D488" s="3" t="s">
        <v>47</v>
      </c>
      <c r="E488" s="3" t="s">
        <v>48</v>
      </c>
      <c r="F488" s="3" t="s">
        <v>49</v>
      </c>
      <c r="G488" s="3" t="s">
        <v>2046</v>
      </c>
      <c r="H488" s="4">
        <f>IF(DATEDIF(L488,S488,"m")&gt;12,DATEDIF(L488,S488,"y"),(DATEDIF(L488,S488,"m")/12))</f>
        <v>4</v>
      </c>
      <c r="I488" s="7">
        <f>DATEDIF(L488,S488,"M")</f>
        <v>52</v>
      </c>
      <c r="J488" s="7">
        <f>DATEDIF(L488,S488,"D")</f>
        <v>1612</v>
      </c>
      <c r="K488" s="3" t="s">
        <v>51</v>
      </c>
      <c r="L488" s="8">
        <v>43362</v>
      </c>
      <c r="M488" s="3" t="s">
        <v>45</v>
      </c>
      <c r="N488" s="3" t="s">
        <v>49</v>
      </c>
      <c r="O488" s="3" t="s">
        <v>52</v>
      </c>
      <c r="P488" s="3" t="s">
        <v>2044</v>
      </c>
      <c r="Q488" s="7">
        <v>0</v>
      </c>
      <c r="R488" s="8">
        <v>44976</v>
      </c>
      <c r="S488" s="8">
        <v>44974</v>
      </c>
      <c r="T488" s="3" t="s">
        <v>54</v>
      </c>
      <c r="U488" s="3" t="s">
        <v>55</v>
      </c>
      <c r="V488" s="9"/>
      <c r="W488" s="10">
        <v>44978</v>
      </c>
      <c r="X488" s="7">
        <v>2</v>
      </c>
      <c r="Y488" s="7">
        <v>2</v>
      </c>
      <c r="Z488" s="7">
        <v>2</v>
      </c>
      <c r="AA488" s="7">
        <f>INT((S488-DATE(YEAR(S488-WEEKDAY(S488-0)+4),1,4)+WEEKDAY(DATE(YEAR(S488-WEEKDAY(S488-0)+4),1,4))+6)/7)</f>
        <v>7</v>
      </c>
      <c r="AB488" s="3" t="s">
        <v>2047</v>
      </c>
      <c r="AC488" s="7">
        <v>66</v>
      </c>
      <c r="AD488" s="7">
        <v>0</v>
      </c>
      <c r="AE488" s="7">
        <v>0</v>
      </c>
      <c r="AF488" s="3" t="s">
        <v>48</v>
      </c>
      <c r="AG488" s="7">
        <v>2023</v>
      </c>
      <c r="AH488" s="3" t="s">
        <v>57</v>
      </c>
      <c r="AI488" s="3" t="s">
        <v>48</v>
      </c>
      <c r="AJ488" s="3" t="s">
        <v>48</v>
      </c>
      <c r="AK488" s="3" t="s">
        <v>813</v>
      </c>
      <c r="AL488" s="3" t="s">
        <v>59</v>
      </c>
      <c r="AM488" s="3" t="s">
        <v>60</v>
      </c>
      <c r="AN488" s="3" t="s">
        <v>61</v>
      </c>
      <c r="AO488" s="3" t="s">
        <v>62</v>
      </c>
      <c r="AP488" s="3" t="s">
        <v>69</v>
      </c>
      <c r="AQ488" s="3" t="s">
        <v>61</v>
      </c>
      <c r="AR488" s="3" t="s">
        <v>48</v>
      </c>
    </row>
    <row r="489" spans="1:44" ht="30" customHeight="1">
      <c r="A489" s="3" t="s">
        <v>44</v>
      </c>
      <c r="B489" s="3" t="s">
        <v>45</v>
      </c>
      <c r="C489" s="3" t="s">
        <v>46</v>
      </c>
      <c r="D489" s="3" t="s">
        <v>108</v>
      </c>
      <c r="E489" s="3" t="s">
        <v>48</v>
      </c>
      <c r="F489" s="3" t="s">
        <v>108</v>
      </c>
      <c r="G489" s="3" t="s">
        <v>2225</v>
      </c>
      <c r="H489" s="4">
        <f>IF(DATEDIF(L489,S489,"m")&gt;12,DATEDIF(L489,S489,"y"),(DATEDIF(L489,S489,"m")/12))</f>
        <v>41</v>
      </c>
      <c r="I489" s="7">
        <f>DATEDIF(L489,S489,"M")</f>
        <v>495</v>
      </c>
      <c r="J489" s="7">
        <f>DATEDIF(L489,S489,"D")</f>
        <v>15076</v>
      </c>
      <c r="K489" s="3" t="s">
        <v>51</v>
      </c>
      <c r="L489" s="8">
        <v>29917</v>
      </c>
      <c r="M489" s="3" t="s">
        <v>45</v>
      </c>
      <c r="N489" s="3" t="s">
        <v>73</v>
      </c>
      <c r="O489" s="3" t="s">
        <v>52</v>
      </c>
      <c r="P489" s="3" t="s">
        <v>169</v>
      </c>
      <c r="Q489" s="7">
        <v>0</v>
      </c>
      <c r="R489" s="8">
        <v>45000</v>
      </c>
      <c r="S489" s="8">
        <v>44993</v>
      </c>
      <c r="T489" s="3" t="s">
        <v>54</v>
      </c>
      <c r="U489" s="3" t="s">
        <v>55</v>
      </c>
      <c r="V489" s="9"/>
      <c r="W489" s="10">
        <v>45005</v>
      </c>
      <c r="X489" s="7">
        <v>5</v>
      </c>
      <c r="Y489" s="7">
        <v>7</v>
      </c>
      <c r="Z489" s="7">
        <v>3</v>
      </c>
      <c r="AA489" s="7">
        <f>INT((S489-DATE(YEAR(S489-WEEKDAY(S489-0)+4),1,4)+WEEKDAY(DATE(YEAR(S489-WEEKDAY(S489-0)+4),1,4))+6)/7)</f>
        <v>10</v>
      </c>
      <c r="AB489" s="3" t="s">
        <v>2226</v>
      </c>
      <c r="AC489" s="7">
        <v>371</v>
      </c>
      <c r="AD489" s="7">
        <v>0</v>
      </c>
      <c r="AE489" s="7">
        <v>0</v>
      </c>
      <c r="AF489" s="3" t="s">
        <v>48</v>
      </c>
      <c r="AG489" s="7">
        <v>2023</v>
      </c>
      <c r="AH489" s="3" t="s">
        <v>112</v>
      </c>
      <c r="AI489" s="3" t="s">
        <v>113</v>
      </c>
      <c r="AJ489" s="3" t="s">
        <v>48</v>
      </c>
      <c r="AK489" s="3" t="s">
        <v>79</v>
      </c>
      <c r="AL489" s="3" t="s">
        <v>59</v>
      </c>
      <c r="AM489" s="3" t="s">
        <v>115</v>
      </c>
      <c r="AN489" s="3" t="s">
        <v>61</v>
      </c>
      <c r="AO489" s="3" t="s">
        <v>62</v>
      </c>
      <c r="AP489" s="3" t="s">
        <v>69</v>
      </c>
      <c r="AQ489" s="3" t="s">
        <v>61</v>
      </c>
      <c r="AR489" s="3" t="s">
        <v>48</v>
      </c>
    </row>
    <row r="490" spans="1:44" ht="30" customHeight="1">
      <c r="A490" s="3" t="s">
        <v>44</v>
      </c>
      <c r="B490" s="3" t="s">
        <v>45</v>
      </c>
      <c r="C490" s="3" t="s">
        <v>46</v>
      </c>
      <c r="D490" s="3" t="s">
        <v>70</v>
      </c>
      <c r="E490" s="3" t="s">
        <v>48</v>
      </c>
      <c r="F490" s="3" t="s">
        <v>71</v>
      </c>
      <c r="G490" s="3" t="s">
        <v>2407</v>
      </c>
      <c r="H490" s="4">
        <f>IF(DATEDIF(L490,S490,"m")&gt;12,DATEDIF(L490,S490,"y"),(DATEDIF(L490,S490,"m")/12))</f>
        <v>4</v>
      </c>
      <c r="I490" s="7">
        <f>DATEDIF(L490,S490,"M")</f>
        <v>52</v>
      </c>
      <c r="J490" s="7">
        <f>DATEDIF(L490,S490,"D")</f>
        <v>1584</v>
      </c>
      <c r="K490" s="3" t="s">
        <v>51</v>
      </c>
      <c r="L490" s="8">
        <v>43391</v>
      </c>
      <c r="M490" s="3" t="s">
        <v>45</v>
      </c>
      <c r="N490" s="3" t="s">
        <v>164</v>
      </c>
      <c r="O490" s="3" t="s">
        <v>52</v>
      </c>
      <c r="P490" s="3" t="s">
        <v>463</v>
      </c>
      <c r="Q490" s="7">
        <v>1</v>
      </c>
      <c r="R490" s="8">
        <v>44976</v>
      </c>
      <c r="S490" s="8">
        <v>44975</v>
      </c>
      <c r="T490" s="3" t="s">
        <v>54</v>
      </c>
      <c r="U490" s="3" t="s">
        <v>55</v>
      </c>
      <c r="V490" s="25"/>
      <c r="W490" s="10">
        <v>44978</v>
      </c>
      <c r="X490" s="7">
        <v>2</v>
      </c>
      <c r="Y490" s="7">
        <v>1</v>
      </c>
      <c r="Z490" s="7">
        <v>2</v>
      </c>
      <c r="AA490" s="7">
        <f>INT((S490-DATE(YEAR(S490-WEEKDAY(S490-0)+4),1,4)+WEEKDAY(DATE(YEAR(S490-WEEKDAY(S490-0)+4),1,4))+6)/7)</f>
        <v>7</v>
      </c>
      <c r="AB490" s="3" t="s">
        <v>2408</v>
      </c>
      <c r="AC490" s="7">
        <v>678</v>
      </c>
      <c r="AD490" s="7">
        <v>0</v>
      </c>
      <c r="AE490" s="7">
        <v>1</v>
      </c>
      <c r="AF490" s="3" t="s">
        <v>48</v>
      </c>
      <c r="AG490" s="7">
        <v>2023</v>
      </c>
      <c r="AH490" s="18" t="s">
        <v>76</v>
      </c>
      <c r="AI490" s="3" t="s">
        <v>166</v>
      </c>
      <c r="AJ490" s="3" t="s">
        <v>78</v>
      </c>
      <c r="AK490" s="3" t="s">
        <v>870</v>
      </c>
      <c r="AL490" s="3" t="s">
        <v>59</v>
      </c>
      <c r="AM490" s="3" t="s">
        <v>60</v>
      </c>
      <c r="AN490" s="3" t="s">
        <v>61</v>
      </c>
      <c r="AO490" s="3" t="s">
        <v>62</v>
      </c>
      <c r="AP490" s="3" t="s">
        <v>69</v>
      </c>
      <c r="AQ490" s="3" t="s">
        <v>61</v>
      </c>
      <c r="AR490" s="3" t="s">
        <v>48</v>
      </c>
    </row>
    <row r="491" spans="1:44" ht="30" customHeight="1">
      <c r="A491" s="3" t="s">
        <v>44</v>
      </c>
      <c r="B491" s="3" t="s">
        <v>45</v>
      </c>
      <c r="C491" s="3" t="s">
        <v>46</v>
      </c>
      <c r="D491" s="3" t="s">
        <v>70</v>
      </c>
      <c r="E491" s="3" t="s">
        <v>48</v>
      </c>
      <c r="F491" s="3" t="s">
        <v>71</v>
      </c>
      <c r="G491" s="3" t="s">
        <v>2409</v>
      </c>
      <c r="H491" s="4">
        <f>IF(DATEDIF(L491,S491,"m")&gt;12,DATEDIF(L491,S491,"y"),(DATEDIF(L491,S491,"m")/12))</f>
        <v>1</v>
      </c>
      <c r="I491" s="7">
        <f>DATEDIF(L491,S491,"M")</f>
        <v>18</v>
      </c>
      <c r="J491" s="7">
        <f>DATEDIF(L491,S491,"D")</f>
        <v>576</v>
      </c>
      <c r="K491" s="3" t="s">
        <v>64</v>
      </c>
      <c r="L491" s="8">
        <v>44399</v>
      </c>
      <c r="M491" s="3" t="s">
        <v>45</v>
      </c>
      <c r="N491" s="3" t="s">
        <v>164</v>
      </c>
      <c r="O491" s="3" t="s">
        <v>52</v>
      </c>
      <c r="P491" s="3" t="s">
        <v>255</v>
      </c>
      <c r="Q491" s="7">
        <v>1</v>
      </c>
      <c r="R491" s="8">
        <v>44976</v>
      </c>
      <c r="S491" s="8">
        <v>44975</v>
      </c>
      <c r="T491" s="3" t="s">
        <v>54</v>
      </c>
      <c r="U491" s="3" t="s">
        <v>55</v>
      </c>
      <c r="V491" s="9"/>
      <c r="W491" s="10">
        <v>44978</v>
      </c>
      <c r="X491" s="7">
        <v>2</v>
      </c>
      <c r="Y491" s="7">
        <v>1</v>
      </c>
      <c r="Z491" s="7">
        <v>2</v>
      </c>
      <c r="AA491" s="7">
        <f>INT((S491-DATE(YEAR(S491-WEEKDAY(S491-0)+4),1,4)+WEEKDAY(DATE(YEAR(S491-WEEKDAY(S491-0)+4),1,4))+6)/7)</f>
        <v>7</v>
      </c>
      <c r="AB491" s="3" t="s">
        <v>2410</v>
      </c>
      <c r="AC491" s="7">
        <v>677</v>
      </c>
      <c r="AD491" s="7">
        <v>0</v>
      </c>
      <c r="AE491" s="7">
        <v>1</v>
      </c>
      <c r="AF491" s="3" t="s">
        <v>48</v>
      </c>
      <c r="AG491" s="7">
        <v>2023</v>
      </c>
      <c r="AH491" s="3" t="s">
        <v>76</v>
      </c>
      <c r="AI491" s="3" t="s">
        <v>166</v>
      </c>
      <c r="AJ491" s="3" t="s">
        <v>788</v>
      </c>
      <c r="AK491" s="3" t="s">
        <v>870</v>
      </c>
      <c r="AL491" s="3" t="s">
        <v>59</v>
      </c>
      <c r="AM491" s="3" t="s">
        <v>60</v>
      </c>
      <c r="AN491" s="3" t="s">
        <v>61</v>
      </c>
      <c r="AO491" s="3" t="s">
        <v>62</v>
      </c>
      <c r="AP491" s="3" t="s">
        <v>69</v>
      </c>
      <c r="AQ491" s="3" t="s">
        <v>61</v>
      </c>
      <c r="AR491" s="3" t="s">
        <v>48</v>
      </c>
    </row>
    <row r="492" spans="1:44" ht="30" customHeight="1">
      <c r="A492" s="3" t="s">
        <v>44</v>
      </c>
      <c r="B492" s="3" t="s">
        <v>45</v>
      </c>
      <c r="C492" s="3" t="s">
        <v>46</v>
      </c>
      <c r="D492" s="3" t="s">
        <v>47</v>
      </c>
      <c r="E492" s="3" t="s">
        <v>48</v>
      </c>
      <c r="F492" s="3" t="s">
        <v>49</v>
      </c>
      <c r="G492" s="3" t="s">
        <v>2432</v>
      </c>
      <c r="H492" s="4">
        <f>IF(DATEDIF(L492,S492,"m")&gt;12,DATEDIF(L492,S492,"y"),(DATEDIF(L492,S492,"m")/12))</f>
        <v>1</v>
      </c>
      <c r="I492" s="7">
        <f>DATEDIF(L492,S492,"M")</f>
        <v>12</v>
      </c>
      <c r="J492" s="7">
        <f>DATEDIF(L492,S492,"D")</f>
        <v>378</v>
      </c>
      <c r="K492" s="3" t="s">
        <v>64</v>
      </c>
      <c r="L492" s="8">
        <v>44592</v>
      </c>
      <c r="M492" s="3" t="s">
        <v>45</v>
      </c>
      <c r="N492" s="3" t="s">
        <v>65</v>
      </c>
      <c r="O492" s="3" t="s">
        <v>52</v>
      </c>
      <c r="P492" s="3" t="s">
        <v>156</v>
      </c>
      <c r="Q492" s="7">
        <v>0</v>
      </c>
      <c r="R492" s="8">
        <v>44977</v>
      </c>
      <c r="S492" s="8">
        <v>44970</v>
      </c>
      <c r="T492" s="3" t="s">
        <v>54</v>
      </c>
      <c r="U492" s="3" t="s">
        <v>55</v>
      </c>
      <c r="V492" s="9"/>
      <c r="W492" s="10">
        <v>44978</v>
      </c>
      <c r="X492" s="7">
        <v>1</v>
      </c>
      <c r="Y492" s="7">
        <v>7</v>
      </c>
      <c r="Z492" s="7">
        <v>2</v>
      </c>
      <c r="AA492" s="7">
        <f>INT((S492-DATE(YEAR(S492-WEEKDAY(S492-0)+4),1,4)+WEEKDAY(DATE(YEAR(S492-WEEKDAY(S492-0)+4),1,4))+6)/7)</f>
        <v>7</v>
      </c>
      <c r="AB492" s="3" t="s">
        <v>2433</v>
      </c>
      <c r="AC492" s="7">
        <v>63</v>
      </c>
      <c r="AD492" s="7">
        <v>0</v>
      </c>
      <c r="AE492" s="7">
        <v>0</v>
      </c>
      <c r="AF492" s="3" t="s">
        <v>48</v>
      </c>
      <c r="AG492" s="7">
        <v>2023</v>
      </c>
      <c r="AH492" s="3" t="s">
        <v>57</v>
      </c>
      <c r="AI492" s="3" t="s">
        <v>48</v>
      </c>
      <c r="AJ492" s="3" t="s">
        <v>48</v>
      </c>
      <c r="AK492" s="3" t="s">
        <v>162</v>
      </c>
      <c r="AL492" s="3" t="s">
        <v>59</v>
      </c>
      <c r="AM492" s="3" t="s">
        <v>60</v>
      </c>
      <c r="AN492" s="3" t="s">
        <v>61</v>
      </c>
      <c r="AO492" s="3" t="s">
        <v>62</v>
      </c>
      <c r="AP492" s="3" t="s">
        <v>69</v>
      </c>
      <c r="AQ492" s="3" t="s">
        <v>61</v>
      </c>
      <c r="AR492" s="3" t="s">
        <v>48</v>
      </c>
    </row>
    <row r="493" spans="1:44" ht="30" customHeight="1">
      <c r="A493" s="3" t="s">
        <v>44</v>
      </c>
      <c r="B493" s="3" t="s">
        <v>45</v>
      </c>
      <c r="C493" s="3" t="s">
        <v>46</v>
      </c>
      <c r="D493" s="3" t="s">
        <v>130</v>
      </c>
      <c r="E493" s="3" t="s">
        <v>48</v>
      </c>
      <c r="F493" s="3" t="s">
        <v>131</v>
      </c>
      <c r="G493" s="3" t="s">
        <v>48</v>
      </c>
      <c r="H493" s="4">
        <f>IF(DATEDIF(L493,S493,"m")&gt;12,DATEDIF(L493,S493,"y"),(DATEDIF(L493,S493,"m")/12))</f>
        <v>2</v>
      </c>
      <c r="I493" s="7">
        <f>DATEDIF(L493,S493,"M")</f>
        <v>35</v>
      </c>
      <c r="J493" s="7">
        <f>DATEDIF(L493,S493,"D")</f>
        <v>1082</v>
      </c>
      <c r="K493" s="3" t="s">
        <v>64</v>
      </c>
      <c r="L493" s="8">
        <v>43888</v>
      </c>
      <c r="M493" s="3" t="s">
        <v>45</v>
      </c>
      <c r="N493" s="3" t="s">
        <v>83</v>
      </c>
      <c r="O493" s="3" t="s">
        <v>52</v>
      </c>
      <c r="P493" s="3" t="s">
        <v>287</v>
      </c>
      <c r="Q493" s="7">
        <v>0</v>
      </c>
      <c r="R493" s="8">
        <v>44977</v>
      </c>
      <c r="S493" s="8">
        <v>44970</v>
      </c>
      <c r="T493" s="3" t="s">
        <v>54</v>
      </c>
      <c r="U493" s="3" t="s">
        <v>55</v>
      </c>
      <c r="V493" s="9"/>
      <c r="W493" s="10">
        <v>44979</v>
      </c>
      <c r="X493" s="7">
        <v>2</v>
      </c>
      <c r="Y493" s="7">
        <v>7</v>
      </c>
      <c r="Z493" s="7">
        <v>2</v>
      </c>
      <c r="AA493" s="7">
        <f>INT((S493-DATE(YEAR(S493-WEEKDAY(S493-0)+4),1,4)+WEEKDAY(DATE(YEAR(S493-WEEKDAY(S493-0)+4),1,4))+6)/7)</f>
        <v>7</v>
      </c>
      <c r="AB493" s="3" t="s">
        <v>293</v>
      </c>
      <c r="AC493" s="7">
        <v>95</v>
      </c>
      <c r="AD493" s="7">
        <v>0</v>
      </c>
      <c r="AE493" s="7">
        <v>0</v>
      </c>
      <c r="AF493" s="3" t="s">
        <v>48</v>
      </c>
      <c r="AG493" s="7">
        <v>2023</v>
      </c>
      <c r="AH493" s="3" t="s">
        <v>133</v>
      </c>
      <c r="AI493" s="3" t="s">
        <v>106</v>
      </c>
      <c r="AJ493" s="3" t="s">
        <v>130</v>
      </c>
      <c r="AK493" s="12" t="s">
        <v>140</v>
      </c>
      <c r="AL493" s="3" t="s">
        <v>59</v>
      </c>
      <c r="AM493" s="3" t="s">
        <v>115</v>
      </c>
      <c r="AN493" s="3" t="s">
        <v>61</v>
      </c>
      <c r="AO493" s="3" t="s">
        <v>62</v>
      </c>
      <c r="AP493" s="3" t="s">
        <v>69</v>
      </c>
      <c r="AQ493" s="3" t="s">
        <v>61</v>
      </c>
      <c r="AR493" s="3" t="s">
        <v>48</v>
      </c>
    </row>
    <row r="494" spans="1:44" ht="30" customHeight="1">
      <c r="A494" s="3" t="s">
        <v>44</v>
      </c>
      <c r="B494" s="3" t="s">
        <v>45</v>
      </c>
      <c r="C494" s="3" t="s">
        <v>46</v>
      </c>
      <c r="D494" s="3" t="s">
        <v>130</v>
      </c>
      <c r="E494" s="3" t="s">
        <v>48</v>
      </c>
      <c r="F494" s="3" t="s">
        <v>131</v>
      </c>
      <c r="G494" s="3" t="s">
        <v>48</v>
      </c>
      <c r="H494" s="4">
        <f>IF(DATEDIF(L494,S494,"m")&gt;12,DATEDIF(L494,S494,"y"),(DATEDIF(L494,S494,"m")/12))</f>
        <v>51</v>
      </c>
      <c r="I494" s="7">
        <f>DATEDIF(L494,S494,"M")</f>
        <v>615</v>
      </c>
      <c r="J494" s="7">
        <f>DATEDIF(L494,S494,"D")</f>
        <v>18720</v>
      </c>
      <c r="K494" s="3" t="s">
        <v>51</v>
      </c>
      <c r="L494" s="8">
        <v>26238</v>
      </c>
      <c r="M494" s="3" t="s">
        <v>45</v>
      </c>
      <c r="N494" s="3" t="s">
        <v>83</v>
      </c>
      <c r="O494" s="3" t="s">
        <v>52</v>
      </c>
      <c r="P494" s="3" t="s">
        <v>84</v>
      </c>
      <c r="Q494" s="7">
        <v>0</v>
      </c>
      <c r="R494" s="8">
        <v>44978</v>
      </c>
      <c r="S494" s="8">
        <v>44958</v>
      </c>
      <c r="T494" s="3" t="s">
        <v>54</v>
      </c>
      <c r="U494" s="3" t="s">
        <v>55</v>
      </c>
      <c r="V494" s="9"/>
      <c r="W494" s="10">
        <v>44979</v>
      </c>
      <c r="X494" s="7">
        <v>1</v>
      </c>
      <c r="Y494" s="7">
        <v>20</v>
      </c>
      <c r="Z494" s="7">
        <v>2</v>
      </c>
      <c r="AA494" s="7">
        <f>INT((S494-DATE(YEAR(S494-WEEKDAY(S494-0)+4),1,4)+WEEKDAY(DATE(YEAR(S494-WEEKDAY(S494-0)+4),1,4))+6)/7)</f>
        <v>5</v>
      </c>
      <c r="AB494" s="3" t="s">
        <v>424</v>
      </c>
      <c r="AC494" s="7">
        <v>108</v>
      </c>
      <c r="AD494" s="7">
        <v>0</v>
      </c>
      <c r="AE494" s="7">
        <v>0</v>
      </c>
      <c r="AF494" s="3" t="s">
        <v>48</v>
      </c>
      <c r="AG494" s="7">
        <v>2023</v>
      </c>
      <c r="AH494" s="3" t="s">
        <v>133</v>
      </c>
      <c r="AI494" s="3" t="s">
        <v>106</v>
      </c>
      <c r="AJ494" s="3" t="s">
        <v>130</v>
      </c>
      <c r="AK494" s="18" t="s">
        <v>87</v>
      </c>
      <c r="AL494" s="3" t="s">
        <v>59</v>
      </c>
      <c r="AM494" s="3" t="s">
        <v>115</v>
      </c>
      <c r="AN494" s="3" t="s">
        <v>61</v>
      </c>
      <c r="AO494" s="3" t="s">
        <v>62</v>
      </c>
      <c r="AP494" s="3" t="s">
        <v>69</v>
      </c>
      <c r="AQ494" s="3" t="s">
        <v>61</v>
      </c>
      <c r="AR494" s="3" t="s">
        <v>48</v>
      </c>
    </row>
    <row r="495" spans="1:44" ht="30" customHeight="1">
      <c r="A495" s="3" t="s">
        <v>44</v>
      </c>
      <c r="B495" s="3" t="s">
        <v>45</v>
      </c>
      <c r="C495" s="3" t="s">
        <v>46</v>
      </c>
      <c r="D495" s="3" t="s">
        <v>130</v>
      </c>
      <c r="E495" s="3" t="s">
        <v>48</v>
      </c>
      <c r="F495" s="3" t="s">
        <v>131</v>
      </c>
      <c r="G495" s="3" t="s">
        <v>48</v>
      </c>
      <c r="H495" s="4">
        <f>IF(DATEDIF(L495,S495,"m")&gt;12,DATEDIF(L495,S495,"y"),(DATEDIF(L495,S495,"m")/12))</f>
        <v>7</v>
      </c>
      <c r="I495" s="7">
        <f>DATEDIF(L495,S495,"M")</f>
        <v>87</v>
      </c>
      <c r="J495" s="7">
        <f>DATEDIF(L495,S495,"D")</f>
        <v>2674</v>
      </c>
      <c r="K495" s="3" t="s">
        <v>64</v>
      </c>
      <c r="L495" s="8">
        <v>42300</v>
      </c>
      <c r="M495" s="3" t="s">
        <v>45</v>
      </c>
      <c r="N495" s="3" t="s">
        <v>83</v>
      </c>
      <c r="O495" s="3" t="s">
        <v>52</v>
      </c>
      <c r="P495" s="3" t="s">
        <v>169</v>
      </c>
      <c r="Q495" s="7">
        <v>0</v>
      </c>
      <c r="R495" s="8">
        <v>44977</v>
      </c>
      <c r="S495" s="8">
        <v>44974</v>
      </c>
      <c r="T495" s="3" t="s">
        <v>54</v>
      </c>
      <c r="U495" s="3" t="s">
        <v>55</v>
      </c>
      <c r="V495" s="9"/>
      <c r="W495" s="10">
        <v>44979</v>
      </c>
      <c r="X495" s="7">
        <v>2</v>
      </c>
      <c r="Y495" s="7">
        <v>3</v>
      </c>
      <c r="Z495" s="7">
        <v>2</v>
      </c>
      <c r="AA495" s="7">
        <f>INT((S495-DATE(YEAR(S495-WEEKDAY(S495-0)+4),1,4)+WEEKDAY(DATE(YEAR(S495-WEEKDAY(S495-0)+4),1,4))+6)/7)</f>
        <v>7</v>
      </c>
      <c r="AB495" s="3" t="s">
        <v>458</v>
      </c>
      <c r="AC495" s="7">
        <v>105</v>
      </c>
      <c r="AD495" s="7">
        <v>0</v>
      </c>
      <c r="AE495" s="7">
        <v>0</v>
      </c>
      <c r="AF495" s="3" t="s">
        <v>48</v>
      </c>
      <c r="AG495" s="7">
        <v>2023</v>
      </c>
      <c r="AH495" s="3" t="s">
        <v>133</v>
      </c>
      <c r="AI495" s="3" t="s">
        <v>106</v>
      </c>
      <c r="AJ495" s="3" t="s">
        <v>130</v>
      </c>
      <c r="AK495" s="3" t="s">
        <v>459</v>
      </c>
      <c r="AL495" s="3" t="s">
        <v>59</v>
      </c>
      <c r="AM495" s="3" t="s">
        <v>115</v>
      </c>
      <c r="AN495" s="3" t="s">
        <v>61</v>
      </c>
      <c r="AO495" s="3" t="s">
        <v>62</v>
      </c>
      <c r="AP495" s="3" t="s">
        <v>69</v>
      </c>
      <c r="AQ495" s="3" t="s">
        <v>61</v>
      </c>
      <c r="AR495" s="3" t="s">
        <v>48</v>
      </c>
    </row>
    <row r="496" spans="1:44" ht="30" customHeight="1">
      <c r="A496" s="3" t="s">
        <v>44</v>
      </c>
      <c r="B496" s="3" t="s">
        <v>45</v>
      </c>
      <c r="C496" s="3" t="s">
        <v>46</v>
      </c>
      <c r="D496" s="3" t="s">
        <v>130</v>
      </c>
      <c r="E496" s="3" t="s">
        <v>48</v>
      </c>
      <c r="F496" s="3" t="s">
        <v>131</v>
      </c>
      <c r="G496" s="3" t="s">
        <v>48</v>
      </c>
      <c r="H496" s="5">
        <f>IF(DATEDIF(L496,S496,"m")&gt;12,DATEDIF(L496,S496,"y"),(DATEDIF(L496,S496,"m")/12))</f>
        <v>0.33333333333333331</v>
      </c>
      <c r="I496" s="7">
        <f>DATEDIF(L496,S496,"M")</f>
        <v>4</v>
      </c>
      <c r="J496" s="7">
        <f>DATEDIF(L496,S496,"D")</f>
        <v>131</v>
      </c>
      <c r="K496" s="3" t="s">
        <v>64</v>
      </c>
      <c r="L496" s="8">
        <v>44842</v>
      </c>
      <c r="M496" s="3" t="s">
        <v>45</v>
      </c>
      <c r="N496" s="3" t="s">
        <v>83</v>
      </c>
      <c r="O496" s="3" t="s">
        <v>52</v>
      </c>
      <c r="P496" s="3" t="s">
        <v>255</v>
      </c>
      <c r="Q496" s="7">
        <v>0</v>
      </c>
      <c r="R496" s="8">
        <v>44977</v>
      </c>
      <c r="S496" s="8">
        <v>44973</v>
      </c>
      <c r="T496" s="3" t="s">
        <v>54</v>
      </c>
      <c r="U496" s="3" t="s">
        <v>55</v>
      </c>
      <c r="V496" s="9"/>
      <c r="W496" s="10">
        <v>44979</v>
      </c>
      <c r="X496" s="7">
        <v>2</v>
      </c>
      <c r="Y496" s="7">
        <v>4</v>
      </c>
      <c r="Z496" s="7">
        <v>2</v>
      </c>
      <c r="AA496" s="7">
        <f>INT((S496-DATE(YEAR(S496-WEEKDAY(S496-0)+4),1,4)+WEEKDAY(DATE(YEAR(S496-WEEKDAY(S496-0)+4),1,4))+6)/7)</f>
        <v>7</v>
      </c>
      <c r="AB496" s="3" t="s">
        <v>462</v>
      </c>
      <c r="AC496" s="7">
        <v>101</v>
      </c>
      <c r="AD496" s="7">
        <v>0</v>
      </c>
      <c r="AE496" s="7">
        <v>0</v>
      </c>
      <c r="AF496" s="3" t="s">
        <v>48</v>
      </c>
      <c r="AG496" s="7">
        <v>2023</v>
      </c>
      <c r="AH496" s="3" t="s">
        <v>133</v>
      </c>
      <c r="AI496" s="3" t="s">
        <v>106</v>
      </c>
      <c r="AJ496" s="3" t="s">
        <v>130</v>
      </c>
      <c r="AK496" s="3" t="s">
        <v>87</v>
      </c>
      <c r="AL496" s="3" t="s">
        <v>59</v>
      </c>
      <c r="AM496" s="3" t="s">
        <v>115</v>
      </c>
      <c r="AN496" s="3" t="s">
        <v>61</v>
      </c>
      <c r="AO496" s="3" t="s">
        <v>62</v>
      </c>
      <c r="AP496" s="3" t="s">
        <v>69</v>
      </c>
      <c r="AQ496" s="3" t="s">
        <v>61</v>
      </c>
      <c r="AR496" s="3" t="s">
        <v>48</v>
      </c>
    </row>
    <row r="497" spans="1:44" ht="30" customHeight="1">
      <c r="A497" s="3" t="s">
        <v>44</v>
      </c>
      <c r="B497" s="3" t="s">
        <v>45</v>
      </c>
      <c r="C497" s="3" t="s">
        <v>46</v>
      </c>
      <c r="D497" s="3" t="s">
        <v>130</v>
      </c>
      <c r="E497" s="3" t="s">
        <v>48</v>
      </c>
      <c r="F497" s="3" t="s">
        <v>131</v>
      </c>
      <c r="G497" s="3" t="s">
        <v>48</v>
      </c>
      <c r="H497" s="5">
        <f>IF(DATEDIF(L497,S497,"m")&gt;12,DATEDIF(L497,S497,"y"),(DATEDIF(L497,S497,"m")/12))</f>
        <v>0.33333333333333331</v>
      </c>
      <c r="I497" s="7">
        <f>DATEDIF(L497,S497,"M")</f>
        <v>4</v>
      </c>
      <c r="J497" s="7">
        <f>DATEDIF(L497,S497,"D")</f>
        <v>138</v>
      </c>
      <c r="K497" s="3" t="s">
        <v>51</v>
      </c>
      <c r="L497" s="8">
        <v>44835</v>
      </c>
      <c r="M497" s="3" t="s">
        <v>45</v>
      </c>
      <c r="N497" s="3" t="s">
        <v>83</v>
      </c>
      <c r="O497" s="3" t="s">
        <v>52</v>
      </c>
      <c r="P497" s="3" t="s">
        <v>137</v>
      </c>
      <c r="Q497" s="7">
        <v>0</v>
      </c>
      <c r="R497" s="8">
        <v>44977</v>
      </c>
      <c r="S497" s="8">
        <v>44973</v>
      </c>
      <c r="T497" s="3" t="s">
        <v>54</v>
      </c>
      <c r="U497" s="3" t="s">
        <v>55</v>
      </c>
      <c r="V497" s="9"/>
      <c r="W497" s="10">
        <v>44979</v>
      </c>
      <c r="X497" s="7">
        <v>2</v>
      </c>
      <c r="Y497" s="7">
        <v>4</v>
      </c>
      <c r="Z497" s="7">
        <v>2</v>
      </c>
      <c r="AA497" s="7">
        <f>INT((S497-DATE(YEAR(S497-WEEKDAY(S497-0)+4),1,4)+WEEKDAY(DATE(YEAR(S497-WEEKDAY(S497-0)+4),1,4))+6)/7)</f>
        <v>7</v>
      </c>
      <c r="AB497" s="3" t="s">
        <v>752</v>
      </c>
      <c r="AC497" s="7">
        <v>104</v>
      </c>
      <c r="AD497" s="7">
        <v>0</v>
      </c>
      <c r="AE497" s="7">
        <v>0</v>
      </c>
      <c r="AF497" s="3" t="s">
        <v>48</v>
      </c>
      <c r="AG497" s="7">
        <v>2023</v>
      </c>
      <c r="AH497" s="3" t="s">
        <v>133</v>
      </c>
      <c r="AI497" s="3" t="s">
        <v>106</v>
      </c>
      <c r="AJ497" s="3" t="s">
        <v>130</v>
      </c>
      <c r="AK497" s="3" t="s">
        <v>216</v>
      </c>
      <c r="AL497" s="3" t="s">
        <v>59</v>
      </c>
      <c r="AM497" s="3" t="s">
        <v>115</v>
      </c>
      <c r="AN497" s="3" t="s">
        <v>61</v>
      </c>
      <c r="AO497" s="3" t="s">
        <v>62</v>
      </c>
      <c r="AP497" s="3" t="s">
        <v>69</v>
      </c>
      <c r="AQ497" s="3" t="s">
        <v>61</v>
      </c>
      <c r="AR497" s="3" t="s">
        <v>48</v>
      </c>
    </row>
    <row r="498" spans="1:44" ht="30" customHeight="1">
      <c r="A498" s="3" t="s">
        <v>44</v>
      </c>
      <c r="B498" s="3" t="s">
        <v>45</v>
      </c>
      <c r="C498" s="3" t="s">
        <v>46</v>
      </c>
      <c r="D498" s="3" t="s">
        <v>130</v>
      </c>
      <c r="E498" s="3" t="s">
        <v>48</v>
      </c>
      <c r="F498" s="3" t="s">
        <v>131</v>
      </c>
      <c r="G498" s="3" t="s">
        <v>48</v>
      </c>
      <c r="H498" s="4">
        <f>IF(DATEDIF(L498,S498,"m")&gt;12,DATEDIF(L498,S498,"y"),(DATEDIF(L498,S498,"m")/12))</f>
        <v>3</v>
      </c>
      <c r="I498" s="7">
        <f>DATEDIF(L498,S498,"M")</f>
        <v>38</v>
      </c>
      <c r="J498" s="7">
        <f>DATEDIF(L498,S498,"D")</f>
        <v>1185</v>
      </c>
      <c r="K498" s="3" t="s">
        <v>64</v>
      </c>
      <c r="L498" s="8">
        <v>43790</v>
      </c>
      <c r="M498" s="3" t="s">
        <v>45</v>
      </c>
      <c r="N498" s="3" t="s">
        <v>83</v>
      </c>
      <c r="O498" s="3" t="s">
        <v>52</v>
      </c>
      <c r="P498" s="3" t="s">
        <v>169</v>
      </c>
      <c r="Q498" s="7">
        <v>0</v>
      </c>
      <c r="R498" s="8">
        <v>44977</v>
      </c>
      <c r="S498" s="8">
        <v>44975</v>
      </c>
      <c r="T498" s="3" t="s">
        <v>54</v>
      </c>
      <c r="U498" s="3" t="s">
        <v>55</v>
      </c>
      <c r="V498" s="9"/>
      <c r="W498" s="10">
        <v>44979</v>
      </c>
      <c r="X498" s="7">
        <v>2</v>
      </c>
      <c r="Y498" s="7">
        <v>2</v>
      </c>
      <c r="Z498" s="7">
        <v>2</v>
      </c>
      <c r="AA498" s="7">
        <f>INT((S498-DATE(YEAR(S498-WEEKDAY(S498-0)+4),1,4)+WEEKDAY(DATE(YEAR(S498-WEEKDAY(S498-0)+4),1,4))+6)/7)</f>
        <v>7</v>
      </c>
      <c r="AB498" s="3" t="s">
        <v>792</v>
      </c>
      <c r="AC498" s="7">
        <v>103</v>
      </c>
      <c r="AD498" s="7">
        <v>0</v>
      </c>
      <c r="AE498" s="7">
        <v>0</v>
      </c>
      <c r="AF498" s="3" t="s">
        <v>48</v>
      </c>
      <c r="AG498" s="7">
        <v>2023</v>
      </c>
      <c r="AH498" s="3" t="s">
        <v>133</v>
      </c>
      <c r="AI498" s="3" t="s">
        <v>106</v>
      </c>
      <c r="AJ498" s="3" t="s">
        <v>130</v>
      </c>
      <c r="AK498" s="3" t="s">
        <v>793</v>
      </c>
      <c r="AL498" s="3" t="s">
        <v>59</v>
      </c>
      <c r="AM498" s="3" t="s">
        <v>115</v>
      </c>
      <c r="AN498" s="3" t="s">
        <v>61</v>
      </c>
      <c r="AO498" s="3" t="s">
        <v>62</v>
      </c>
      <c r="AP498" s="3" t="s">
        <v>69</v>
      </c>
      <c r="AQ498" s="3" t="s">
        <v>61</v>
      </c>
      <c r="AR498" s="3" t="s">
        <v>48</v>
      </c>
    </row>
    <row r="499" spans="1:44" ht="30" customHeight="1">
      <c r="A499" s="3" t="s">
        <v>44</v>
      </c>
      <c r="B499" s="3" t="s">
        <v>45</v>
      </c>
      <c r="C499" s="3" t="s">
        <v>46</v>
      </c>
      <c r="D499" s="3" t="s">
        <v>130</v>
      </c>
      <c r="E499" s="3" t="s">
        <v>48</v>
      </c>
      <c r="F499" s="3" t="s">
        <v>131</v>
      </c>
      <c r="G499" s="3" t="s">
        <v>48</v>
      </c>
      <c r="H499" s="4">
        <f>IF(DATEDIF(L499,S499,"m")&gt;12,DATEDIF(L499,S499,"y"),(DATEDIF(L499,S499,"m")/12))</f>
        <v>22</v>
      </c>
      <c r="I499" s="7">
        <f>DATEDIF(L499,S499,"M")</f>
        <v>265</v>
      </c>
      <c r="J499" s="7">
        <f>DATEDIF(L499,S499,"D")</f>
        <v>8082</v>
      </c>
      <c r="K499" s="3" t="s">
        <v>51</v>
      </c>
      <c r="L499" s="8">
        <v>36892</v>
      </c>
      <c r="M499" s="3" t="s">
        <v>45</v>
      </c>
      <c r="N499" s="3" t="s">
        <v>83</v>
      </c>
      <c r="O499" s="3" t="s">
        <v>52</v>
      </c>
      <c r="P499" s="3" t="s">
        <v>255</v>
      </c>
      <c r="Q499" s="7">
        <v>0</v>
      </c>
      <c r="R499" s="8">
        <v>44977</v>
      </c>
      <c r="S499" s="8">
        <v>44974</v>
      </c>
      <c r="T499" s="3" t="s">
        <v>54</v>
      </c>
      <c r="U499" s="3" t="s">
        <v>55</v>
      </c>
      <c r="V499" s="9"/>
      <c r="W499" s="10">
        <v>44979</v>
      </c>
      <c r="X499" s="7">
        <v>2</v>
      </c>
      <c r="Y499" s="7">
        <v>3</v>
      </c>
      <c r="Z499" s="7">
        <v>2</v>
      </c>
      <c r="AA499" s="7">
        <f>INT((S499-DATE(YEAR(S499-WEEKDAY(S499-0)+4),1,4)+WEEKDAY(DATE(YEAR(S499-WEEKDAY(S499-0)+4),1,4))+6)/7)</f>
        <v>7</v>
      </c>
      <c r="AB499" s="3" t="s">
        <v>972</v>
      </c>
      <c r="AC499" s="7">
        <v>97</v>
      </c>
      <c r="AD499" s="7">
        <v>0</v>
      </c>
      <c r="AE499" s="7">
        <v>0</v>
      </c>
      <c r="AF499" s="3" t="s">
        <v>48</v>
      </c>
      <c r="AG499" s="7">
        <v>2023</v>
      </c>
      <c r="AH499" s="3" t="s">
        <v>133</v>
      </c>
      <c r="AI499" s="3" t="s">
        <v>106</v>
      </c>
      <c r="AJ499" s="3" t="s">
        <v>130</v>
      </c>
      <c r="AK499" s="3" t="s">
        <v>149</v>
      </c>
      <c r="AL499" s="3" t="s">
        <v>59</v>
      </c>
      <c r="AM499" s="3" t="s">
        <v>115</v>
      </c>
      <c r="AN499" s="3" t="s">
        <v>61</v>
      </c>
      <c r="AO499" s="3" t="s">
        <v>62</v>
      </c>
      <c r="AP499" s="3" t="s">
        <v>69</v>
      </c>
      <c r="AQ499" s="3" t="s">
        <v>61</v>
      </c>
      <c r="AR499" s="3" t="s">
        <v>48</v>
      </c>
    </row>
    <row r="500" spans="1:44" ht="30" customHeight="1">
      <c r="A500" s="3" t="s">
        <v>44</v>
      </c>
      <c r="B500" s="3" t="s">
        <v>45</v>
      </c>
      <c r="C500" s="3" t="s">
        <v>46</v>
      </c>
      <c r="D500" s="3" t="s">
        <v>130</v>
      </c>
      <c r="E500" s="3" t="s">
        <v>48</v>
      </c>
      <c r="F500" s="3" t="s">
        <v>131</v>
      </c>
      <c r="G500" s="3" t="s">
        <v>48</v>
      </c>
      <c r="H500" s="4">
        <f>IF(DATEDIF(L500,S500,"m")&gt;12,DATEDIF(L500,S500,"y"),(DATEDIF(L500,S500,"m")/12))</f>
        <v>19</v>
      </c>
      <c r="I500" s="7">
        <f>DATEDIF(L500,S500,"M")</f>
        <v>239</v>
      </c>
      <c r="J500" s="7">
        <f>DATEDIF(L500,S500,"D")</f>
        <v>7297</v>
      </c>
      <c r="K500" s="3" t="s">
        <v>64</v>
      </c>
      <c r="L500" s="8">
        <v>37674</v>
      </c>
      <c r="M500" s="3" t="s">
        <v>45</v>
      </c>
      <c r="N500" s="3" t="s">
        <v>83</v>
      </c>
      <c r="O500" s="3" t="s">
        <v>52</v>
      </c>
      <c r="P500" s="3" t="s">
        <v>298</v>
      </c>
      <c r="Q500" s="7">
        <v>0</v>
      </c>
      <c r="R500" s="8">
        <v>44978</v>
      </c>
      <c r="S500" s="8">
        <v>44971</v>
      </c>
      <c r="T500" s="3" t="s">
        <v>54</v>
      </c>
      <c r="U500" s="3" t="s">
        <v>55</v>
      </c>
      <c r="V500" s="9"/>
      <c r="W500" s="10">
        <v>44979</v>
      </c>
      <c r="X500" s="7">
        <v>1</v>
      </c>
      <c r="Y500" s="7">
        <v>7</v>
      </c>
      <c r="Z500" s="7">
        <v>2</v>
      </c>
      <c r="AA500" s="7">
        <f>INT((S500-DATE(YEAR(S500-WEEKDAY(S500-0)+4),1,4)+WEEKDAY(DATE(YEAR(S500-WEEKDAY(S500-0)+4),1,4))+6)/7)</f>
        <v>7</v>
      </c>
      <c r="AB500" s="3" t="s">
        <v>1020</v>
      </c>
      <c r="AC500" s="7">
        <v>111</v>
      </c>
      <c r="AD500" s="7">
        <v>0</v>
      </c>
      <c r="AE500" s="7">
        <v>0</v>
      </c>
      <c r="AF500" s="3" t="s">
        <v>48</v>
      </c>
      <c r="AG500" s="7">
        <v>2023</v>
      </c>
      <c r="AH500" s="3" t="s">
        <v>133</v>
      </c>
      <c r="AI500" s="3" t="s">
        <v>106</v>
      </c>
      <c r="AJ500" s="3" t="s">
        <v>130</v>
      </c>
      <c r="AK500" s="3" t="s">
        <v>1021</v>
      </c>
      <c r="AL500" s="3" t="s">
        <v>59</v>
      </c>
      <c r="AM500" s="3" t="s">
        <v>115</v>
      </c>
      <c r="AN500" s="3" t="s">
        <v>61</v>
      </c>
      <c r="AO500" s="3" t="s">
        <v>62</v>
      </c>
      <c r="AP500" s="3" t="s">
        <v>69</v>
      </c>
      <c r="AQ500" s="3" t="s">
        <v>61</v>
      </c>
      <c r="AR500" s="3" t="s">
        <v>48</v>
      </c>
    </row>
    <row r="501" spans="1:44" ht="30" customHeight="1">
      <c r="A501" s="3" t="s">
        <v>44</v>
      </c>
      <c r="B501" s="3" t="s">
        <v>45</v>
      </c>
      <c r="C501" s="3" t="s">
        <v>46</v>
      </c>
      <c r="D501" s="3" t="s">
        <v>130</v>
      </c>
      <c r="E501" s="3" t="s">
        <v>48</v>
      </c>
      <c r="F501" s="3" t="s">
        <v>131</v>
      </c>
      <c r="G501" s="3" t="s">
        <v>48</v>
      </c>
      <c r="H501" s="5">
        <f>IF(DATEDIF(L501,S501,"m")&gt;12,DATEDIF(L501,S501,"y"),(DATEDIF(L501,S501,"m")/12))</f>
        <v>0.41666666666666669</v>
      </c>
      <c r="I501" s="7">
        <f>DATEDIF(L501,S501,"M")</f>
        <v>5</v>
      </c>
      <c r="J501" s="7">
        <f>DATEDIF(L501,S501,"D")</f>
        <v>176</v>
      </c>
      <c r="K501" s="3" t="s">
        <v>51</v>
      </c>
      <c r="L501" s="8">
        <v>44798</v>
      </c>
      <c r="M501" s="3" t="s">
        <v>45</v>
      </c>
      <c r="N501" s="3" t="s">
        <v>83</v>
      </c>
      <c r="O501" s="3" t="s">
        <v>52</v>
      </c>
      <c r="P501" s="3" t="s">
        <v>398</v>
      </c>
      <c r="Q501" s="7">
        <v>0</v>
      </c>
      <c r="R501" s="8">
        <v>44977</v>
      </c>
      <c r="S501" s="8">
        <v>44974</v>
      </c>
      <c r="T501" s="3" t="s">
        <v>54</v>
      </c>
      <c r="U501" s="3" t="s">
        <v>55</v>
      </c>
      <c r="V501" s="9"/>
      <c r="W501" s="10">
        <v>44979</v>
      </c>
      <c r="X501" s="7">
        <v>2</v>
      </c>
      <c r="Y501" s="7">
        <v>3</v>
      </c>
      <c r="Z501" s="7">
        <v>2</v>
      </c>
      <c r="AA501" s="7">
        <f>INT((S501-DATE(YEAR(S501-WEEKDAY(S501-0)+4),1,4)+WEEKDAY(DATE(YEAR(S501-WEEKDAY(S501-0)+4),1,4))+6)/7)</f>
        <v>7</v>
      </c>
      <c r="AB501" s="3" t="s">
        <v>1431</v>
      </c>
      <c r="AC501" s="7">
        <v>94</v>
      </c>
      <c r="AD501" s="7">
        <v>0</v>
      </c>
      <c r="AE501" s="7">
        <v>0</v>
      </c>
      <c r="AF501" s="3" t="s">
        <v>48</v>
      </c>
      <c r="AG501" s="7">
        <v>2023</v>
      </c>
      <c r="AH501" s="3" t="s">
        <v>133</v>
      </c>
      <c r="AI501" s="3" t="s">
        <v>106</v>
      </c>
      <c r="AJ501" s="3" t="s">
        <v>130</v>
      </c>
      <c r="AK501" s="3" t="s">
        <v>216</v>
      </c>
      <c r="AL501" s="3" t="s">
        <v>59</v>
      </c>
      <c r="AM501" s="3" t="s">
        <v>115</v>
      </c>
      <c r="AN501" s="3" t="s">
        <v>61</v>
      </c>
      <c r="AO501" s="3" t="s">
        <v>62</v>
      </c>
      <c r="AP501" s="3" t="s">
        <v>69</v>
      </c>
      <c r="AQ501" s="3" t="s">
        <v>61</v>
      </c>
      <c r="AR501" s="3" t="s">
        <v>48</v>
      </c>
    </row>
    <row r="502" spans="1:44" ht="30" customHeight="1">
      <c r="A502" s="3" t="s">
        <v>44</v>
      </c>
      <c r="B502" s="3" t="s">
        <v>45</v>
      </c>
      <c r="C502" s="3" t="s">
        <v>46</v>
      </c>
      <c r="D502" s="3" t="s">
        <v>130</v>
      </c>
      <c r="E502" s="3" t="s">
        <v>48</v>
      </c>
      <c r="F502" s="3" t="s">
        <v>131</v>
      </c>
      <c r="G502" s="3" t="s">
        <v>48</v>
      </c>
      <c r="H502" s="5">
        <f>IF(DATEDIF(L502,S502,"m")&gt;12,DATEDIF(L502,S502,"y"),(DATEDIF(L502,S502,"m")/12))</f>
        <v>8.3333333333333329E-2</v>
      </c>
      <c r="I502" s="7">
        <f>DATEDIF(L502,S502,"M")</f>
        <v>1</v>
      </c>
      <c r="J502" s="7">
        <f>DATEDIF(L502,S502,"D")</f>
        <v>59</v>
      </c>
      <c r="K502" s="3" t="s">
        <v>51</v>
      </c>
      <c r="L502" s="8">
        <v>44911</v>
      </c>
      <c r="M502" s="3" t="s">
        <v>45</v>
      </c>
      <c r="N502" s="3" t="s">
        <v>83</v>
      </c>
      <c r="O502" s="3" t="s">
        <v>52</v>
      </c>
      <c r="P502" s="3" t="s">
        <v>137</v>
      </c>
      <c r="Q502" s="7">
        <v>0</v>
      </c>
      <c r="R502" s="8">
        <v>44977</v>
      </c>
      <c r="S502" s="8">
        <v>44970</v>
      </c>
      <c r="T502" s="3" t="s">
        <v>54</v>
      </c>
      <c r="U502" s="3" t="s">
        <v>55</v>
      </c>
      <c r="V502" s="9"/>
      <c r="W502" s="10">
        <v>44979</v>
      </c>
      <c r="X502" s="7">
        <v>2</v>
      </c>
      <c r="Y502" s="7">
        <v>7</v>
      </c>
      <c r="Z502" s="7">
        <v>2</v>
      </c>
      <c r="AA502" s="7">
        <f>INT((S502-DATE(YEAR(S502-WEEKDAY(S502-0)+4),1,4)+WEEKDAY(DATE(YEAR(S502-WEEKDAY(S502-0)+4),1,4))+6)/7)</f>
        <v>7</v>
      </c>
      <c r="AB502" s="3" t="s">
        <v>1637</v>
      </c>
      <c r="AC502" s="7">
        <v>96</v>
      </c>
      <c r="AD502" s="7">
        <v>0</v>
      </c>
      <c r="AE502" s="7">
        <v>0</v>
      </c>
      <c r="AF502" s="3" t="s">
        <v>48</v>
      </c>
      <c r="AG502" s="7">
        <v>2023</v>
      </c>
      <c r="AH502" s="3" t="s">
        <v>133</v>
      </c>
      <c r="AI502" s="3" t="s">
        <v>106</v>
      </c>
      <c r="AJ502" s="3" t="s">
        <v>130</v>
      </c>
      <c r="AK502" s="3" t="s">
        <v>1289</v>
      </c>
      <c r="AL502" s="3" t="s">
        <v>59</v>
      </c>
      <c r="AM502" s="3" t="s">
        <v>115</v>
      </c>
      <c r="AN502" s="3" t="s">
        <v>61</v>
      </c>
      <c r="AO502" s="3" t="s">
        <v>62</v>
      </c>
      <c r="AP502" s="3" t="s">
        <v>69</v>
      </c>
      <c r="AQ502" s="3" t="s">
        <v>61</v>
      </c>
      <c r="AR502" s="3" t="s">
        <v>48</v>
      </c>
    </row>
    <row r="503" spans="1:44" ht="30" customHeight="1">
      <c r="A503" s="3" t="s">
        <v>44</v>
      </c>
      <c r="B503" s="3" t="s">
        <v>45</v>
      </c>
      <c r="C503" s="3" t="s">
        <v>46</v>
      </c>
      <c r="D503" s="3" t="s">
        <v>130</v>
      </c>
      <c r="E503" s="3" t="s">
        <v>48</v>
      </c>
      <c r="F503" s="3" t="s">
        <v>131</v>
      </c>
      <c r="G503" s="3" t="s">
        <v>48</v>
      </c>
      <c r="H503" s="4">
        <f>IF(DATEDIF(L503,S503,"m")&gt;12,DATEDIF(L503,S503,"y"),(DATEDIF(L503,S503,"m")/12))</f>
        <v>1</v>
      </c>
      <c r="I503" s="7">
        <f>DATEDIF(L503,S503,"M")</f>
        <v>18</v>
      </c>
      <c r="J503" s="7">
        <f>DATEDIF(L503,S503,"D")</f>
        <v>551</v>
      </c>
      <c r="K503" s="3" t="s">
        <v>64</v>
      </c>
      <c r="L503" s="8">
        <v>44420</v>
      </c>
      <c r="M503" s="3" t="s">
        <v>45</v>
      </c>
      <c r="N503" s="3" t="s">
        <v>83</v>
      </c>
      <c r="O503" s="3" t="s">
        <v>52</v>
      </c>
      <c r="P503" s="3" t="s">
        <v>1747</v>
      </c>
      <c r="Q503" s="7">
        <v>0</v>
      </c>
      <c r="R503" s="8">
        <v>44977</v>
      </c>
      <c r="S503" s="8">
        <v>44971</v>
      </c>
      <c r="T503" s="3" t="s">
        <v>54</v>
      </c>
      <c r="U503" s="3" t="s">
        <v>55</v>
      </c>
      <c r="V503" s="9"/>
      <c r="W503" s="10">
        <v>44979</v>
      </c>
      <c r="X503" s="7">
        <v>2</v>
      </c>
      <c r="Y503" s="7">
        <v>6</v>
      </c>
      <c r="Z503" s="7">
        <v>2</v>
      </c>
      <c r="AA503" s="7">
        <f>INT((S503-DATE(YEAR(S503-WEEKDAY(S503-0)+4),1,4)+WEEKDAY(DATE(YEAR(S503-WEEKDAY(S503-0)+4),1,4))+6)/7)</f>
        <v>7</v>
      </c>
      <c r="AB503" s="3" t="s">
        <v>1748</v>
      </c>
      <c r="AC503" s="7">
        <v>93</v>
      </c>
      <c r="AD503" s="7">
        <v>0</v>
      </c>
      <c r="AE503" s="7">
        <v>0</v>
      </c>
      <c r="AF503" s="3" t="s">
        <v>48</v>
      </c>
      <c r="AG503" s="7">
        <v>2023</v>
      </c>
      <c r="AH503" s="3" t="s">
        <v>133</v>
      </c>
      <c r="AI503" s="3" t="s">
        <v>106</v>
      </c>
      <c r="AJ503" s="3" t="s">
        <v>130</v>
      </c>
      <c r="AK503" s="3" t="s">
        <v>1292</v>
      </c>
      <c r="AL503" s="3" t="s">
        <v>59</v>
      </c>
      <c r="AM503" s="3" t="s">
        <v>115</v>
      </c>
      <c r="AN503" s="3" t="s">
        <v>61</v>
      </c>
      <c r="AO503" s="3" t="s">
        <v>62</v>
      </c>
      <c r="AP503" s="3" t="s">
        <v>69</v>
      </c>
      <c r="AQ503" s="3" t="s">
        <v>61</v>
      </c>
      <c r="AR503" s="3" t="s">
        <v>48</v>
      </c>
    </row>
    <row r="504" spans="1:44" ht="30" customHeight="1">
      <c r="A504" s="3" t="s">
        <v>44</v>
      </c>
      <c r="B504" s="3" t="s">
        <v>45</v>
      </c>
      <c r="C504" s="3" t="s">
        <v>46</v>
      </c>
      <c r="D504" s="3" t="s">
        <v>130</v>
      </c>
      <c r="E504" s="3" t="s">
        <v>48</v>
      </c>
      <c r="F504" s="3" t="s">
        <v>131</v>
      </c>
      <c r="G504" s="3" t="s">
        <v>48</v>
      </c>
      <c r="H504" s="4">
        <f>IF(DATEDIF(L504,S504,"m")&gt;12,DATEDIF(L504,S504,"y"),(DATEDIF(L504,S504,"m")/12))</f>
        <v>61</v>
      </c>
      <c r="I504" s="7">
        <f>DATEDIF(L504,S504,"M")</f>
        <v>737</v>
      </c>
      <c r="J504" s="7">
        <f>DATEDIF(L504,S504,"D")</f>
        <v>22454</v>
      </c>
      <c r="K504" s="3" t="s">
        <v>51</v>
      </c>
      <c r="L504" s="8">
        <v>22520</v>
      </c>
      <c r="M504" s="3" t="s">
        <v>45</v>
      </c>
      <c r="N504" s="3" t="s">
        <v>83</v>
      </c>
      <c r="O504" s="3" t="s">
        <v>52</v>
      </c>
      <c r="P504" s="3" t="s">
        <v>137</v>
      </c>
      <c r="Q504" s="7">
        <v>0</v>
      </c>
      <c r="R504" s="8">
        <v>44978</v>
      </c>
      <c r="S504" s="8">
        <v>44974</v>
      </c>
      <c r="T504" s="3" t="s">
        <v>54</v>
      </c>
      <c r="U504" s="3" t="s">
        <v>55</v>
      </c>
      <c r="V504" s="9"/>
      <c r="W504" s="10">
        <v>44979</v>
      </c>
      <c r="X504" s="7">
        <v>1</v>
      </c>
      <c r="Y504" s="7">
        <v>4</v>
      </c>
      <c r="Z504" s="7">
        <v>2</v>
      </c>
      <c r="AA504" s="7">
        <f>INT((S504-DATE(YEAR(S504-WEEKDAY(S504-0)+4),1,4)+WEEKDAY(DATE(YEAR(S504-WEEKDAY(S504-0)+4),1,4))+6)/7)</f>
        <v>7</v>
      </c>
      <c r="AB504" s="3" t="s">
        <v>1800</v>
      </c>
      <c r="AC504" s="7">
        <v>106</v>
      </c>
      <c r="AD504" s="7">
        <v>0</v>
      </c>
      <c r="AE504" s="7">
        <v>0</v>
      </c>
      <c r="AF504" s="3" t="s">
        <v>48</v>
      </c>
      <c r="AG504" s="7">
        <v>2023</v>
      </c>
      <c r="AH504" s="3" t="s">
        <v>133</v>
      </c>
      <c r="AI504" s="3" t="s">
        <v>106</v>
      </c>
      <c r="AJ504" s="3" t="s">
        <v>130</v>
      </c>
      <c r="AK504" s="3" t="s">
        <v>401</v>
      </c>
      <c r="AL504" s="3" t="s">
        <v>59</v>
      </c>
      <c r="AM504" s="3" t="s">
        <v>115</v>
      </c>
      <c r="AN504" s="3" t="s">
        <v>61</v>
      </c>
      <c r="AO504" s="3" t="s">
        <v>62</v>
      </c>
      <c r="AP504" s="3" t="s">
        <v>69</v>
      </c>
      <c r="AQ504" s="3" t="s">
        <v>61</v>
      </c>
      <c r="AR504" s="3" t="s">
        <v>48</v>
      </c>
    </row>
    <row r="505" spans="1:44" ht="30" customHeight="1">
      <c r="A505" s="3" t="s">
        <v>44</v>
      </c>
      <c r="B505" s="3" t="s">
        <v>45</v>
      </c>
      <c r="C505" s="3" t="s">
        <v>46</v>
      </c>
      <c r="D505" s="3" t="s">
        <v>130</v>
      </c>
      <c r="E505" s="3" t="s">
        <v>48</v>
      </c>
      <c r="F505" s="3" t="s">
        <v>131</v>
      </c>
      <c r="G505" s="3" t="s">
        <v>48</v>
      </c>
      <c r="H505" s="4">
        <f>IF(DATEDIF(L505,S505,"m")&gt;12,DATEDIF(L505,S505,"y"),(DATEDIF(L505,S505,"m")/12))</f>
        <v>3</v>
      </c>
      <c r="I505" s="7">
        <f>DATEDIF(L505,S505,"M")</f>
        <v>46</v>
      </c>
      <c r="J505" s="7">
        <f>DATEDIF(L505,S505,"D")</f>
        <v>1432</v>
      </c>
      <c r="K505" s="3" t="s">
        <v>64</v>
      </c>
      <c r="L505" s="8">
        <v>43538</v>
      </c>
      <c r="M505" s="3" t="s">
        <v>45</v>
      </c>
      <c r="N505" s="3" t="s">
        <v>83</v>
      </c>
      <c r="O505" s="3" t="s">
        <v>52</v>
      </c>
      <c r="P505" s="3" t="s">
        <v>74</v>
      </c>
      <c r="Q505" s="7">
        <v>0</v>
      </c>
      <c r="R505" s="8">
        <v>44977</v>
      </c>
      <c r="S505" s="8">
        <v>44970</v>
      </c>
      <c r="T505" s="3" t="s">
        <v>54</v>
      </c>
      <c r="U505" s="3" t="s">
        <v>55</v>
      </c>
      <c r="V505" s="9"/>
      <c r="W505" s="10">
        <v>44979</v>
      </c>
      <c r="X505" s="7">
        <v>2</v>
      </c>
      <c r="Y505" s="7">
        <v>7</v>
      </c>
      <c r="Z505" s="7">
        <v>2</v>
      </c>
      <c r="AA505" s="7">
        <f>INT((S505-DATE(YEAR(S505-WEEKDAY(S505-0)+4),1,4)+WEEKDAY(DATE(YEAR(S505-WEEKDAY(S505-0)+4),1,4))+6)/7)</f>
        <v>7</v>
      </c>
      <c r="AB505" s="3" t="s">
        <v>1880</v>
      </c>
      <c r="AC505" s="7">
        <v>100</v>
      </c>
      <c r="AD505" s="7">
        <v>0</v>
      </c>
      <c r="AE505" s="7">
        <v>0</v>
      </c>
      <c r="AF505" s="3" t="s">
        <v>48</v>
      </c>
      <c r="AG505" s="7">
        <v>2023</v>
      </c>
      <c r="AH505" s="3" t="s">
        <v>133</v>
      </c>
      <c r="AI505" s="3" t="s">
        <v>106</v>
      </c>
      <c r="AJ505" s="3" t="s">
        <v>130</v>
      </c>
      <c r="AK505" s="3" t="s">
        <v>1055</v>
      </c>
      <c r="AL505" s="3" t="s">
        <v>59</v>
      </c>
      <c r="AM505" s="3" t="s">
        <v>115</v>
      </c>
      <c r="AN505" s="3" t="s">
        <v>61</v>
      </c>
      <c r="AO505" s="3" t="s">
        <v>62</v>
      </c>
      <c r="AP505" s="3" t="s">
        <v>69</v>
      </c>
      <c r="AQ505" s="3" t="s">
        <v>61</v>
      </c>
      <c r="AR505" s="3" t="s">
        <v>48</v>
      </c>
    </row>
    <row r="506" spans="1:44" ht="30" customHeight="1">
      <c r="A506" s="3" t="s">
        <v>44</v>
      </c>
      <c r="B506" s="3" t="s">
        <v>45</v>
      </c>
      <c r="C506" s="3" t="s">
        <v>46</v>
      </c>
      <c r="D506" s="3" t="s">
        <v>130</v>
      </c>
      <c r="E506" s="3" t="s">
        <v>48</v>
      </c>
      <c r="F506" s="3" t="s">
        <v>131</v>
      </c>
      <c r="G506" s="3" t="s">
        <v>48</v>
      </c>
      <c r="H506" s="4">
        <f>IF(DATEDIF(L506,S506,"m")&gt;12,DATEDIF(L506,S506,"y"),(DATEDIF(L506,S506,"m")/12))</f>
        <v>3</v>
      </c>
      <c r="I506" s="7">
        <f>DATEDIF(L506,S506,"M")</f>
        <v>47</v>
      </c>
      <c r="J506" s="7">
        <f>DATEDIF(L506,S506,"D")</f>
        <v>1458</v>
      </c>
      <c r="K506" s="3" t="s">
        <v>51</v>
      </c>
      <c r="L506" s="8">
        <v>43512</v>
      </c>
      <c r="M506" s="3" t="s">
        <v>45</v>
      </c>
      <c r="N506" s="3" t="s">
        <v>83</v>
      </c>
      <c r="O506" s="3" t="s">
        <v>52</v>
      </c>
      <c r="P506" s="3" t="s">
        <v>74</v>
      </c>
      <c r="Q506" s="7">
        <v>0</v>
      </c>
      <c r="R506" s="8">
        <v>44977</v>
      </c>
      <c r="S506" s="8">
        <v>44970</v>
      </c>
      <c r="T506" s="3" t="s">
        <v>54</v>
      </c>
      <c r="U506" s="3" t="s">
        <v>55</v>
      </c>
      <c r="V506" s="9"/>
      <c r="W506" s="10">
        <v>44979</v>
      </c>
      <c r="X506" s="7">
        <v>2</v>
      </c>
      <c r="Y506" s="7">
        <v>7</v>
      </c>
      <c r="Z506" s="7">
        <v>2</v>
      </c>
      <c r="AA506" s="7">
        <f>INT((S506-DATE(YEAR(S506-WEEKDAY(S506-0)+4),1,4)+WEEKDAY(DATE(YEAR(S506-WEEKDAY(S506-0)+4),1,4))+6)/7)</f>
        <v>7</v>
      </c>
      <c r="AB506" s="3" t="s">
        <v>1881</v>
      </c>
      <c r="AC506" s="7">
        <v>99</v>
      </c>
      <c r="AD506" s="7">
        <v>0</v>
      </c>
      <c r="AE506" s="7">
        <v>0</v>
      </c>
      <c r="AF506" s="3" t="s">
        <v>48</v>
      </c>
      <c r="AG506" s="7">
        <v>2023</v>
      </c>
      <c r="AH506" s="3" t="s">
        <v>133</v>
      </c>
      <c r="AI506" s="3" t="s">
        <v>106</v>
      </c>
      <c r="AJ506" s="3" t="s">
        <v>130</v>
      </c>
      <c r="AK506" s="3" t="s">
        <v>1055</v>
      </c>
      <c r="AL506" s="3" t="s">
        <v>59</v>
      </c>
      <c r="AM506" s="3" t="s">
        <v>115</v>
      </c>
      <c r="AN506" s="3" t="s">
        <v>61</v>
      </c>
      <c r="AO506" s="3" t="s">
        <v>62</v>
      </c>
      <c r="AP506" s="3" t="s">
        <v>69</v>
      </c>
      <c r="AQ506" s="3" t="s">
        <v>61</v>
      </c>
      <c r="AR506" s="3" t="s">
        <v>48</v>
      </c>
    </row>
    <row r="507" spans="1:44" ht="30" customHeight="1">
      <c r="A507" s="3" t="s">
        <v>44</v>
      </c>
      <c r="B507" s="3" t="s">
        <v>45</v>
      </c>
      <c r="C507" s="3" t="s">
        <v>46</v>
      </c>
      <c r="D507" s="3" t="s">
        <v>47</v>
      </c>
      <c r="E507" s="3" t="s">
        <v>48</v>
      </c>
      <c r="F507" s="3" t="s">
        <v>49</v>
      </c>
      <c r="G507" s="3" t="s">
        <v>2009</v>
      </c>
      <c r="H507" s="4">
        <f>IF(DATEDIF(L507,S507,"m")&gt;12,DATEDIF(L507,S507,"y"),(DATEDIF(L507,S507,"m")/12))</f>
        <v>3</v>
      </c>
      <c r="I507" s="7">
        <f>DATEDIF(L507,S507,"M")</f>
        <v>44</v>
      </c>
      <c r="J507" s="7">
        <f>DATEDIF(L507,S507,"D")</f>
        <v>1368</v>
      </c>
      <c r="K507" s="3" t="s">
        <v>51</v>
      </c>
      <c r="L507" s="8">
        <v>43606</v>
      </c>
      <c r="M507" s="3" t="s">
        <v>45</v>
      </c>
      <c r="N507" s="3" t="s">
        <v>49</v>
      </c>
      <c r="O507" s="3" t="s">
        <v>52</v>
      </c>
      <c r="P507" s="3" t="s">
        <v>156</v>
      </c>
      <c r="Q507" s="7">
        <v>0</v>
      </c>
      <c r="R507" s="8">
        <v>44978</v>
      </c>
      <c r="S507" s="8">
        <v>44974</v>
      </c>
      <c r="T507" s="3" t="s">
        <v>54</v>
      </c>
      <c r="U507" s="3" t="s">
        <v>55</v>
      </c>
      <c r="V507" s="9"/>
      <c r="W507" s="10">
        <v>44979</v>
      </c>
      <c r="X507" s="7">
        <v>1</v>
      </c>
      <c r="Y507" s="7">
        <v>4</v>
      </c>
      <c r="Z507" s="7">
        <v>2</v>
      </c>
      <c r="AA507" s="7">
        <f>INT((S507-DATE(YEAR(S507-WEEKDAY(S507-0)+4),1,4)+WEEKDAY(DATE(YEAR(S507-WEEKDAY(S507-0)+4),1,4))+6)/7)</f>
        <v>7</v>
      </c>
      <c r="AB507" s="3" t="s">
        <v>2010</v>
      </c>
      <c r="AC507" s="7">
        <v>71</v>
      </c>
      <c r="AD507" s="7">
        <v>0</v>
      </c>
      <c r="AE507" s="7">
        <v>0</v>
      </c>
      <c r="AF507" s="3" t="s">
        <v>48</v>
      </c>
      <c r="AG507" s="7">
        <v>2023</v>
      </c>
      <c r="AH507" s="3" t="s">
        <v>57</v>
      </c>
      <c r="AI507" s="3" t="s">
        <v>48</v>
      </c>
      <c r="AJ507" s="3" t="s">
        <v>48</v>
      </c>
      <c r="AK507" s="3" t="s">
        <v>362</v>
      </c>
      <c r="AL507" s="3" t="s">
        <v>59</v>
      </c>
      <c r="AM507" s="3" t="s">
        <v>60</v>
      </c>
      <c r="AN507" s="3" t="s">
        <v>61</v>
      </c>
      <c r="AO507" s="3" t="s">
        <v>62</v>
      </c>
      <c r="AP507" s="3" t="s">
        <v>69</v>
      </c>
      <c r="AQ507" s="3" t="s">
        <v>61</v>
      </c>
      <c r="AR507" s="3" t="s">
        <v>48</v>
      </c>
    </row>
    <row r="508" spans="1:44" ht="30" customHeight="1">
      <c r="A508" s="3" t="s">
        <v>44</v>
      </c>
      <c r="B508" s="3" t="s">
        <v>45</v>
      </c>
      <c r="C508" s="3" t="s">
        <v>46</v>
      </c>
      <c r="D508" s="3" t="s">
        <v>130</v>
      </c>
      <c r="E508" s="3" t="s">
        <v>48</v>
      </c>
      <c r="F508" s="3" t="s">
        <v>131</v>
      </c>
      <c r="G508" s="3" t="s">
        <v>48</v>
      </c>
      <c r="H508" s="4">
        <f>IF(DATEDIF(L508,S508,"m")&gt;12,DATEDIF(L508,S508,"y"),(DATEDIF(L508,S508,"m")/12))</f>
        <v>27</v>
      </c>
      <c r="I508" s="7">
        <f>DATEDIF(L508,S508,"M")</f>
        <v>332</v>
      </c>
      <c r="J508" s="7">
        <f>DATEDIF(L508,S508,"D")</f>
        <v>10124</v>
      </c>
      <c r="K508" s="3" t="s">
        <v>51</v>
      </c>
      <c r="L508" s="8">
        <v>34848</v>
      </c>
      <c r="M508" s="3" t="s">
        <v>45</v>
      </c>
      <c r="N508" s="3" t="s">
        <v>83</v>
      </c>
      <c r="O508" s="3" t="s">
        <v>52</v>
      </c>
      <c r="P508" s="3" t="s">
        <v>1747</v>
      </c>
      <c r="Q508" s="7">
        <v>0</v>
      </c>
      <c r="R508" s="8">
        <v>44977</v>
      </c>
      <c r="S508" s="8">
        <v>44972</v>
      </c>
      <c r="T508" s="3" t="s">
        <v>54</v>
      </c>
      <c r="U508" s="3" t="s">
        <v>55</v>
      </c>
      <c r="V508" s="9"/>
      <c r="W508" s="10">
        <v>44979</v>
      </c>
      <c r="X508" s="7">
        <v>2</v>
      </c>
      <c r="Y508" s="7">
        <v>5</v>
      </c>
      <c r="Z508" s="7">
        <v>2</v>
      </c>
      <c r="AA508" s="7">
        <f>INT((S508-DATE(YEAR(S508-WEEKDAY(S508-0)+4),1,4)+WEEKDAY(DATE(YEAR(S508-WEEKDAY(S508-0)+4),1,4))+6)/7)</f>
        <v>7</v>
      </c>
      <c r="AB508" s="3" t="s">
        <v>2058</v>
      </c>
      <c r="AC508" s="7">
        <v>92</v>
      </c>
      <c r="AD508" s="7">
        <v>0</v>
      </c>
      <c r="AE508" s="7">
        <v>0</v>
      </c>
      <c r="AF508" s="3" t="s">
        <v>48</v>
      </c>
      <c r="AG508" s="7">
        <v>2023</v>
      </c>
      <c r="AH508" s="3" t="s">
        <v>133</v>
      </c>
      <c r="AI508" s="3" t="s">
        <v>106</v>
      </c>
      <c r="AJ508" s="3" t="s">
        <v>130</v>
      </c>
      <c r="AK508" s="3" t="s">
        <v>1292</v>
      </c>
      <c r="AL508" s="3" t="s">
        <v>59</v>
      </c>
      <c r="AM508" s="3" t="s">
        <v>115</v>
      </c>
      <c r="AN508" s="3" t="s">
        <v>61</v>
      </c>
      <c r="AO508" s="3" t="s">
        <v>62</v>
      </c>
      <c r="AP508" s="3" t="s">
        <v>69</v>
      </c>
      <c r="AQ508" s="3" t="s">
        <v>61</v>
      </c>
      <c r="AR508" s="3" t="s">
        <v>48</v>
      </c>
    </row>
    <row r="509" spans="1:44" ht="30" customHeight="1">
      <c r="A509" s="3" t="s">
        <v>44</v>
      </c>
      <c r="B509" s="3" t="s">
        <v>45</v>
      </c>
      <c r="C509" s="3" t="s">
        <v>46</v>
      </c>
      <c r="D509" s="3" t="s">
        <v>130</v>
      </c>
      <c r="E509" s="3" t="s">
        <v>48</v>
      </c>
      <c r="F509" s="3" t="s">
        <v>131</v>
      </c>
      <c r="G509" s="3" t="s">
        <v>48</v>
      </c>
      <c r="H509" s="5">
        <f>IF(DATEDIF(L509,S509,"m")&gt;12,DATEDIF(L509,S509,"y"),(DATEDIF(L509,S509,"m")/12))</f>
        <v>8.3333333333333329E-2</v>
      </c>
      <c r="I509" s="7">
        <f>DATEDIF(L509,S509,"M")</f>
        <v>1</v>
      </c>
      <c r="J509" s="7">
        <f>DATEDIF(L509,S509,"D")</f>
        <v>61</v>
      </c>
      <c r="K509" s="3" t="s">
        <v>64</v>
      </c>
      <c r="L509" s="8">
        <v>44911</v>
      </c>
      <c r="M509" s="3" t="s">
        <v>45</v>
      </c>
      <c r="N509" s="3" t="s">
        <v>83</v>
      </c>
      <c r="O509" s="3" t="s">
        <v>52</v>
      </c>
      <c r="P509" s="3" t="s">
        <v>84</v>
      </c>
      <c r="Q509" s="7">
        <v>0</v>
      </c>
      <c r="R509" s="8">
        <v>44977</v>
      </c>
      <c r="S509" s="8">
        <v>44972</v>
      </c>
      <c r="T509" s="3" t="s">
        <v>54</v>
      </c>
      <c r="U509" s="3" t="s">
        <v>55</v>
      </c>
      <c r="V509" s="9"/>
      <c r="W509" s="10">
        <v>44979</v>
      </c>
      <c r="X509" s="7">
        <v>2</v>
      </c>
      <c r="Y509" s="7">
        <v>5</v>
      </c>
      <c r="Z509" s="7">
        <v>2</v>
      </c>
      <c r="AA509" s="7">
        <f>INT((S509-DATE(YEAR(S509-WEEKDAY(S509-0)+4),1,4)+WEEKDAY(DATE(YEAR(S509-WEEKDAY(S509-0)+4),1,4))+6)/7)</f>
        <v>7</v>
      </c>
      <c r="AB509" s="3" t="s">
        <v>2166</v>
      </c>
      <c r="AC509" s="7">
        <v>91</v>
      </c>
      <c r="AD509" s="7">
        <v>0</v>
      </c>
      <c r="AE509" s="7">
        <v>0</v>
      </c>
      <c r="AF509" s="3" t="s">
        <v>48</v>
      </c>
      <c r="AG509" s="7">
        <v>2023</v>
      </c>
      <c r="AH509" s="3" t="s">
        <v>133</v>
      </c>
      <c r="AI509" s="3" t="s">
        <v>106</v>
      </c>
      <c r="AJ509" s="3" t="s">
        <v>130</v>
      </c>
      <c r="AK509" s="3" t="s">
        <v>178</v>
      </c>
      <c r="AL509" s="3" t="s">
        <v>59</v>
      </c>
      <c r="AM509" s="3" t="s">
        <v>115</v>
      </c>
      <c r="AN509" s="3" t="s">
        <v>61</v>
      </c>
      <c r="AO509" s="3" t="s">
        <v>62</v>
      </c>
      <c r="AP509" s="3" t="s">
        <v>69</v>
      </c>
      <c r="AQ509" s="3" t="s">
        <v>61</v>
      </c>
      <c r="AR509" s="3" t="s">
        <v>48</v>
      </c>
    </row>
    <row r="510" spans="1:44" ht="30" customHeight="1">
      <c r="A510" s="3" t="s">
        <v>44</v>
      </c>
      <c r="B510" s="3" t="s">
        <v>45</v>
      </c>
      <c r="C510" s="3" t="s">
        <v>46</v>
      </c>
      <c r="D510" s="3" t="s">
        <v>130</v>
      </c>
      <c r="E510" s="3" t="s">
        <v>48</v>
      </c>
      <c r="F510" s="3" t="s">
        <v>131</v>
      </c>
      <c r="G510" s="3" t="s">
        <v>48</v>
      </c>
      <c r="H510" s="4">
        <f>IF(DATEDIF(L510,S510,"m")&gt;12,DATEDIF(L510,S510,"y"),(DATEDIF(L510,S510,"m")/12))</f>
        <v>77</v>
      </c>
      <c r="I510" s="7">
        <f>DATEDIF(L510,S510,"M")</f>
        <v>931</v>
      </c>
      <c r="J510" s="7">
        <f>DATEDIF(L510,S510,"D")</f>
        <v>28362</v>
      </c>
      <c r="K510" s="3" t="s">
        <v>51</v>
      </c>
      <c r="L510" s="8">
        <v>16612</v>
      </c>
      <c r="M510" s="3" t="s">
        <v>45</v>
      </c>
      <c r="N510" s="3" t="s">
        <v>83</v>
      </c>
      <c r="O510" s="3" t="s">
        <v>52</v>
      </c>
      <c r="P510" s="3" t="s">
        <v>84</v>
      </c>
      <c r="Q510" s="7">
        <v>0</v>
      </c>
      <c r="R510" s="8">
        <v>44978</v>
      </c>
      <c r="S510" s="8">
        <v>44974</v>
      </c>
      <c r="T510" s="3" t="s">
        <v>54</v>
      </c>
      <c r="U510" s="3" t="s">
        <v>55</v>
      </c>
      <c r="V510" s="9"/>
      <c r="W510" s="10">
        <v>44979</v>
      </c>
      <c r="X510" s="7">
        <v>1</v>
      </c>
      <c r="Y510" s="7">
        <v>4</v>
      </c>
      <c r="Z510" s="7">
        <v>2</v>
      </c>
      <c r="AA510" s="7">
        <f>INT((S510-DATE(YEAR(S510-WEEKDAY(S510-0)+4),1,4)+WEEKDAY(DATE(YEAR(S510-WEEKDAY(S510-0)+4),1,4))+6)/7)</f>
        <v>7</v>
      </c>
      <c r="AB510" s="3" t="s">
        <v>2209</v>
      </c>
      <c r="AC510" s="7">
        <v>107</v>
      </c>
      <c r="AD510" s="7">
        <v>0</v>
      </c>
      <c r="AE510" s="7">
        <v>0</v>
      </c>
      <c r="AF510" s="3" t="s">
        <v>48</v>
      </c>
      <c r="AG510" s="7">
        <v>2023</v>
      </c>
      <c r="AH510" s="3" t="s">
        <v>133</v>
      </c>
      <c r="AI510" s="3" t="s">
        <v>106</v>
      </c>
      <c r="AJ510" s="3" t="s">
        <v>48</v>
      </c>
      <c r="AK510" s="3" t="s">
        <v>2210</v>
      </c>
      <c r="AL510" s="3" t="s">
        <v>59</v>
      </c>
      <c r="AM510" s="3" t="s">
        <v>115</v>
      </c>
      <c r="AN510" s="3" t="s">
        <v>61</v>
      </c>
      <c r="AO510" s="3" t="s">
        <v>62</v>
      </c>
      <c r="AP510" s="3" t="s">
        <v>69</v>
      </c>
      <c r="AQ510" s="3" t="s">
        <v>61</v>
      </c>
      <c r="AR510" s="3" t="s">
        <v>48</v>
      </c>
    </row>
    <row r="511" spans="1:44" ht="30" customHeight="1">
      <c r="A511" s="3" t="s">
        <v>44</v>
      </c>
      <c r="B511" s="3" t="s">
        <v>45</v>
      </c>
      <c r="C511" s="3" t="s">
        <v>46</v>
      </c>
      <c r="D511" s="3" t="s">
        <v>130</v>
      </c>
      <c r="E511" s="3" t="s">
        <v>48</v>
      </c>
      <c r="F511" s="3" t="s">
        <v>131</v>
      </c>
      <c r="G511" s="3" t="s">
        <v>48</v>
      </c>
      <c r="H511" s="4">
        <f>IF(DATEDIF(L511,S511,"m")&gt;12,DATEDIF(L511,S511,"y"),(DATEDIF(L511,S511,"m")/12))</f>
        <v>2</v>
      </c>
      <c r="I511" s="7">
        <f>DATEDIF(L511,S511,"M")</f>
        <v>32</v>
      </c>
      <c r="J511" s="7">
        <f>DATEDIF(L511,S511,"D")</f>
        <v>999</v>
      </c>
      <c r="K511" s="3" t="s">
        <v>51</v>
      </c>
      <c r="L511" s="8">
        <v>43964</v>
      </c>
      <c r="M511" s="3" t="s">
        <v>45</v>
      </c>
      <c r="N511" s="3" t="s">
        <v>83</v>
      </c>
      <c r="O511" s="3" t="s">
        <v>52</v>
      </c>
      <c r="P511" s="3" t="s">
        <v>298</v>
      </c>
      <c r="Q511" s="7">
        <v>0</v>
      </c>
      <c r="R511" s="8">
        <v>44977</v>
      </c>
      <c r="S511" s="8">
        <v>44963</v>
      </c>
      <c r="T511" s="3" t="s">
        <v>54</v>
      </c>
      <c r="U511" s="3" t="s">
        <v>55</v>
      </c>
      <c r="V511" s="9"/>
      <c r="W511" s="10">
        <v>44979</v>
      </c>
      <c r="X511" s="7">
        <v>2</v>
      </c>
      <c r="Y511" s="7">
        <v>14</v>
      </c>
      <c r="Z511" s="7">
        <v>2</v>
      </c>
      <c r="AA511" s="7">
        <f>INT((S511-DATE(YEAR(S511-WEEKDAY(S511-0)+4),1,4)+WEEKDAY(DATE(YEAR(S511-WEEKDAY(S511-0)+4),1,4))+6)/7)</f>
        <v>6</v>
      </c>
      <c r="AB511" s="3" t="s">
        <v>2263</v>
      </c>
      <c r="AC511" s="7">
        <v>98</v>
      </c>
      <c r="AD511" s="7">
        <v>0</v>
      </c>
      <c r="AE511" s="7">
        <v>0</v>
      </c>
      <c r="AF511" s="3" t="s">
        <v>48</v>
      </c>
      <c r="AG511" s="7">
        <v>2023</v>
      </c>
      <c r="AH511" s="3" t="s">
        <v>133</v>
      </c>
      <c r="AI511" s="3" t="s">
        <v>106</v>
      </c>
      <c r="AJ511" s="3" t="s">
        <v>130</v>
      </c>
      <c r="AK511" s="3" t="s">
        <v>401</v>
      </c>
      <c r="AL511" s="3" t="s">
        <v>59</v>
      </c>
      <c r="AM511" s="3" t="s">
        <v>115</v>
      </c>
      <c r="AN511" s="3" t="s">
        <v>61</v>
      </c>
      <c r="AO511" s="3" t="s">
        <v>62</v>
      </c>
      <c r="AP511" s="3" t="s">
        <v>69</v>
      </c>
      <c r="AQ511" s="3" t="s">
        <v>61</v>
      </c>
      <c r="AR511" s="3" t="s">
        <v>48</v>
      </c>
    </row>
    <row r="512" spans="1:44" ht="30" customHeight="1">
      <c r="A512" s="3" t="s">
        <v>44</v>
      </c>
      <c r="B512" s="3" t="s">
        <v>45</v>
      </c>
      <c r="C512" s="3" t="s">
        <v>46</v>
      </c>
      <c r="D512" s="3" t="s">
        <v>130</v>
      </c>
      <c r="E512" s="3" t="s">
        <v>48</v>
      </c>
      <c r="F512" s="3" t="s">
        <v>131</v>
      </c>
      <c r="G512" s="3" t="s">
        <v>48</v>
      </c>
      <c r="H512" s="4">
        <f>IF(DATEDIF(L512,S512,"m")&gt;12,DATEDIF(L512,S512,"y"),(DATEDIF(L512,S512,"m")/12))</f>
        <v>56</v>
      </c>
      <c r="I512" s="7">
        <f>DATEDIF(L512,S512,"M")</f>
        <v>675</v>
      </c>
      <c r="J512" s="7">
        <f>DATEDIF(L512,S512,"D")</f>
        <v>20560</v>
      </c>
      <c r="K512" s="3" t="s">
        <v>64</v>
      </c>
      <c r="L512" s="8">
        <v>24414</v>
      </c>
      <c r="M512" s="3" t="s">
        <v>45</v>
      </c>
      <c r="N512" s="3" t="s">
        <v>83</v>
      </c>
      <c r="O512" s="3" t="s">
        <v>52</v>
      </c>
      <c r="P512" s="3" t="s">
        <v>91</v>
      </c>
      <c r="Q512" s="7">
        <v>0</v>
      </c>
      <c r="R512" s="8">
        <v>44977</v>
      </c>
      <c r="S512" s="8">
        <v>44974</v>
      </c>
      <c r="T512" s="3" t="s">
        <v>54</v>
      </c>
      <c r="U512" s="3" t="s">
        <v>55</v>
      </c>
      <c r="V512" s="9"/>
      <c r="W512" s="10">
        <v>44979</v>
      </c>
      <c r="X512" s="7">
        <v>2</v>
      </c>
      <c r="Y512" s="7">
        <v>3</v>
      </c>
      <c r="Z512" s="7">
        <v>2</v>
      </c>
      <c r="AA512" s="7">
        <f>INT((S512-DATE(YEAR(S512-WEEKDAY(S512-0)+4),1,4)+WEEKDAY(DATE(YEAR(S512-WEEKDAY(S512-0)+4),1,4))+6)/7)</f>
        <v>7</v>
      </c>
      <c r="AB512" s="3" t="s">
        <v>2304</v>
      </c>
      <c r="AC512" s="7">
        <v>102</v>
      </c>
      <c r="AD512" s="7">
        <v>0</v>
      </c>
      <c r="AE512" s="7">
        <v>0</v>
      </c>
      <c r="AF512" s="3" t="s">
        <v>48</v>
      </c>
      <c r="AG512" s="7">
        <v>2023</v>
      </c>
      <c r="AH512" s="3" t="s">
        <v>133</v>
      </c>
      <c r="AI512" s="3" t="s">
        <v>106</v>
      </c>
      <c r="AJ512" s="3" t="s">
        <v>130</v>
      </c>
      <c r="AK512" s="3" t="s">
        <v>524</v>
      </c>
      <c r="AL512" s="3" t="s">
        <v>59</v>
      </c>
      <c r="AM512" s="3" t="s">
        <v>115</v>
      </c>
      <c r="AN512" s="3" t="s">
        <v>61</v>
      </c>
      <c r="AO512" s="3" t="s">
        <v>62</v>
      </c>
      <c r="AP512" s="3" t="s">
        <v>69</v>
      </c>
      <c r="AQ512" s="3" t="s">
        <v>61</v>
      </c>
      <c r="AR512" s="3" t="s">
        <v>48</v>
      </c>
    </row>
    <row r="513" spans="1:44" ht="30" customHeight="1">
      <c r="A513" s="3" t="s">
        <v>44</v>
      </c>
      <c r="B513" s="3" t="s">
        <v>45</v>
      </c>
      <c r="C513" s="3" t="s">
        <v>46</v>
      </c>
      <c r="D513" s="3" t="s">
        <v>130</v>
      </c>
      <c r="E513" s="3" t="s">
        <v>48</v>
      </c>
      <c r="F513" s="3" t="s">
        <v>131</v>
      </c>
      <c r="G513" s="3" t="s">
        <v>48</v>
      </c>
      <c r="H513" s="4">
        <f>IF(DATEDIF(L513,S513,"m")&gt;12,DATEDIF(L513,S513,"y"),(DATEDIF(L513,S513,"m")/12))</f>
        <v>4</v>
      </c>
      <c r="I513" s="7">
        <f>DATEDIF(L513,S513,"M")</f>
        <v>55</v>
      </c>
      <c r="J513" s="7">
        <f>DATEDIF(L513,S513,"D")</f>
        <v>1699</v>
      </c>
      <c r="K513" s="3" t="s">
        <v>51</v>
      </c>
      <c r="L513" s="8">
        <v>43277</v>
      </c>
      <c r="M513" s="3" t="s">
        <v>45</v>
      </c>
      <c r="N513" s="3" t="s">
        <v>83</v>
      </c>
      <c r="O513" s="3" t="s">
        <v>52</v>
      </c>
      <c r="P513" s="3" t="s">
        <v>298</v>
      </c>
      <c r="Q513" s="7">
        <v>0</v>
      </c>
      <c r="R513" s="8">
        <v>44978</v>
      </c>
      <c r="S513" s="8">
        <v>44976</v>
      </c>
      <c r="T513" s="3" t="s">
        <v>54</v>
      </c>
      <c r="U513" s="3" t="s">
        <v>55</v>
      </c>
      <c r="V513" s="9"/>
      <c r="W513" s="10">
        <v>44979</v>
      </c>
      <c r="X513" s="7">
        <v>1</v>
      </c>
      <c r="Y513" s="7">
        <v>2</v>
      </c>
      <c r="Z513" s="7">
        <v>2</v>
      </c>
      <c r="AA513" s="7">
        <f>INT((S513-DATE(YEAR(S513-WEEKDAY(S513-0)+4),1,4)+WEEKDAY(DATE(YEAR(S513-WEEKDAY(S513-0)+4),1,4))+6)/7)</f>
        <v>8</v>
      </c>
      <c r="AB513" s="3" t="s">
        <v>2333</v>
      </c>
      <c r="AC513" s="7">
        <v>110</v>
      </c>
      <c r="AD513" s="7">
        <v>0</v>
      </c>
      <c r="AE513" s="7">
        <v>0</v>
      </c>
      <c r="AF513" s="3" t="s">
        <v>48</v>
      </c>
      <c r="AG513" s="7">
        <v>2023</v>
      </c>
      <c r="AH513" s="3" t="s">
        <v>133</v>
      </c>
      <c r="AI513" s="3" t="s">
        <v>106</v>
      </c>
      <c r="AJ513" s="3" t="s">
        <v>130</v>
      </c>
      <c r="AK513" s="3" t="s">
        <v>524</v>
      </c>
      <c r="AL513" s="3" t="s">
        <v>59</v>
      </c>
      <c r="AM513" s="3" t="s">
        <v>115</v>
      </c>
      <c r="AN513" s="3" t="s">
        <v>61</v>
      </c>
      <c r="AO513" s="3" t="s">
        <v>62</v>
      </c>
      <c r="AP513" s="3" t="s">
        <v>69</v>
      </c>
      <c r="AQ513" s="3" t="s">
        <v>61</v>
      </c>
      <c r="AR513" s="3" t="s">
        <v>48</v>
      </c>
    </row>
    <row r="514" spans="1:44" ht="30" customHeight="1">
      <c r="A514" s="3" t="s">
        <v>44</v>
      </c>
      <c r="B514" s="3" t="s">
        <v>45</v>
      </c>
      <c r="C514" s="3" t="s">
        <v>46</v>
      </c>
      <c r="D514" s="3" t="s">
        <v>130</v>
      </c>
      <c r="E514" s="3" t="s">
        <v>48</v>
      </c>
      <c r="F514" s="3" t="s">
        <v>131</v>
      </c>
      <c r="G514" s="3" t="s">
        <v>48</v>
      </c>
      <c r="H514" s="4">
        <f>IF(DATEDIF(L514,S514,"m")&gt;12,DATEDIF(L514,S514,"y"),(DATEDIF(L514,S514,"m")/12))</f>
        <v>8</v>
      </c>
      <c r="I514" s="7">
        <f>DATEDIF(L514,S514,"M")</f>
        <v>100</v>
      </c>
      <c r="J514" s="7">
        <f>DATEDIF(L514,S514,"D")</f>
        <v>3058</v>
      </c>
      <c r="K514" s="3" t="s">
        <v>51</v>
      </c>
      <c r="L514" s="8">
        <v>41917</v>
      </c>
      <c r="M514" s="3" t="s">
        <v>45</v>
      </c>
      <c r="N514" s="3" t="s">
        <v>83</v>
      </c>
      <c r="O514" s="3" t="s">
        <v>52</v>
      </c>
      <c r="P514" s="3" t="s">
        <v>298</v>
      </c>
      <c r="Q514" s="7">
        <v>0</v>
      </c>
      <c r="R514" s="8">
        <v>44978</v>
      </c>
      <c r="S514" s="8">
        <v>44975</v>
      </c>
      <c r="T514" s="3" t="s">
        <v>54</v>
      </c>
      <c r="U514" s="3" t="s">
        <v>55</v>
      </c>
      <c r="V514" s="9"/>
      <c r="W514" s="10">
        <v>44979</v>
      </c>
      <c r="X514" s="7">
        <v>1</v>
      </c>
      <c r="Y514" s="7">
        <v>3</v>
      </c>
      <c r="Z514" s="7">
        <v>2</v>
      </c>
      <c r="AA514" s="7">
        <f>INT((S514-DATE(YEAR(S514-WEEKDAY(S514-0)+4),1,4)+WEEKDAY(DATE(YEAR(S514-WEEKDAY(S514-0)+4),1,4))+6)/7)</f>
        <v>7</v>
      </c>
      <c r="AB514" s="3" t="s">
        <v>2334</v>
      </c>
      <c r="AC514" s="7">
        <v>109</v>
      </c>
      <c r="AD514" s="7">
        <v>0</v>
      </c>
      <c r="AE514" s="7">
        <v>0</v>
      </c>
      <c r="AF514" s="3" t="s">
        <v>48</v>
      </c>
      <c r="AG514" s="7">
        <v>2023</v>
      </c>
      <c r="AH514" s="3" t="s">
        <v>133</v>
      </c>
      <c r="AI514" s="3" t="s">
        <v>106</v>
      </c>
      <c r="AJ514" s="3" t="s">
        <v>130</v>
      </c>
      <c r="AK514" s="3" t="s">
        <v>524</v>
      </c>
      <c r="AL514" s="3" t="s">
        <v>59</v>
      </c>
      <c r="AM514" s="3" t="s">
        <v>115</v>
      </c>
      <c r="AN514" s="3" t="s">
        <v>61</v>
      </c>
      <c r="AO514" s="3" t="s">
        <v>62</v>
      </c>
      <c r="AP514" s="3" t="s">
        <v>69</v>
      </c>
      <c r="AQ514" s="3" t="s">
        <v>61</v>
      </c>
      <c r="AR514" s="3" t="s">
        <v>48</v>
      </c>
    </row>
    <row r="515" spans="1:44" ht="30" customHeight="1">
      <c r="A515" s="3" t="s">
        <v>44</v>
      </c>
      <c r="B515" s="3" t="s">
        <v>45</v>
      </c>
      <c r="C515" s="3" t="s">
        <v>46</v>
      </c>
      <c r="D515" s="3" t="s">
        <v>130</v>
      </c>
      <c r="E515" s="3" t="s">
        <v>48</v>
      </c>
      <c r="F515" s="3" t="s">
        <v>131</v>
      </c>
      <c r="G515" s="3" t="s">
        <v>48</v>
      </c>
      <c r="H515" s="5">
        <f>IF(DATEDIF(L515,S515,"m")&gt;12,DATEDIF(L515,S515,"y"),(DATEDIF(L515,S515,"m")/12))</f>
        <v>8.3333333333333329E-2</v>
      </c>
      <c r="I515" s="7">
        <f>DATEDIF(L515,S515,"M")</f>
        <v>1</v>
      </c>
      <c r="J515" s="7">
        <f>DATEDIF(L515,S515,"D")</f>
        <v>51</v>
      </c>
      <c r="K515" s="3" t="s">
        <v>51</v>
      </c>
      <c r="L515" s="8">
        <v>44926</v>
      </c>
      <c r="M515" s="3" t="s">
        <v>45</v>
      </c>
      <c r="N515" s="3" t="s">
        <v>83</v>
      </c>
      <c r="O515" s="3" t="s">
        <v>52</v>
      </c>
      <c r="P515" s="3" t="s">
        <v>712</v>
      </c>
      <c r="Q515" s="7">
        <v>0</v>
      </c>
      <c r="R515" s="8">
        <v>44978</v>
      </c>
      <c r="S515" s="8">
        <v>44977</v>
      </c>
      <c r="T515" s="3" t="s">
        <v>54</v>
      </c>
      <c r="U515" s="3" t="s">
        <v>55</v>
      </c>
      <c r="V515" s="9"/>
      <c r="W515" s="10">
        <v>44979</v>
      </c>
      <c r="X515" s="7">
        <v>1</v>
      </c>
      <c r="Y515" s="7">
        <v>1</v>
      </c>
      <c r="Z515" s="7">
        <v>2</v>
      </c>
      <c r="AA515" s="7">
        <f>INT((S515-DATE(YEAR(S515-WEEKDAY(S515-0)+4),1,4)+WEEKDAY(DATE(YEAR(S515-WEEKDAY(S515-0)+4),1,4))+6)/7)</f>
        <v>8</v>
      </c>
      <c r="AB515" s="3" t="s">
        <v>2793</v>
      </c>
      <c r="AC515" s="7">
        <v>112</v>
      </c>
      <c r="AD515" s="7">
        <v>0</v>
      </c>
      <c r="AE515" s="7">
        <v>0</v>
      </c>
      <c r="AF515" s="3" t="s">
        <v>48</v>
      </c>
      <c r="AG515" s="7">
        <v>2023</v>
      </c>
      <c r="AH515" s="3" t="s">
        <v>133</v>
      </c>
      <c r="AI515" s="3" t="s">
        <v>106</v>
      </c>
      <c r="AJ515" s="3" t="s">
        <v>130</v>
      </c>
      <c r="AK515" s="12" t="s">
        <v>140</v>
      </c>
      <c r="AL515" s="3" t="s">
        <v>59</v>
      </c>
      <c r="AM515" s="3" t="s">
        <v>115</v>
      </c>
      <c r="AN515" s="3" t="s">
        <v>61</v>
      </c>
      <c r="AO515" s="3" t="s">
        <v>62</v>
      </c>
      <c r="AP515" s="3" t="s">
        <v>69</v>
      </c>
      <c r="AQ515" s="3" t="s">
        <v>61</v>
      </c>
      <c r="AR515" s="3" t="s">
        <v>48</v>
      </c>
    </row>
    <row r="516" spans="1:44" ht="30" customHeight="1">
      <c r="A516" s="3" t="s">
        <v>44</v>
      </c>
      <c r="B516" s="3" t="s">
        <v>45</v>
      </c>
      <c r="C516" s="3" t="s">
        <v>80</v>
      </c>
      <c r="D516" s="3" t="s">
        <v>81</v>
      </c>
      <c r="E516" s="3" t="s">
        <v>48</v>
      </c>
      <c r="F516" s="3" t="s">
        <v>81</v>
      </c>
      <c r="G516" s="3" t="s">
        <v>402</v>
      </c>
      <c r="H516" s="4">
        <f>IF(DATEDIF(L516,S516,"m")&gt;12,DATEDIF(L516,S516,"y"),(DATEDIF(L516,S516,"m")/12))</f>
        <v>74</v>
      </c>
      <c r="I516" s="7">
        <f>DATEDIF(L516,S516,"M")</f>
        <v>891</v>
      </c>
      <c r="J516" s="7">
        <f>DATEDIF(L516,S516,"D")</f>
        <v>27123</v>
      </c>
      <c r="K516" s="3" t="s">
        <v>51</v>
      </c>
      <c r="L516" s="8">
        <v>17846</v>
      </c>
      <c r="M516" s="3" t="s">
        <v>45</v>
      </c>
      <c r="N516" s="3" t="s">
        <v>65</v>
      </c>
      <c r="O516" s="3" t="s">
        <v>52</v>
      </c>
      <c r="P516" s="3" t="s">
        <v>137</v>
      </c>
      <c r="Q516" s="7">
        <v>1</v>
      </c>
      <c r="R516" s="8">
        <v>44976</v>
      </c>
      <c r="S516" s="8">
        <v>44969</v>
      </c>
      <c r="T516" s="3" t="s">
        <v>54</v>
      </c>
      <c r="U516" s="3" t="s">
        <v>55</v>
      </c>
      <c r="V516" s="9"/>
      <c r="W516" s="10">
        <v>44980</v>
      </c>
      <c r="X516" s="7">
        <v>4</v>
      </c>
      <c r="Y516" s="7">
        <v>7</v>
      </c>
      <c r="Z516" s="7">
        <v>2</v>
      </c>
      <c r="AA516" s="7">
        <f>INT((S516-DATE(YEAR(S516-WEEKDAY(S516-0)+4),1,4)+WEEKDAY(DATE(YEAR(S516-WEEKDAY(S516-0)+4),1,4))+6)/7)</f>
        <v>7</v>
      </c>
      <c r="AB516" s="3" t="s">
        <v>403</v>
      </c>
      <c r="AC516" s="7">
        <v>13998</v>
      </c>
      <c r="AD516" s="7">
        <v>0</v>
      </c>
      <c r="AE516" s="7">
        <v>0</v>
      </c>
      <c r="AF516" s="3" t="s">
        <v>48</v>
      </c>
      <c r="AG516" s="7">
        <v>2023</v>
      </c>
      <c r="AH516" s="3" t="s">
        <v>86</v>
      </c>
      <c r="AI516" s="3" t="s">
        <v>48</v>
      </c>
      <c r="AJ516" s="3" t="s">
        <v>48</v>
      </c>
      <c r="AK516" s="3" t="s">
        <v>404</v>
      </c>
      <c r="AL516" s="3" t="s">
        <v>59</v>
      </c>
      <c r="AM516" s="3" t="s">
        <v>60</v>
      </c>
      <c r="AN516" s="3" t="s">
        <v>69</v>
      </c>
      <c r="AO516" s="3" t="s">
        <v>62</v>
      </c>
      <c r="AP516" s="3" t="s">
        <v>69</v>
      </c>
      <c r="AQ516" s="3" t="s">
        <v>61</v>
      </c>
      <c r="AR516" s="3" t="s">
        <v>48</v>
      </c>
    </row>
    <row r="517" spans="1:44" ht="30" customHeight="1">
      <c r="A517" s="3" t="s">
        <v>44</v>
      </c>
      <c r="B517" s="3" t="s">
        <v>45</v>
      </c>
      <c r="C517" s="3" t="s">
        <v>80</v>
      </c>
      <c r="D517" s="3" t="s">
        <v>81</v>
      </c>
      <c r="E517" s="3" t="s">
        <v>48</v>
      </c>
      <c r="F517" s="3" t="s">
        <v>81</v>
      </c>
      <c r="G517" s="3" t="s">
        <v>552</v>
      </c>
      <c r="H517" s="5">
        <f>IF(DATEDIF(L517,S517,"m")&gt;12,DATEDIF(L517,S517,"y"),(DATEDIF(L517,S517,"m")/12))</f>
        <v>8.3333333333333329E-2</v>
      </c>
      <c r="I517" s="7">
        <f>DATEDIF(L517,S517,"M")</f>
        <v>1</v>
      </c>
      <c r="J517" s="7">
        <f>DATEDIF(L517,S517,"D")</f>
        <v>35</v>
      </c>
      <c r="K517" s="3" t="s">
        <v>64</v>
      </c>
      <c r="L517" s="8">
        <v>44936</v>
      </c>
      <c r="M517" s="3" t="s">
        <v>45</v>
      </c>
      <c r="N517" s="3" t="s">
        <v>90</v>
      </c>
      <c r="O517" s="3" t="s">
        <v>52</v>
      </c>
      <c r="P517" s="3" t="s">
        <v>103</v>
      </c>
      <c r="Q517" s="7">
        <v>1</v>
      </c>
      <c r="R517" s="8">
        <v>44974</v>
      </c>
      <c r="S517" s="8">
        <v>44971</v>
      </c>
      <c r="T517" s="3" t="s">
        <v>54</v>
      </c>
      <c r="U517" s="3" t="s">
        <v>55</v>
      </c>
      <c r="V517" s="9"/>
      <c r="W517" s="10">
        <v>44980</v>
      </c>
      <c r="X517" s="7">
        <v>6</v>
      </c>
      <c r="Y517" s="7">
        <v>3</v>
      </c>
      <c r="Z517" s="7">
        <v>2</v>
      </c>
      <c r="AA517" s="7">
        <f>INT((S517-DATE(YEAR(S517-WEEKDAY(S517-0)+4),1,4)+WEEKDAY(DATE(YEAR(S517-WEEKDAY(S517-0)+4),1,4))+6)/7)</f>
        <v>7</v>
      </c>
      <c r="AB517" s="3" t="s">
        <v>553</v>
      </c>
      <c r="AC517" s="7">
        <v>13971</v>
      </c>
      <c r="AD517" s="7">
        <v>0</v>
      </c>
      <c r="AE517" s="7">
        <v>0</v>
      </c>
      <c r="AF517" s="3" t="s">
        <v>48</v>
      </c>
      <c r="AG517" s="7">
        <v>2023</v>
      </c>
      <c r="AH517" s="3" t="s">
        <v>86</v>
      </c>
      <c r="AI517" s="3" t="s">
        <v>48</v>
      </c>
      <c r="AJ517" s="3" t="s">
        <v>48</v>
      </c>
      <c r="AK517" s="3" t="s">
        <v>554</v>
      </c>
      <c r="AL517" s="3" t="s">
        <v>59</v>
      </c>
      <c r="AM517" s="3" t="s">
        <v>60</v>
      </c>
      <c r="AN517" s="3" t="s">
        <v>61</v>
      </c>
      <c r="AO517" s="3" t="s">
        <v>62</v>
      </c>
      <c r="AP517" s="3" t="s">
        <v>69</v>
      </c>
      <c r="AQ517" s="3" t="s">
        <v>61</v>
      </c>
      <c r="AR517" s="3" t="s">
        <v>48</v>
      </c>
    </row>
    <row r="518" spans="1:44" ht="30" customHeight="1">
      <c r="A518" s="3" t="s">
        <v>44</v>
      </c>
      <c r="B518" s="3" t="s">
        <v>45</v>
      </c>
      <c r="C518" s="3" t="s">
        <v>80</v>
      </c>
      <c r="D518" s="3" t="s">
        <v>81</v>
      </c>
      <c r="E518" s="3" t="s">
        <v>48</v>
      </c>
      <c r="F518" s="3" t="s">
        <v>81</v>
      </c>
      <c r="G518" s="3" t="s">
        <v>999</v>
      </c>
      <c r="H518" s="4">
        <f>IF(DATEDIF(L518,S518,"m")&gt;12,DATEDIF(L518,S518,"y"),(DATEDIF(L518,S518,"m")/12))</f>
        <v>29</v>
      </c>
      <c r="I518" s="7">
        <f>DATEDIF(L518,S518,"M")</f>
        <v>353</v>
      </c>
      <c r="J518" s="7">
        <f>DATEDIF(L518,S518,"D")</f>
        <v>10753</v>
      </c>
      <c r="K518" s="3" t="s">
        <v>51</v>
      </c>
      <c r="L518" s="8">
        <v>34219</v>
      </c>
      <c r="M518" s="3" t="s">
        <v>45</v>
      </c>
      <c r="N518" s="3" t="s">
        <v>329</v>
      </c>
      <c r="O518" s="3" t="s">
        <v>52</v>
      </c>
      <c r="P518" s="3" t="s">
        <v>84</v>
      </c>
      <c r="Q518" s="7">
        <v>1</v>
      </c>
      <c r="R518" s="8">
        <v>44972</v>
      </c>
      <c r="S518" s="8">
        <v>44972</v>
      </c>
      <c r="T518" s="3" t="s">
        <v>54</v>
      </c>
      <c r="U518" s="3" t="s">
        <v>55</v>
      </c>
      <c r="V518" s="9"/>
      <c r="W518" s="10">
        <v>44980</v>
      </c>
      <c r="X518" s="7">
        <v>8</v>
      </c>
      <c r="Y518" s="7">
        <v>0</v>
      </c>
      <c r="Z518" s="7">
        <v>2</v>
      </c>
      <c r="AA518" s="7">
        <f>INT((S518-DATE(YEAR(S518-WEEKDAY(S518-0)+4),1,4)+WEEKDAY(DATE(YEAR(S518-WEEKDAY(S518-0)+4),1,4))+6)/7)</f>
        <v>7</v>
      </c>
      <c r="AB518" s="3" t="s">
        <v>1000</v>
      </c>
      <c r="AC518" s="7">
        <v>13992</v>
      </c>
      <c r="AD518" s="7">
        <v>0</v>
      </c>
      <c r="AE518" s="7">
        <v>0</v>
      </c>
      <c r="AF518" s="3" t="s">
        <v>48</v>
      </c>
      <c r="AG518" s="7">
        <v>2023</v>
      </c>
      <c r="AH518" s="3" t="s">
        <v>86</v>
      </c>
      <c r="AI518" s="3" t="s">
        <v>48</v>
      </c>
      <c r="AJ518" s="3" t="s">
        <v>48</v>
      </c>
      <c r="AK518" s="3" t="s">
        <v>1001</v>
      </c>
      <c r="AL518" s="3" t="s">
        <v>59</v>
      </c>
      <c r="AM518" s="3" t="s">
        <v>60</v>
      </c>
      <c r="AN518" s="3" t="s">
        <v>69</v>
      </c>
      <c r="AO518" s="3" t="s">
        <v>62</v>
      </c>
      <c r="AP518" s="3" t="s">
        <v>69</v>
      </c>
      <c r="AQ518" s="3" t="s">
        <v>61</v>
      </c>
      <c r="AR518" s="3" t="s">
        <v>48</v>
      </c>
    </row>
    <row r="519" spans="1:44" ht="30" customHeight="1">
      <c r="A519" s="3" t="s">
        <v>44</v>
      </c>
      <c r="B519" s="3" t="s">
        <v>45</v>
      </c>
      <c r="C519" s="3" t="s">
        <v>80</v>
      </c>
      <c r="D519" s="3" t="s">
        <v>81</v>
      </c>
      <c r="E519" s="3" t="s">
        <v>48</v>
      </c>
      <c r="F519" s="3" t="s">
        <v>81</v>
      </c>
      <c r="G519" s="3" t="s">
        <v>1173</v>
      </c>
      <c r="H519" s="4">
        <f>IF(DATEDIF(L519,S519,"m")&gt;12,DATEDIF(L519,S519,"y"),(DATEDIF(L519,S519,"m")/12))</f>
        <v>1</v>
      </c>
      <c r="I519" s="7">
        <f>DATEDIF(L519,S519,"M")</f>
        <v>15</v>
      </c>
      <c r="J519" s="7">
        <f>DATEDIF(L519,S519,"D")</f>
        <v>481</v>
      </c>
      <c r="K519" s="3" t="s">
        <v>64</v>
      </c>
      <c r="L519" s="8">
        <v>44490</v>
      </c>
      <c r="M519" s="3" t="s">
        <v>45</v>
      </c>
      <c r="N519" s="3" t="s">
        <v>90</v>
      </c>
      <c r="O519" s="3" t="s">
        <v>52</v>
      </c>
      <c r="P519" s="3" t="s">
        <v>91</v>
      </c>
      <c r="Q519" s="7">
        <v>1</v>
      </c>
      <c r="R519" s="8">
        <v>44974</v>
      </c>
      <c r="S519" s="8">
        <v>44971</v>
      </c>
      <c r="T519" s="3" t="s">
        <v>54</v>
      </c>
      <c r="U519" s="3" t="s">
        <v>55</v>
      </c>
      <c r="V519" s="9"/>
      <c r="W519" s="10">
        <v>44980</v>
      </c>
      <c r="X519" s="7">
        <v>6</v>
      </c>
      <c r="Y519" s="7">
        <v>3</v>
      </c>
      <c r="Z519" s="7">
        <v>2</v>
      </c>
      <c r="AA519" s="7">
        <f>INT((S519-DATE(YEAR(S519-WEEKDAY(S519-0)+4),1,4)+WEEKDAY(DATE(YEAR(S519-WEEKDAY(S519-0)+4),1,4))+6)/7)</f>
        <v>7</v>
      </c>
      <c r="AB519" s="3" t="s">
        <v>1174</v>
      </c>
      <c r="AC519" s="7">
        <v>13996</v>
      </c>
      <c r="AD519" s="7">
        <v>0</v>
      </c>
      <c r="AE519" s="7">
        <v>0</v>
      </c>
      <c r="AF519" s="3" t="s">
        <v>48</v>
      </c>
      <c r="AG519" s="7">
        <v>2023</v>
      </c>
      <c r="AH519" s="3" t="s">
        <v>86</v>
      </c>
      <c r="AI519" s="3" t="s">
        <v>48</v>
      </c>
      <c r="AJ519" s="3" t="s">
        <v>48</v>
      </c>
      <c r="AK519" s="18" t="s">
        <v>554</v>
      </c>
      <c r="AL519" s="3" t="s">
        <v>59</v>
      </c>
      <c r="AM519" s="3" t="s">
        <v>60</v>
      </c>
      <c r="AN519" s="3" t="s">
        <v>69</v>
      </c>
      <c r="AO519" s="3" t="s">
        <v>62</v>
      </c>
      <c r="AP519" s="3" t="s">
        <v>69</v>
      </c>
      <c r="AQ519" s="3" t="s">
        <v>61</v>
      </c>
      <c r="AR519" s="3" t="s">
        <v>48</v>
      </c>
    </row>
    <row r="520" spans="1:44" ht="30" customHeight="1">
      <c r="A520" s="3" t="s">
        <v>44</v>
      </c>
      <c r="B520" s="3" t="s">
        <v>45</v>
      </c>
      <c r="C520" s="3" t="s">
        <v>80</v>
      </c>
      <c r="D520" s="3" t="s">
        <v>81</v>
      </c>
      <c r="E520" s="3" t="s">
        <v>48</v>
      </c>
      <c r="F520" s="3" t="s">
        <v>81</v>
      </c>
      <c r="G520" s="3" t="s">
        <v>1310</v>
      </c>
      <c r="H520" s="4">
        <f>IF(DATEDIF(L520,S520,"m")&gt;12,DATEDIF(L520,S520,"y"),(DATEDIF(L520,S520,"m")/12))</f>
        <v>29</v>
      </c>
      <c r="I520" s="7">
        <f>DATEDIF(L520,S520,"M")</f>
        <v>359</v>
      </c>
      <c r="J520" s="7">
        <f>DATEDIF(L520,S520,"D")</f>
        <v>10956</v>
      </c>
      <c r="K520" s="3" t="s">
        <v>64</v>
      </c>
      <c r="L520" s="8">
        <v>34015</v>
      </c>
      <c r="M520" s="3" t="s">
        <v>45</v>
      </c>
      <c r="N520" s="3" t="s">
        <v>49</v>
      </c>
      <c r="O520" s="3" t="s">
        <v>52</v>
      </c>
      <c r="P520" s="3" t="s">
        <v>1311</v>
      </c>
      <c r="Q520" s="7">
        <v>1</v>
      </c>
      <c r="R520" s="8">
        <v>44971</v>
      </c>
      <c r="S520" s="8">
        <v>44971</v>
      </c>
      <c r="T520" s="3" t="s">
        <v>54</v>
      </c>
      <c r="U520" s="3" t="s">
        <v>55</v>
      </c>
      <c r="V520" s="9"/>
      <c r="W520" s="10">
        <v>44980</v>
      </c>
      <c r="X520" s="7">
        <v>9</v>
      </c>
      <c r="Y520" s="7">
        <v>0</v>
      </c>
      <c r="Z520" s="7">
        <v>2</v>
      </c>
      <c r="AA520" s="7">
        <f>INT((S520-DATE(YEAR(S520-WEEKDAY(S520-0)+4),1,4)+WEEKDAY(DATE(YEAR(S520-WEEKDAY(S520-0)+4),1,4))+6)/7)</f>
        <v>7</v>
      </c>
      <c r="AB520" s="3" t="s">
        <v>1312</v>
      </c>
      <c r="AC520" s="7">
        <v>13981</v>
      </c>
      <c r="AD520" s="7">
        <v>0</v>
      </c>
      <c r="AE520" s="7">
        <v>0</v>
      </c>
      <c r="AF520" s="3" t="s">
        <v>48</v>
      </c>
      <c r="AG520" s="7">
        <v>2023</v>
      </c>
      <c r="AH520" s="3" t="s">
        <v>86</v>
      </c>
      <c r="AI520" s="3" t="s">
        <v>48</v>
      </c>
      <c r="AJ520" s="3" t="s">
        <v>48</v>
      </c>
      <c r="AK520" s="18" t="s">
        <v>58</v>
      </c>
      <c r="AL520" s="3" t="s">
        <v>59</v>
      </c>
      <c r="AM520" s="3" t="s">
        <v>60</v>
      </c>
      <c r="AN520" s="3" t="s">
        <v>69</v>
      </c>
      <c r="AO520" s="3" t="s">
        <v>62</v>
      </c>
      <c r="AP520" s="3" t="s">
        <v>69</v>
      </c>
      <c r="AQ520" s="3" t="s">
        <v>61</v>
      </c>
      <c r="AR520" s="3" t="s">
        <v>48</v>
      </c>
    </row>
    <row r="521" spans="1:44" ht="30" customHeight="1">
      <c r="A521" s="3" t="s">
        <v>44</v>
      </c>
      <c r="B521" s="3" t="s">
        <v>45</v>
      </c>
      <c r="C521" s="3" t="s">
        <v>80</v>
      </c>
      <c r="D521" s="3" t="s">
        <v>81</v>
      </c>
      <c r="E521" s="3" t="s">
        <v>48</v>
      </c>
      <c r="F521" s="3" t="s">
        <v>81</v>
      </c>
      <c r="G521" s="3" t="s">
        <v>1603</v>
      </c>
      <c r="H521" s="4">
        <f>IF(DATEDIF(L521,S521,"m")&gt;12,DATEDIF(L521,S521,"y"),(DATEDIF(L521,S521,"m")/12))</f>
        <v>51</v>
      </c>
      <c r="I521" s="7">
        <f>DATEDIF(L521,S521,"M")</f>
        <v>618</v>
      </c>
      <c r="J521" s="7">
        <f>DATEDIF(L521,S521,"D")</f>
        <v>18816</v>
      </c>
      <c r="K521" s="3" t="s">
        <v>51</v>
      </c>
      <c r="L521" s="8">
        <v>26151</v>
      </c>
      <c r="M521" s="3" t="s">
        <v>45</v>
      </c>
      <c r="N521" s="3" t="s">
        <v>83</v>
      </c>
      <c r="O521" s="3" t="s">
        <v>52</v>
      </c>
      <c r="P521" s="3" t="s">
        <v>169</v>
      </c>
      <c r="Q521" s="7">
        <v>1</v>
      </c>
      <c r="R521" s="8">
        <v>44970</v>
      </c>
      <c r="S521" s="8">
        <v>44967</v>
      </c>
      <c r="T521" s="3" t="s">
        <v>54</v>
      </c>
      <c r="U521" s="3" t="s">
        <v>55</v>
      </c>
      <c r="V521" s="9"/>
      <c r="W521" s="10">
        <v>44980</v>
      </c>
      <c r="X521" s="7">
        <v>10</v>
      </c>
      <c r="Y521" s="7">
        <v>3</v>
      </c>
      <c r="Z521" s="7">
        <v>2</v>
      </c>
      <c r="AA521" s="7">
        <f>INT((S521-DATE(YEAR(S521-WEEKDAY(S521-0)+4),1,4)+WEEKDAY(DATE(YEAR(S521-WEEKDAY(S521-0)+4),1,4))+6)/7)</f>
        <v>6</v>
      </c>
      <c r="AB521" s="3" t="s">
        <v>1604</v>
      </c>
      <c r="AC521" s="7">
        <v>13980</v>
      </c>
      <c r="AD521" s="7">
        <v>0</v>
      </c>
      <c r="AE521" s="7">
        <v>0</v>
      </c>
      <c r="AF521" s="3" t="s">
        <v>48</v>
      </c>
      <c r="AG521" s="7">
        <v>2023</v>
      </c>
      <c r="AH521" s="3" t="s">
        <v>86</v>
      </c>
      <c r="AI521" s="3" t="s">
        <v>48</v>
      </c>
      <c r="AJ521" s="3" t="s">
        <v>48</v>
      </c>
      <c r="AK521" s="12" t="s">
        <v>140</v>
      </c>
      <c r="AL521" s="3" t="s">
        <v>59</v>
      </c>
      <c r="AM521" s="3" t="s">
        <v>60</v>
      </c>
      <c r="AN521" s="3" t="s">
        <v>69</v>
      </c>
      <c r="AO521" s="3" t="s">
        <v>62</v>
      </c>
      <c r="AP521" s="3" t="s">
        <v>69</v>
      </c>
      <c r="AQ521" s="3" t="s">
        <v>61</v>
      </c>
      <c r="AR521" s="3" t="s">
        <v>48</v>
      </c>
    </row>
    <row r="522" spans="1:44" ht="30" customHeight="1">
      <c r="A522" s="3" t="s">
        <v>44</v>
      </c>
      <c r="B522" s="3" t="s">
        <v>45</v>
      </c>
      <c r="C522" s="3" t="s">
        <v>80</v>
      </c>
      <c r="D522" s="3" t="s">
        <v>81</v>
      </c>
      <c r="E522" s="3" t="s">
        <v>48</v>
      </c>
      <c r="F522" s="3" t="s">
        <v>81</v>
      </c>
      <c r="G522" s="3" t="s">
        <v>1767</v>
      </c>
      <c r="H522" s="4">
        <f>IF(DATEDIF(L522,S522,"m")&gt;12,DATEDIF(L522,S522,"y"),(DATEDIF(L522,S522,"m")/12))</f>
        <v>13</v>
      </c>
      <c r="I522" s="7">
        <f>DATEDIF(L522,S522,"M")</f>
        <v>165</v>
      </c>
      <c r="J522" s="7">
        <f>DATEDIF(L522,S522,"D")</f>
        <v>5034</v>
      </c>
      <c r="K522" s="3" t="s">
        <v>64</v>
      </c>
      <c r="L522" s="8">
        <v>39938</v>
      </c>
      <c r="M522" s="3" t="s">
        <v>45</v>
      </c>
      <c r="N522" s="3" t="s">
        <v>65</v>
      </c>
      <c r="O522" s="3" t="s">
        <v>52</v>
      </c>
      <c r="P522" s="3" t="s">
        <v>389</v>
      </c>
      <c r="Q522" s="7">
        <v>1</v>
      </c>
      <c r="R522" s="8">
        <v>44973</v>
      </c>
      <c r="S522" s="8">
        <v>44972</v>
      </c>
      <c r="T522" s="3" t="s">
        <v>54</v>
      </c>
      <c r="U522" s="3" t="s">
        <v>55</v>
      </c>
      <c r="V522" s="9"/>
      <c r="W522" s="10">
        <v>44980</v>
      </c>
      <c r="X522" s="7">
        <v>7</v>
      </c>
      <c r="Y522" s="7">
        <v>1</v>
      </c>
      <c r="Z522" s="7">
        <v>2</v>
      </c>
      <c r="AA522" s="7">
        <f>INT((S522-DATE(YEAR(S522-WEEKDAY(S522-0)+4),1,4)+WEEKDAY(DATE(YEAR(S522-WEEKDAY(S522-0)+4),1,4))+6)/7)</f>
        <v>7</v>
      </c>
      <c r="AB522" s="3" t="s">
        <v>1768</v>
      </c>
      <c r="AC522" s="7">
        <v>13995</v>
      </c>
      <c r="AD522" s="7">
        <v>0</v>
      </c>
      <c r="AE522" s="7">
        <v>0</v>
      </c>
      <c r="AF522" s="3" t="s">
        <v>48</v>
      </c>
      <c r="AG522" s="7">
        <v>2023</v>
      </c>
      <c r="AH522" s="3" t="s">
        <v>86</v>
      </c>
      <c r="AI522" s="3" t="s">
        <v>48</v>
      </c>
      <c r="AJ522" s="3" t="s">
        <v>48</v>
      </c>
      <c r="AK522" s="18" t="s">
        <v>68</v>
      </c>
      <c r="AL522" s="3" t="s">
        <v>59</v>
      </c>
      <c r="AM522" s="3" t="s">
        <v>60</v>
      </c>
      <c r="AN522" s="3" t="s">
        <v>69</v>
      </c>
      <c r="AO522" s="3" t="s">
        <v>62</v>
      </c>
      <c r="AP522" s="3" t="s">
        <v>69</v>
      </c>
      <c r="AQ522" s="3" t="s">
        <v>61</v>
      </c>
      <c r="AR522" s="3" t="s">
        <v>48</v>
      </c>
    </row>
    <row r="523" spans="1:44" ht="30" customHeight="1">
      <c r="A523" s="3" t="s">
        <v>44</v>
      </c>
      <c r="B523" s="3" t="s">
        <v>45</v>
      </c>
      <c r="C523" s="3" t="s">
        <v>80</v>
      </c>
      <c r="D523" s="3" t="s">
        <v>81</v>
      </c>
      <c r="E523" s="3" t="s">
        <v>48</v>
      </c>
      <c r="F523" s="3" t="s">
        <v>81</v>
      </c>
      <c r="G523" s="3" t="s">
        <v>2029</v>
      </c>
      <c r="H523" s="4">
        <f>IF(DATEDIF(L523,S523,"m")&gt;12,DATEDIF(L523,S523,"y"),(DATEDIF(L523,S523,"m")/12))</f>
        <v>3</v>
      </c>
      <c r="I523" s="7">
        <f>DATEDIF(L523,S523,"M")</f>
        <v>43</v>
      </c>
      <c r="J523" s="7">
        <f>DATEDIF(L523,S523,"D")</f>
        <v>1335</v>
      </c>
      <c r="K523" s="3" t="s">
        <v>64</v>
      </c>
      <c r="L523" s="8">
        <v>43630</v>
      </c>
      <c r="M523" s="3" t="s">
        <v>45</v>
      </c>
      <c r="N523" s="3" t="s">
        <v>65</v>
      </c>
      <c r="O523" s="3" t="s">
        <v>52</v>
      </c>
      <c r="P523" s="3" t="s">
        <v>137</v>
      </c>
      <c r="Q523" s="7">
        <v>1</v>
      </c>
      <c r="R523" s="8">
        <v>44972</v>
      </c>
      <c r="S523" s="8">
        <v>44965</v>
      </c>
      <c r="T523" s="3" t="s">
        <v>54</v>
      </c>
      <c r="U523" s="3" t="s">
        <v>55</v>
      </c>
      <c r="V523" s="9"/>
      <c r="W523" s="10">
        <v>44980</v>
      </c>
      <c r="X523" s="7">
        <v>8</v>
      </c>
      <c r="Y523" s="7">
        <v>7</v>
      </c>
      <c r="Z523" s="7">
        <v>2</v>
      </c>
      <c r="AA523" s="7">
        <f>INT((S523-DATE(YEAR(S523-WEEKDAY(S523-0)+4),1,4)+WEEKDAY(DATE(YEAR(S523-WEEKDAY(S523-0)+4),1,4))+6)/7)</f>
        <v>6</v>
      </c>
      <c r="AB523" s="3" t="s">
        <v>2030</v>
      </c>
      <c r="AC523" s="7">
        <v>13974</v>
      </c>
      <c r="AD523" s="7">
        <v>0</v>
      </c>
      <c r="AE523" s="7">
        <v>0</v>
      </c>
      <c r="AF523" s="3" t="s">
        <v>48</v>
      </c>
      <c r="AG523" s="7">
        <v>2023</v>
      </c>
      <c r="AH523" s="3" t="s">
        <v>86</v>
      </c>
      <c r="AI523" s="3" t="s">
        <v>48</v>
      </c>
      <c r="AJ523" s="3" t="s">
        <v>48</v>
      </c>
      <c r="AK523" s="18" t="s">
        <v>249</v>
      </c>
      <c r="AL523" s="3" t="s">
        <v>59</v>
      </c>
      <c r="AM523" s="3" t="s">
        <v>60</v>
      </c>
      <c r="AN523" s="3" t="s">
        <v>61</v>
      </c>
      <c r="AO523" s="3" t="s">
        <v>62</v>
      </c>
      <c r="AP523" s="3" t="s">
        <v>69</v>
      </c>
      <c r="AQ523" s="3" t="s">
        <v>61</v>
      </c>
      <c r="AR523" s="3" t="s">
        <v>48</v>
      </c>
    </row>
    <row r="524" spans="1:44" ht="30" customHeight="1">
      <c r="A524" s="3" t="s">
        <v>44</v>
      </c>
      <c r="B524" s="3" t="s">
        <v>45</v>
      </c>
      <c r="C524" s="3" t="s">
        <v>46</v>
      </c>
      <c r="D524" s="3" t="s">
        <v>100</v>
      </c>
      <c r="E524" s="3" t="s">
        <v>48</v>
      </c>
      <c r="F524" s="3" t="s">
        <v>101</v>
      </c>
      <c r="G524" s="3" t="s">
        <v>48</v>
      </c>
      <c r="H524" s="4">
        <f>IF(DATEDIF(L524,S524,"m")&gt;12,DATEDIF(L524,S524,"y"),(DATEDIF(L524,S524,"m")/12))</f>
        <v>9</v>
      </c>
      <c r="I524" s="7">
        <f>DATEDIF(L524,S524,"M")</f>
        <v>112</v>
      </c>
      <c r="J524" s="7">
        <f>DATEDIF(L524,S524,"D")</f>
        <v>3430</v>
      </c>
      <c r="K524" s="3" t="s">
        <v>64</v>
      </c>
      <c r="L524" s="8">
        <v>41537</v>
      </c>
      <c r="M524" s="3" t="s">
        <v>45</v>
      </c>
      <c r="N524" s="3" t="s">
        <v>65</v>
      </c>
      <c r="O524" s="3" t="s">
        <v>52</v>
      </c>
      <c r="P524" s="3" t="s">
        <v>137</v>
      </c>
      <c r="Q524" s="7">
        <v>0</v>
      </c>
      <c r="R524" s="8">
        <v>44981</v>
      </c>
      <c r="S524" s="8">
        <v>44967</v>
      </c>
      <c r="T524" s="3" t="s">
        <v>54</v>
      </c>
      <c r="U524" s="3" t="s">
        <v>55</v>
      </c>
      <c r="V524" s="9"/>
      <c r="W524" s="10">
        <v>44981</v>
      </c>
      <c r="X524" s="7">
        <v>0</v>
      </c>
      <c r="Y524" s="7">
        <v>14</v>
      </c>
      <c r="Z524" s="7">
        <v>2</v>
      </c>
      <c r="AA524" s="7">
        <f>INT((S524-DATE(YEAR(S524-WEEKDAY(S524-0)+4),1,4)+WEEKDAY(DATE(YEAR(S524-WEEKDAY(S524-0)+4),1,4))+6)/7)</f>
        <v>6</v>
      </c>
      <c r="AB524" s="3" t="s">
        <v>1180</v>
      </c>
      <c r="AC524" s="7">
        <v>60</v>
      </c>
      <c r="AD524" s="7">
        <v>0</v>
      </c>
      <c r="AE524" s="7">
        <v>0</v>
      </c>
      <c r="AF524" s="3" t="s">
        <v>48</v>
      </c>
      <c r="AG524" s="7">
        <v>2023</v>
      </c>
      <c r="AH524" s="3" t="s">
        <v>105</v>
      </c>
      <c r="AI524" s="3" t="s">
        <v>191</v>
      </c>
      <c r="AJ524" s="3" t="s">
        <v>48</v>
      </c>
      <c r="AK524" s="18" t="s">
        <v>903</v>
      </c>
      <c r="AL524" s="3" t="s">
        <v>59</v>
      </c>
      <c r="AM524" s="3" t="s">
        <v>99</v>
      </c>
      <c r="AN524" s="3" t="s">
        <v>61</v>
      </c>
      <c r="AO524" s="3" t="s">
        <v>62</v>
      </c>
      <c r="AP524" s="3" t="s">
        <v>69</v>
      </c>
      <c r="AQ524" s="3" t="s">
        <v>61</v>
      </c>
      <c r="AR524" s="3" t="s">
        <v>48</v>
      </c>
    </row>
    <row r="525" spans="1:44" ht="30" customHeight="1">
      <c r="A525" s="3" t="s">
        <v>44</v>
      </c>
      <c r="B525" s="3" t="s">
        <v>45</v>
      </c>
      <c r="C525" s="3" t="s">
        <v>46</v>
      </c>
      <c r="D525" s="3" t="s">
        <v>100</v>
      </c>
      <c r="E525" s="3" t="s">
        <v>48</v>
      </c>
      <c r="F525" s="3" t="s">
        <v>101</v>
      </c>
      <c r="G525" s="3" t="s">
        <v>1769</v>
      </c>
      <c r="H525" s="4">
        <f>IF(DATEDIF(L525,S525,"m")&gt;12,DATEDIF(L525,S525,"y"),(DATEDIF(L525,S525,"m")/12))</f>
        <v>7</v>
      </c>
      <c r="I525" s="7">
        <f>DATEDIF(L525,S525,"M")</f>
        <v>90</v>
      </c>
      <c r="J525" s="7">
        <f>DATEDIF(L525,S525,"D")</f>
        <v>2760</v>
      </c>
      <c r="K525" s="3" t="s">
        <v>64</v>
      </c>
      <c r="L525" s="8">
        <v>42216</v>
      </c>
      <c r="M525" s="3" t="s">
        <v>45</v>
      </c>
      <c r="N525" s="3" t="s">
        <v>101</v>
      </c>
      <c r="O525" s="3" t="s">
        <v>52</v>
      </c>
      <c r="P525" s="3" t="s">
        <v>432</v>
      </c>
      <c r="Q525" s="7">
        <v>0</v>
      </c>
      <c r="R525" s="8">
        <v>44979</v>
      </c>
      <c r="S525" s="8">
        <v>44976</v>
      </c>
      <c r="T525" s="3" t="s">
        <v>54</v>
      </c>
      <c r="U525" s="3" t="s">
        <v>55</v>
      </c>
      <c r="V525" s="9"/>
      <c r="W525" s="10">
        <v>44981</v>
      </c>
      <c r="X525" s="7">
        <v>2</v>
      </c>
      <c r="Y525" s="7">
        <v>3</v>
      </c>
      <c r="Z525" s="7">
        <v>2</v>
      </c>
      <c r="AA525" s="7">
        <f>INT((S525-DATE(YEAR(S525-WEEKDAY(S525-0)+4),1,4)+WEEKDAY(DATE(YEAR(S525-WEEKDAY(S525-0)+4),1,4))+6)/7)</f>
        <v>8</v>
      </c>
      <c r="AB525" s="3" t="s">
        <v>1770</v>
      </c>
      <c r="AC525" s="7">
        <v>57</v>
      </c>
      <c r="AD525" s="7">
        <v>0</v>
      </c>
      <c r="AE525" s="7">
        <v>0</v>
      </c>
      <c r="AF525" s="3" t="s">
        <v>48</v>
      </c>
      <c r="AG525" s="7">
        <v>2023</v>
      </c>
      <c r="AH525" s="3" t="s">
        <v>105</v>
      </c>
      <c r="AI525" s="3" t="s">
        <v>191</v>
      </c>
      <c r="AJ525" s="3" t="s">
        <v>48</v>
      </c>
      <c r="AK525" s="3" t="s">
        <v>162</v>
      </c>
      <c r="AL525" s="3" t="s">
        <v>59</v>
      </c>
      <c r="AM525" s="3" t="s">
        <v>99</v>
      </c>
      <c r="AN525" s="3" t="s">
        <v>61</v>
      </c>
      <c r="AO525" s="3" t="s">
        <v>62</v>
      </c>
      <c r="AP525" s="3" t="s">
        <v>69</v>
      </c>
      <c r="AQ525" s="3" t="s">
        <v>61</v>
      </c>
      <c r="AR525" s="3" t="s">
        <v>48</v>
      </c>
    </row>
    <row r="526" spans="1:44" ht="30" customHeight="1">
      <c r="A526" s="3" t="s">
        <v>44</v>
      </c>
      <c r="B526" s="3" t="s">
        <v>45</v>
      </c>
      <c r="C526" s="3" t="s">
        <v>46</v>
      </c>
      <c r="D526" s="3" t="s">
        <v>100</v>
      </c>
      <c r="E526" s="3" t="s">
        <v>48</v>
      </c>
      <c r="F526" s="3" t="s">
        <v>101</v>
      </c>
      <c r="G526" s="3" t="s">
        <v>48</v>
      </c>
      <c r="H526" s="4">
        <f>IF(DATEDIF(L526,S526,"m")&gt;12,DATEDIF(L526,S526,"y"),(DATEDIF(L526,S526,"m")/12))</f>
        <v>57</v>
      </c>
      <c r="I526" s="7">
        <f>DATEDIF(L526,S526,"M")</f>
        <v>685</v>
      </c>
      <c r="J526" s="7">
        <f>DATEDIF(L526,S526,"D")</f>
        <v>20867</v>
      </c>
      <c r="K526" s="3" t="s">
        <v>51</v>
      </c>
      <c r="L526" s="8">
        <v>24109</v>
      </c>
      <c r="M526" s="3" t="s">
        <v>45</v>
      </c>
      <c r="N526" s="3" t="s">
        <v>101</v>
      </c>
      <c r="O526" s="3" t="s">
        <v>52</v>
      </c>
      <c r="P526" s="3" t="s">
        <v>255</v>
      </c>
      <c r="Q526" s="7">
        <v>0</v>
      </c>
      <c r="R526" s="8">
        <v>44981</v>
      </c>
      <c r="S526" s="8">
        <v>44976</v>
      </c>
      <c r="T526" s="3" t="s">
        <v>54</v>
      </c>
      <c r="U526" s="3" t="s">
        <v>55</v>
      </c>
      <c r="V526" s="9"/>
      <c r="W526" s="10">
        <v>44981</v>
      </c>
      <c r="X526" s="7">
        <v>0</v>
      </c>
      <c r="Y526" s="7">
        <v>5</v>
      </c>
      <c r="Z526" s="7">
        <v>2</v>
      </c>
      <c r="AA526" s="7">
        <f>INT((S526-DATE(YEAR(S526-WEEKDAY(S526-0)+4),1,4)+WEEKDAY(DATE(YEAR(S526-WEEKDAY(S526-0)+4),1,4))+6)/7)</f>
        <v>8</v>
      </c>
      <c r="AB526" s="3" t="s">
        <v>1784</v>
      </c>
      <c r="AC526" s="7">
        <v>59</v>
      </c>
      <c r="AD526" s="7">
        <v>0</v>
      </c>
      <c r="AE526" s="7">
        <v>0</v>
      </c>
      <c r="AF526" s="3" t="s">
        <v>48</v>
      </c>
      <c r="AG526" s="7">
        <v>2023</v>
      </c>
      <c r="AH526" s="3" t="s">
        <v>105</v>
      </c>
      <c r="AI526" s="3" t="s">
        <v>191</v>
      </c>
      <c r="AJ526" s="3" t="s">
        <v>48</v>
      </c>
      <c r="AK526" s="3" t="s">
        <v>162</v>
      </c>
      <c r="AL526" s="3" t="s">
        <v>59</v>
      </c>
      <c r="AM526" s="3" t="s">
        <v>99</v>
      </c>
      <c r="AN526" s="3" t="s">
        <v>61</v>
      </c>
      <c r="AO526" s="3" t="s">
        <v>62</v>
      </c>
      <c r="AP526" s="3" t="s">
        <v>69</v>
      </c>
      <c r="AQ526" s="3" t="s">
        <v>61</v>
      </c>
      <c r="AR526" s="3" t="s">
        <v>48</v>
      </c>
    </row>
    <row r="527" spans="1:44" ht="30" customHeight="1">
      <c r="A527" s="3" t="s">
        <v>44</v>
      </c>
      <c r="B527" s="3" t="s">
        <v>45</v>
      </c>
      <c r="C527" s="3" t="s">
        <v>46</v>
      </c>
      <c r="D527" s="3" t="s">
        <v>100</v>
      </c>
      <c r="E527" s="3" t="s">
        <v>48</v>
      </c>
      <c r="F527" s="3" t="s">
        <v>101</v>
      </c>
      <c r="G527" s="3" t="s">
        <v>1940</v>
      </c>
      <c r="H527" s="4">
        <f>IF(DATEDIF(L527,S527,"m")&gt;12,DATEDIF(L527,S527,"y"),(DATEDIF(L527,S527,"m")/12))</f>
        <v>2</v>
      </c>
      <c r="I527" s="7">
        <f>DATEDIF(L527,S527,"M")</f>
        <v>28</v>
      </c>
      <c r="J527" s="7">
        <f>DATEDIF(L527,S527,"D")</f>
        <v>875</v>
      </c>
      <c r="K527" s="3" t="s">
        <v>51</v>
      </c>
      <c r="L527" s="8">
        <v>44097</v>
      </c>
      <c r="M527" s="3" t="s">
        <v>45</v>
      </c>
      <c r="N527" s="3" t="s">
        <v>101</v>
      </c>
      <c r="O527" s="3" t="s">
        <v>52</v>
      </c>
      <c r="P527" s="3" t="s">
        <v>169</v>
      </c>
      <c r="Q527" s="7">
        <v>0</v>
      </c>
      <c r="R527" s="8">
        <v>44977</v>
      </c>
      <c r="S527" s="8">
        <v>44972</v>
      </c>
      <c r="T527" s="3" t="s">
        <v>54</v>
      </c>
      <c r="U527" s="3" t="s">
        <v>55</v>
      </c>
      <c r="V527" s="9"/>
      <c r="W527" s="10">
        <v>44981</v>
      </c>
      <c r="X527" s="7">
        <v>4</v>
      </c>
      <c r="Y527" s="7">
        <v>5</v>
      </c>
      <c r="Z527" s="7">
        <v>2</v>
      </c>
      <c r="AA527" s="7">
        <f>INT((S527-DATE(YEAR(S527-WEEKDAY(S527-0)+4),1,4)+WEEKDAY(DATE(YEAR(S527-WEEKDAY(S527-0)+4),1,4))+6)/7)</f>
        <v>7</v>
      </c>
      <c r="AB527" s="3" t="s">
        <v>1941</v>
      </c>
      <c r="AC527" s="7">
        <v>56</v>
      </c>
      <c r="AD527" s="7">
        <v>0</v>
      </c>
      <c r="AE527" s="7">
        <v>0</v>
      </c>
      <c r="AF527" s="3" t="s">
        <v>48</v>
      </c>
      <c r="AG527" s="7">
        <v>2023</v>
      </c>
      <c r="AH527" s="3" t="s">
        <v>105</v>
      </c>
      <c r="AI527" s="3" t="s">
        <v>191</v>
      </c>
      <c r="AJ527" s="3" t="s">
        <v>48</v>
      </c>
      <c r="AK527" s="3" t="s">
        <v>1942</v>
      </c>
      <c r="AL527" s="3" t="s">
        <v>59</v>
      </c>
      <c r="AM527" s="3" t="s">
        <v>99</v>
      </c>
      <c r="AN527" s="3" t="s">
        <v>61</v>
      </c>
      <c r="AO527" s="3" t="s">
        <v>62</v>
      </c>
      <c r="AP527" s="3" t="s">
        <v>69</v>
      </c>
      <c r="AQ527" s="3" t="s">
        <v>61</v>
      </c>
      <c r="AR527" s="3" t="s">
        <v>48</v>
      </c>
    </row>
    <row r="528" spans="1:44" ht="30" customHeight="1">
      <c r="A528" s="3" t="s">
        <v>44</v>
      </c>
      <c r="B528" s="3" t="s">
        <v>45</v>
      </c>
      <c r="C528" s="3" t="s">
        <v>46</v>
      </c>
      <c r="D528" s="3" t="s">
        <v>100</v>
      </c>
      <c r="E528" s="3" t="s">
        <v>48</v>
      </c>
      <c r="F528" s="3" t="s">
        <v>101</v>
      </c>
      <c r="G528" s="3" t="s">
        <v>48</v>
      </c>
      <c r="H528" s="4">
        <f>IF(DATEDIF(L528,S528,"m")&gt;12,DATEDIF(L528,S528,"y"),(DATEDIF(L528,S528,"m")/12))</f>
        <v>66</v>
      </c>
      <c r="I528" s="7">
        <f>DATEDIF(L528,S528,"M")</f>
        <v>800</v>
      </c>
      <c r="J528" s="7">
        <f>DATEDIF(L528,S528,"D")</f>
        <v>24377</v>
      </c>
      <c r="K528" s="3" t="s">
        <v>64</v>
      </c>
      <c r="L528" s="8">
        <v>20596</v>
      </c>
      <c r="M528" s="3" t="s">
        <v>45</v>
      </c>
      <c r="N528" s="3" t="s">
        <v>101</v>
      </c>
      <c r="O528" s="3" t="s">
        <v>52</v>
      </c>
      <c r="P528" s="3" t="s">
        <v>298</v>
      </c>
      <c r="Q528" s="7">
        <v>0</v>
      </c>
      <c r="R528" s="8">
        <v>44980</v>
      </c>
      <c r="S528" s="8">
        <v>44973</v>
      </c>
      <c r="T528" s="3" t="s">
        <v>54</v>
      </c>
      <c r="U528" s="3" t="s">
        <v>55</v>
      </c>
      <c r="V528" s="9"/>
      <c r="W528" s="10">
        <v>44981</v>
      </c>
      <c r="X528" s="7">
        <v>1</v>
      </c>
      <c r="Y528" s="7">
        <v>7</v>
      </c>
      <c r="Z528" s="7">
        <v>2</v>
      </c>
      <c r="AA528" s="7">
        <f>INT((S528-DATE(YEAR(S528-WEEKDAY(S528-0)+4),1,4)+WEEKDAY(DATE(YEAR(S528-WEEKDAY(S528-0)+4),1,4))+6)/7)</f>
        <v>7</v>
      </c>
      <c r="AB528" s="3" t="s">
        <v>2431</v>
      </c>
      <c r="AC528" s="7">
        <v>58</v>
      </c>
      <c r="AD528" s="7">
        <v>0</v>
      </c>
      <c r="AE528" s="7">
        <v>0</v>
      </c>
      <c r="AF528" s="3" t="s">
        <v>48</v>
      </c>
      <c r="AG528" s="7">
        <v>2023</v>
      </c>
      <c r="AH528" s="3" t="s">
        <v>105</v>
      </c>
      <c r="AI528" s="3" t="s">
        <v>191</v>
      </c>
      <c r="AJ528" s="3" t="s">
        <v>48</v>
      </c>
      <c r="AK528" s="3" t="s">
        <v>107</v>
      </c>
      <c r="AL528" s="3" t="s">
        <v>59</v>
      </c>
      <c r="AM528" s="3" t="s">
        <v>99</v>
      </c>
      <c r="AN528" s="3" t="s">
        <v>61</v>
      </c>
      <c r="AO528" s="3" t="s">
        <v>62</v>
      </c>
      <c r="AP528" s="3" t="s">
        <v>69</v>
      </c>
      <c r="AQ528" s="3" t="s">
        <v>61</v>
      </c>
      <c r="AR528" s="3" t="s">
        <v>48</v>
      </c>
    </row>
    <row r="529" spans="1:44" ht="30" customHeight="1">
      <c r="A529" s="3" t="s">
        <v>44</v>
      </c>
      <c r="B529" s="3" t="s">
        <v>45</v>
      </c>
      <c r="C529" s="3" t="s">
        <v>46</v>
      </c>
      <c r="D529" s="3" t="s">
        <v>130</v>
      </c>
      <c r="E529" s="3" t="s">
        <v>48</v>
      </c>
      <c r="F529" s="3" t="s">
        <v>135</v>
      </c>
      <c r="G529" s="3" t="s">
        <v>136</v>
      </c>
      <c r="H529" s="4">
        <f>IF(DATEDIF(L529,S529,"m")&gt;12,DATEDIF(L529,S529,"y"),(DATEDIF(L529,S529,"m")/12))</f>
        <v>13</v>
      </c>
      <c r="I529" s="7">
        <f>DATEDIF(L529,S529,"M")</f>
        <v>158</v>
      </c>
      <c r="J529" s="7">
        <f>DATEDIF(L529,S529,"D")</f>
        <v>4812</v>
      </c>
      <c r="K529" s="3" t="s">
        <v>64</v>
      </c>
      <c r="L529" s="8">
        <v>40161</v>
      </c>
      <c r="M529" s="3" t="s">
        <v>45</v>
      </c>
      <c r="N529" s="3" t="s">
        <v>83</v>
      </c>
      <c r="O529" s="3" t="s">
        <v>52</v>
      </c>
      <c r="P529" s="3" t="s">
        <v>137</v>
      </c>
      <c r="Q529" s="7">
        <v>0</v>
      </c>
      <c r="R529" s="8">
        <v>44977</v>
      </c>
      <c r="S529" s="8">
        <v>44973</v>
      </c>
      <c r="T529" s="3" t="s">
        <v>54</v>
      </c>
      <c r="U529" s="3" t="s">
        <v>55</v>
      </c>
      <c r="V529" s="9"/>
      <c r="W529" s="10">
        <v>44984</v>
      </c>
      <c r="X529" s="7">
        <v>7</v>
      </c>
      <c r="Y529" s="7">
        <v>4</v>
      </c>
      <c r="Z529" s="7">
        <v>2</v>
      </c>
      <c r="AA529" s="7">
        <f>INT((S529-DATE(YEAR(S529-WEEKDAY(S529-0)+4),1,4)+WEEKDAY(DATE(YEAR(S529-WEEKDAY(S529-0)+4),1,4))+6)/7)</f>
        <v>7</v>
      </c>
      <c r="AB529" s="3" t="s">
        <v>138</v>
      </c>
      <c r="AC529" s="7">
        <v>91</v>
      </c>
      <c r="AD529" s="7">
        <v>0</v>
      </c>
      <c r="AE529" s="7">
        <v>0</v>
      </c>
      <c r="AF529" s="3" t="s">
        <v>48</v>
      </c>
      <c r="AG529" s="7">
        <v>2023</v>
      </c>
      <c r="AH529" s="3" t="s">
        <v>139</v>
      </c>
      <c r="AI529" s="3" t="s">
        <v>113</v>
      </c>
      <c r="AJ529" s="3" t="s">
        <v>48</v>
      </c>
      <c r="AK529" s="12" t="s">
        <v>140</v>
      </c>
      <c r="AL529" s="3" t="s">
        <v>59</v>
      </c>
      <c r="AM529" s="3" t="s">
        <v>60</v>
      </c>
      <c r="AN529" s="3" t="s">
        <v>61</v>
      </c>
      <c r="AO529" s="3" t="s">
        <v>62</v>
      </c>
      <c r="AP529" s="3" t="s">
        <v>69</v>
      </c>
      <c r="AQ529" s="3" t="s">
        <v>61</v>
      </c>
      <c r="AR529" s="3" t="s">
        <v>48</v>
      </c>
    </row>
    <row r="530" spans="1:44" ht="30" customHeight="1">
      <c r="A530" s="3" t="s">
        <v>44</v>
      </c>
      <c r="B530" s="3" t="s">
        <v>45</v>
      </c>
      <c r="C530" s="3" t="s">
        <v>46</v>
      </c>
      <c r="D530" s="3" t="s">
        <v>47</v>
      </c>
      <c r="E530" s="3" t="s">
        <v>48</v>
      </c>
      <c r="F530" s="3" t="s">
        <v>49</v>
      </c>
      <c r="G530" s="3" t="s">
        <v>629</v>
      </c>
      <c r="H530" s="4">
        <f>IF(DATEDIF(L530,S530,"m")&gt;12,DATEDIF(L530,S530,"y"),(DATEDIF(L530,S530,"m")/12))</f>
        <v>3</v>
      </c>
      <c r="I530" s="7">
        <f>DATEDIF(L530,S530,"M")</f>
        <v>41</v>
      </c>
      <c r="J530" s="7">
        <f>DATEDIF(L530,S530,"D")</f>
        <v>1248</v>
      </c>
      <c r="K530" s="3" t="s">
        <v>64</v>
      </c>
      <c r="L530" s="8">
        <v>43745</v>
      </c>
      <c r="M530" s="3" t="s">
        <v>45</v>
      </c>
      <c r="N530" s="3" t="s">
        <v>73</v>
      </c>
      <c r="O530" s="3" t="s">
        <v>52</v>
      </c>
      <c r="P530" s="3" t="s">
        <v>91</v>
      </c>
      <c r="Q530" s="7">
        <v>0</v>
      </c>
      <c r="R530" s="8">
        <v>45007</v>
      </c>
      <c r="S530" s="8">
        <v>44993</v>
      </c>
      <c r="T530" s="3" t="s">
        <v>54</v>
      </c>
      <c r="U530" s="3" t="s">
        <v>55</v>
      </c>
      <c r="V530" s="9"/>
      <c r="W530" s="10">
        <v>45009</v>
      </c>
      <c r="X530" s="7">
        <v>2</v>
      </c>
      <c r="Y530" s="7">
        <v>14</v>
      </c>
      <c r="Z530" s="7">
        <v>3</v>
      </c>
      <c r="AA530" s="7">
        <f>INT((S530-DATE(YEAR(S530-WEEKDAY(S530-0)+4),1,4)+WEEKDAY(DATE(YEAR(S530-WEEKDAY(S530-0)+4),1,4))+6)/7)</f>
        <v>10</v>
      </c>
      <c r="AB530" s="3" t="s">
        <v>630</v>
      </c>
      <c r="AC530" s="7">
        <v>151</v>
      </c>
      <c r="AD530" s="7">
        <v>0</v>
      </c>
      <c r="AE530" s="7">
        <v>0</v>
      </c>
      <c r="AF530" s="3" t="s">
        <v>48</v>
      </c>
      <c r="AG530" s="7">
        <v>2023</v>
      </c>
      <c r="AH530" s="3" t="s">
        <v>57</v>
      </c>
      <c r="AI530" s="3" t="s">
        <v>48</v>
      </c>
      <c r="AJ530" s="3" t="s">
        <v>48</v>
      </c>
      <c r="AK530" s="3" t="s">
        <v>79</v>
      </c>
      <c r="AL530" s="3" t="s">
        <v>59</v>
      </c>
      <c r="AM530" s="3" t="s">
        <v>60</v>
      </c>
      <c r="AN530" s="3" t="s">
        <v>61</v>
      </c>
      <c r="AO530" s="3" t="s">
        <v>62</v>
      </c>
      <c r="AP530" s="3" t="s">
        <v>69</v>
      </c>
      <c r="AQ530" s="3" t="s">
        <v>61</v>
      </c>
      <c r="AR530" s="3" t="s">
        <v>48</v>
      </c>
    </row>
    <row r="531" spans="1:44" ht="30" customHeight="1">
      <c r="A531" s="3" t="s">
        <v>44</v>
      </c>
      <c r="B531" s="3" t="s">
        <v>45</v>
      </c>
      <c r="C531" s="3" t="s">
        <v>46</v>
      </c>
      <c r="D531" s="3" t="s">
        <v>108</v>
      </c>
      <c r="E531" s="3" t="s">
        <v>48</v>
      </c>
      <c r="F531" s="3" t="s">
        <v>108</v>
      </c>
      <c r="G531" s="3" t="s">
        <v>739</v>
      </c>
      <c r="H531" s="4">
        <f>IF(DATEDIF(L531,S531,"m")&gt;12,DATEDIF(L531,S531,"y"),(DATEDIF(L531,S531,"m")/12))</f>
        <v>3</v>
      </c>
      <c r="I531" s="7">
        <f>DATEDIF(L531,S531,"M")</f>
        <v>39</v>
      </c>
      <c r="J531" s="7">
        <f>DATEDIF(L531,S531,"D")</f>
        <v>1200</v>
      </c>
      <c r="K531" s="3" t="s">
        <v>51</v>
      </c>
      <c r="L531" s="8">
        <v>43805</v>
      </c>
      <c r="M531" s="3" t="s">
        <v>45</v>
      </c>
      <c r="N531" s="3" t="s">
        <v>73</v>
      </c>
      <c r="O531" s="3" t="s">
        <v>52</v>
      </c>
      <c r="P531" s="3" t="s">
        <v>169</v>
      </c>
      <c r="Q531" s="7">
        <v>0</v>
      </c>
      <c r="R531" s="8">
        <v>45008</v>
      </c>
      <c r="S531" s="8">
        <v>45005</v>
      </c>
      <c r="T531" s="3" t="s">
        <v>54</v>
      </c>
      <c r="U531" s="3" t="s">
        <v>55</v>
      </c>
      <c r="V531" s="9"/>
      <c r="W531" s="10">
        <v>45012</v>
      </c>
      <c r="X531" s="7">
        <v>4</v>
      </c>
      <c r="Y531" s="7">
        <v>3</v>
      </c>
      <c r="Z531" s="7">
        <v>3</v>
      </c>
      <c r="AA531" s="7">
        <f>INT((S531-DATE(YEAR(S531-WEEKDAY(S531-0)+4),1,4)+WEEKDAY(DATE(YEAR(S531-WEEKDAY(S531-0)+4),1,4))+6)/7)</f>
        <v>12</v>
      </c>
      <c r="AB531" s="3" t="s">
        <v>740</v>
      </c>
      <c r="AC531" s="7">
        <v>381</v>
      </c>
      <c r="AD531" s="7">
        <v>0</v>
      </c>
      <c r="AE531" s="7">
        <v>0</v>
      </c>
      <c r="AF531" s="3" t="s">
        <v>48</v>
      </c>
      <c r="AG531" s="7">
        <v>2023</v>
      </c>
      <c r="AH531" s="3" t="s">
        <v>112</v>
      </c>
      <c r="AI531" s="3" t="s">
        <v>113</v>
      </c>
      <c r="AJ531" s="3" t="s">
        <v>48</v>
      </c>
      <c r="AK531" s="3" t="s">
        <v>79</v>
      </c>
      <c r="AL531" s="3" t="s">
        <v>59</v>
      </c>
      <c r="AM531" s="3" t="s">
        <v>115</v>
      </c>
      <c r="AN531" s="3" t="s">
        <v>61</v>
      </c>
      <c r="AO531" s="3" t="s">
        <v>62</v>
      </c>
      <c r="AP531" s="3" t="s">
        <v>69</v>
      </c>
      <c r="AQ531" s="3" t="s">
        <v>61</v>
      </c>
      <c r="AR531" s="3" t="s">
        <v>48</v>
      </c>
    </row>
    <row r="532" spans="1:44" ht="30" customHeight="1">
      <c r="A532" s="3" t="s">
        <v>44</v>
      </c>
      <c r="B532" s="3" t="s">
        <v>45</v>
      </c>
      <c r="C532" s="3" t="s">
        <v>46</v>
      </c>
      <c r="D532" s="3" t="s">
        <v>108</v>
      </c>
      <c r="E532" s="3" t="s">
        <v>48</v>
      </c>
      <c r="F532" s="3" t="s">
        <v>108</v>
      </c>
      <c r="G532" s="3" t="s">
        <v>1813</v>
      </c>
      <c r="H532" s="4">
        <f>IF(DATEDIF(L532,S532,"m")&gt;12,DATEDIF(L532,S532,"y"),(DATEDIF(L532,S532,"m")/12))</f>
        <v>13</v>
      </c>
      <c r="I532" s="7">
        <f>DATEDIF(L532,S532,"M")</f>
        <v>161</v>
      </c>
      <c r="J532" s="7">
        <f>DATEDIF(L532,S532,"D")</f>
        <v>4906</v>
      </c>
      <c r="K532" s="3" t="s">
        <v>64</v>
      </c>
      <c r="L532" s="8">
        <v>40100</v>
      </c>
      <c r="M532" s="3" t="s">
        <v>45</v>
      </c>
      <c r="N532" s="3" t="s">
        <v>73</v>
      </c>
      <c r="O532" s="3" t="s">
        <v>52</v>
      </c>
      <c r="P532" s="3" t="s">
        <v>156</v>
      </c>
      <c r="Q532" s="7">
        <v>0</v>
      </c>
      <c r="R532" s="8">
        <v>45009</v>
      </c>
      <c r="S532" s="8">
        <v>45006</v>
      </c>
      <c r="T532" s="3" t="s">
        <v>54</v>
      </c>
      <c r="U532" s="3" t="s">
        <v>55</v>
      </c>
      <c r="V532" s="9"/>
      <c r="W532" s="10">
        <v>45012</v>
      </c>
      <c r="X532" s="7">
        <v>3</v>
      </c>
      <c r="Y532" s="7">
        <v>3</v>
      </c>
      <c r="Z532" s="7">
        <v>3</v>
      </c>
      <c r="AA532" s="7">
        <f>INT((S532-DATE(YEAR(S532-WEEKDAY(S532-0)+4),1,4)+WEEKDAY(DATE(YEAR(S532-WEEKDAY(S532-0)+4),1,4))+6)/7)</f>
        <v>12</v>
      </c>
      <c r="AB532" s="3" t="s">
        <v>1814</v>
      </c>
      <c r="AC532" s="7">
        <v>386</v>
      </c>
      <c r="AD532" s="7">
        <v>0</v>
      </c>
      <c r="AE532" s="7">
        <v>0</v>
      </c>
      <c r="AF532" s="3" t="s">
        <v>48</v>
      </c>
      <c r="AG532" s="7">
        <v>2023</v>
      </c>
      <c r="AH532" s="3" t="s">
        <v>112</v>
      </c>
      <c r="AI532" s="3" t="s">
        <v>113</v>
      </c>
      <c r="AJ532" s="3" t="s">
        <v>48</v>
      </c>
      <c r="AK532" s="3" t="s">
        <v>79</v>
      </c>
      <c r="AL532" s="3" t="s">
        <v>59</v>
      </c>
      <c r="AM532" s="3" t="s">
        <v>115</v>
      </c>
      <c r="AN532" s="3" t="s">
        <v>61</v>
      </c>
      <c r="AO532" s="3" t="s">
        <v>62</v>
      </c>
      <c r="AP532" s="3" t="s">
        <v>69</v>
      </c>
      <c r="AQ532" s="3" t="s">
        <v>61</v>
      </c>
      <c r="AR532" s="3" t="s">
        <v>48</v>
      </c>
    </row>
    <row r="533" spans="1:44" ht="30" customHeight="1">
      <c r="A533" s="3" t="s">
        <v>44</v>
      </c>
      <c r="B533" s="3" t="s">
        <v>45</v>
      </c>
      <c r="C533" s="3" t="s">
        <v>46</v>
      </c>
      <c r="D533" s="3" t="s">
        <v>108</v>
      </c>
      <c r="E533" s="3" t="s">
        <v>48</v>
      </c>
      <c r="F533" s="3" t="s">
        <v>108</v>
      </c>
      <c r="G533" s="3" t="s">
        <v>1077</v>
      </c>
      <c r="H533" s="4">
        <f>IF(DATEDIF(L533,S533,"m")&gt;12,DATEDIF(L533,S533,"y"),(DATEDIF(L533,S533,"m")/12))</f>
        <v>6</v>
      </c>
      <c r="I533" s="7">
        <f>DATEDIF(L533,S533,"M")</f>
        <v>80</v>
      </c>
      <c r="J533" s="7">
        <f>DATEDIF(L533,S533,"D")</f>
        <v>2453</v>
      </c>
      <c r="K533" s="3" t="s">
        <v>51</v>
      </c>
      <c r="L533" s="8">
        <v>42564</v>
      </c>
      <c r="M533" s="3" t="s">
        <v>45</v>
      </c>
      <c r="N533" s="3" t="s">
        <v>73</v>
      </c>
      <c r="O533" s="3" t="s">
        <v>52</v>
      </c>
      <c r="P533" s="3" t="s">
        <v>312</v>
      </c>
      <c r="Q533" s="7">
        <v>0</v>
      </c>
      <c r="R533" s="8">
        <v>45020</v>
      </c>
      <c r="S533" s="8">
        <v>45017</v>
      </c>
      <c r="T533" s="3" t="s">
        <v>54</v>
      </c>
      <c r="U533" s="3" t="s">
        <v>55</v>
      </c>
      <c r="V533" s="9"/>
      <c r="W533" s="10">
        <v>45021</v>
      </c>
      <c r="X533" s="7">
        <v>1</v>
      </c>
      <c r="Y533" s="7">
        <v>3</v>
      </c>
      <c r="Z533" s="7">
        <v>4</v>
      </c>
      <c r="AA533" s="7">
        <f>INT((S533-DATE(YEAR(S533-WEEKDAY(S533-0)+4),1,4)+WEEKDAY(DATE(YEAR(S533-WEEKDAY(S533-0)+4),1,4))+6)/7)</f>
        <v>13</v>
      </c>
      <c r="AB533" s="3" t="s">
        <v>1078</v>
      </c>
      <c r="AC533" s="7">
        <v>446</v>
      </c>
      <c r="AD533" s="7">
        <v>0</v>
      </c>
      <c r="AE533" s="7">
        <v>0</v>
      </c>
      <c r="AF533" s="3" t="s">
        <v>48</v>
      </c>
      <c r="AG533" s="7">
        <v>2023</v>
      </c>
      <c r="AH533" s="3" t="s">
        <v>112</v>
      </c>
      <c r="AI533" s="3" t="s">
        <v>113</v>
      </c>
      <c r="AJ533" s="3" t="s">
        <v>48</v>
      </c>
      <c r="AK533" s="3" t="s">
        <v>79</v>
      </c>
      <c r="AL533" s="3" t="s">
        <v>59</v>
      </c>
      <c r="AM533" s="3" t="s">
        <v>115</v>
      </c>
      <c r="AN533" s="3" t="s">
        <v>61</v>
      </c>
      <c r="AO533" s="3" t="s">
        <v>62</v>
      </c>
      <c r="AP533" s="3" t="s">
        <v>61</v>
      </c>
      <c r="AQ533" s="3" t="s">
        <v>61</v>
      </c>
      <c r="AR533" s="3" t="s">
        <v>48</v>
      </c>
    </row>
    <row r="534" spans="1:44" ht="30" customHeight="1">
      <c r="A534" s="3" t="s">
        <v>44</v>
      </c>
      <c r="B534" s="3" t="s">
        <v>45</v>
      </c>
      <c r="C534" s="3" t="s">
        <v>46</v>
      </c>
      <c r="D534" s="3" t="s">
        <v>108</v>
      </c>
      <c r="E534" s="3" t="s">
        <v>48</v>
      </c>
      <c r="F534" s="3" t="s">
        <v>108</v>
      </c>
      <c r="G534" s="3" t="s">
        <v>1932</v>
      </c>
      <c r="H534" s="4">
        <f>IF(DATEDIF(L534,S534,"m")&gt;12,DATEDIF(L534,S534,"y"),(DATEDIF(L534,S534,"m")/12))</f>
        <v>4</v>
      </c>
      <c r="I534" s="7">
        <f>DATEDIF(L534,S534,"M")</f>
        <v>50</v>
      </c>
      <c r="J534" s="7">
        <f>DATEDIF(L534,S534,"D")</f>
        <v>1524</v>
      </c>
      <c r="K534" s="3" t="s">
        <v>64</v>
      </c>
      <c r="L534" s="8">
        <v>43494</v>
      </c>
      <c r="M534" s="3" t="s">
        <v>45</v>
      </c>
      <c r="N534" s="3" t="s">
        <v>73</v>
      </c>
      <c r="O534" s="3" t="s">
        <v>52</v>
      </c>
      <c r="P534" s="3" t="s">
        <v>1933</v>
      </c>
      <c r="Q534" s="7">
        <v>0</v>
      </c>
      <c r="R534" s="8">
        <v>45020</v>
      </c>
      <c r="S534" s="8">
        <v>45018</v>
      </c>
      <c r="T534" s="3" t="s">
        <v>54</v>
      </c>
      <c r="U534" s="3" t="s">
        <v>55</v>
      </c>
      <c r="V534" s="9"/>
      <c r="W534" s="10">
        <v>45021</v>
      </c>
      <c r="X534" s="7">
        <v>1</v>
      </c>
      <c r="Y534" s="7">
        <v>2</v>
      </c>
      <c r="Z534" s="7">
        <v>4</v>
      </c>
      <c r="AA534" s="7">
        <f>INT((S534-DATE(YEAR(S534-WEEKDAY(S534-0)+4),1,4)+WEEKDAY(DATE(YEAR(S534-WEEKDAY(S534-0)+4),1,4))+6)/7)</f>
        <v>14</v>
      </c>
      <c r="AB534" s="3" t="s">
        <v>1934</v>
      </c>
      <c r="AC534" s="7">
        <v>444</v>
      </c>
      <c r="AD534" s="7">
        <v>0</v>
      </c>
      <c r="AE534" s="7">
        <v>0</v>
      </c>
      <c r="AF534" s="3" t="s">
        <v>48</v>
      </c>
      <c r="AG534" s="7">
        <v>2023</v>
      </c>
      <c r="AH534" s="3" t="s">
        <v>112</v>
      </c>
      <c r="AI534" s="3" t="s">
        <v>113</v>
      </c>
      <c r="AJ534" s="3" t="s">
        <v>48</v>
      </c>
      <c r="AK534" s="3" t="s">
        <v>79</v>
      </c>
      <c r="AL534" s="3" t="s">
        <v>59</v>
      </c>
      <c r="AM534" s="3" t="s">
        <v>115</v>
      </c>
      <c r="AN534" s="3" t="s">
        <v>61</v>
      </c>
      <c r="AO534" s="3" t="s">
        <v>62</v>
      </c>
      <c r="AP534" s="3" t="s">
        <v>61</v>
      </c>
      <c r="AQ534" s="3" t="s">
        <v>61</v>
      </c>
      <c r="AR534" s="3" t="s">
        <v>48</v>
      </c>
    </row>
    <row r="535" spans="1:44" ht="30" customHeight="1">
      <c r="A535" s="3" t="s">
        <v>44</v>
      </c>
      <c r="B535" s="3" t="s">
        <v>45</v>
      </c>
      <c r="C535" s="3" t="s">
        <v>46</v>
      </c>
      <c r="D535" s="3" t="s">
        <v>108</v>
      </c>
      <c r="E535" s="3" t="s">
        <v>48</v>
      </c>
      <c r="F535" s="3" t="s">
        <v>108</v>
      </c>
      <c r="G535" s="3" t="s">
        <v>2167</v>
      </c>
      <c r="H535" s="4">
        <f>IF(DATEDIF(L535,S535,"m")&gt;12,DATEDIF(L535,S535,"y"),(DATEDIF(L535,S535,"m")/12))</f>
        <v>4</v>
      </c>
      <c r="I535" s="7">
        <f>DATEDIF(L535,S535,"M")</f>
        <v>53</v>
      </c>
      <c r="J535" s="7">
        <f>DATEDIF(L535,S535,"D")</f>
        <v>1631</v>
      </c>
      <c r="K535" s="3" t="s">
        <v>64</v>
      </c>
      <c r="L535" s="8">
        <v>43387</v>
      </c>
      <c r="M535" s="3" t="s">
        <v>45</v>
      </c>
      <c r="N535" s="3" t="s">
        <v>73</v>
      </c>
      <c r="O535" s="3" t="s">
        <v>52</v>
      </c>
      <c r="P535" s="3" t="s">
        <v>2168</v>
      </c>
      <c r="Q535" s="7">
        <v>0</v>
      </c>
      <c r="R535" s="8">
        <v>45020</v>
      </c>
      <c r="S535" s="8">
        <v>45018</v>
      </c>
      <c r="T535" s="3" t="s">
        <v>54</v>
      </c>
      <c r="U535" s="3" t="s">
        <v>55</v>
      </c>
      <c r="V535" s="9"/>
      <c r="W535" s="10">
        <v>45021</v>
      </c>
      <c r="X535" s="7">
        <v>1</v>
      </c>
      <c r="Y535" s="7">
        <v>2</v>
      </c>
      <c r="Z535" s="7">
        <v>4</v>
      </c>
      <c r="AA535" s="7">
        <f>INT((S535-DATE(YEAR(S535-WEEKDAY(S535-0)+4),1,4)+WEEKDAY(DATE(YEAR(S535-WEEKDAY(S535-0)+4),1,4))+6)/7)</f>
        <v>14</v>
      </c>
      <c r="AB535" s="3" t="s">
        <v>2169</v>
      </c>
      <c r="AC535" s="7">
        <v>443</v>
      </c>
      <c r="AD535" s="7">
        <v>0</v>
      </c>
      <c r="AE535" s="7">
        <v>0</v>
      </c>
      <c r="AF535" s="3" t="s">
        <v>48</v>
      </c>
      <c r="AG535" s="7">
        <v>2023</v>
      </c>
      <c r="AH535" s="3" t="s">
        <v>112</v>
      </c>
      <c r="AI535" s="3" t="s">
        <v>113</v>
      </c>
      <c r="AJ535" s="3" t="s">
        <v>48</v>
      </c>
      <c r="AK535" s="3" t="s">
        <v>79</v>
      </c>
      <c r="AL535" s="3" t="s">
        <v>59</v>
      </c>
      <c r="AM535" s="3" t="s">
        <v>115</v>
      </c>
      <c r="AN535" s="3" t="s">
        <v>61</v>
      </c>
      <c r="AO535" s="3" t="s">
        <v>62</v>
      </c>
      <c r="AP535" s="3" t="s">
        <v>61</v>
      </c>
      <c r="AQ535" s="3" t="s">
        <v>61</v>
      </c>
      <c r="AR535" s="3" t="s">
        <v>48</v>
      </c>
    </row>
    <row r="536" spans="1:44" ht="30" customHeight="1">
      <c r="A536" s="3" t="s">
        <v>44</v>
      </c>
      <c r="B536" s="3" t="s">
        <v>45</v>
      </c>
      <c r="C536" s="3" t="s">
        <v>46</v>
      </c>
      <c r="D536" s="3" t="s">
        <v>108</v>
      </c>
      <c r="E536" s="3" t="s">
        <v>48</v>
      </c>
      <c r="F536" s="3" t="s">
        <v>108</v>
      </c>
      <c r="G536" s="3" t="s">
        <v>2177</v>
      </c>
      <c r="H536" s="4">
        <f>IF(DATEDIF(L536,S536,"m")&gt;12,DATEDIF(L536,S536,"y"),(DATEDIF(L536,S536,"m")/12))</f>
        <v>3</v>
      </c>
      <c r="I536" s="7">
        <f>DATEDIF(L536,S536,"M")</f>
        <v>44</v>
      </c>
      <c r="J536" s="7">
        <f>DATEDIF(L536,S536,"D")</f>
        <v>1340</v>
      </c>
      <c r="K536" s="3" t="s">
        <v>51</v>
      </c>
      <c r="L536" s="8">
        <v>43678</v>
      </c>
      <c r="M536" s="3" t="s">
        <v>45</v>
      </c>
      <c r="N536" s="3" t="s">
        <v>73</v>
      </c>
      <c r="O536" s="3" t="s">
        <v>52</v>
      </c>
      <c r="P536" s="3" t="s">
        <v>312</v>
      </c>
      <c r="Q536" s="7">
        <v>0</v>
      </c>
      <c r="R536" s="8">
        <v>45021</v>
      </c>
      <c r="S536" s="8">
        <v>45018</v>
      </c>
      <c r="T536" s="3" t="s">
        <v>54</v>
      </c>
      <c r="U536" s="3" t="s">
        <v>55</v>
      </c>
      <c r="V536" s="9"/>
      <c r="W536" s="10">
        <v>45021</v>
      </c>
      <c r="X536" s="7">
        <v>0</v>
      </c>
      <c r="Y536" s="7">
        <v>3</v>
      </c>
      <c r="Z536" s="7">
        <v>4</v>
      </c>
      <c r="AA536" s="7">
        <f>INT((S536-DATE(YEAR(S536-WEEKDAY(S536-0)+4),1,4)+WEEKDAY(DATE(YEAR(S536-WEEKDAY(S536-0)+4),1,4))+6)/7)</f>
        <v>14</v>
      </c>
      <c r="AB536" s="3" t="s">
        <v>2178</v>
      </c>
      <c r="AC536" s="7">
        <v>453</v>
      </c>
      <c r="AD536" s="7">
        <v>0</v>
      </c>
      <c r="AE536" s="7">
        <v>0</v>
      </c>
      <c r="AF536" s="3" t="s">
        <v>48</v>
      </c>
      <c r="AG536" s="7">
        <v>2023</v>
      </c>
      <c r="AH536" s="3" t="s">
        <v>112</v>
      </c>
      <c r="AI536" s="3" t="s">
        <v>113</v>
      </c>
      <c r="AJ536" s="3" t="s">
        <v>48</v>
      </c>
      <c r="AK536" s="3" t="s">
        <v>79</v>
      </c>
      <c r="AL536" s="3" t="s">
        <v>59</v>
      </c>
      <c r="AM536" s="3" t="s">
        <v>115</v>
      </c>
      <c r="AN536" s="3" t="s">
        <v>61</v>
      </c>
      <c r="AO536" s="3" t="s">
        <v>62</v>
      </c>
      <c r="AP536" s="3" t="s">
        <v>61</v>
      </c>
      <c r="AQ536" s="3" t="s">
        <v>61</v>
      </c>
      <c r="AR536" s="3" t="s">
        <v>48</v>
      </c>
    </row>
    <row r="537" spans="1:44" ht="30" customHeight="1">
      <c r="A537" s="3" t="s">
        <v>44</v>
      </c>
      <c r="B537" s="3" t="s">
        <v>45</v>
      </c>
      <c r="C537" s="3" t="s">
        <v>46</v>
      </c>
      <c r="D537" s="3" t="s">
        <v>186</v>
      </c>
      <c r="E537" s="3" t="s">
        <v>48</v>
      </c>
      <c r="F537" s="3" t="s">
        <v>271</v>
      </c>
      <c r="G537" s="3" t="s">
        <v>520</v>
      </c>
      <c r="H537" s="4">
        <f>IF(DATEDIF(L537,S537,"m")&gt;12,DATEDIF(L537,S537,"y"),(DATEDIF(L537,S537,"m")/12))</f>
        <v>4</v>
      </c>
      <c r="I537" s="7">
        <f>DATEDIF(L537,S537,"M")</f>
        <v>48</v>
      </c>
      <c r="J537" s="7">
        <f>DATEDIF(L537,S537,"D")</f>
        <v>1463</v>
      </c>
      <c r="K537" s="3" t="s">
        <v>64</v>
      </c>
      <c r="L537" s="8">
        <v>43499</v>
      </c>
      <c r="M537" s="3" t="s">
        <v>45</v>
      </c>
      <c r="N537" s="3" t="s">
        <v>187</v>
      </c>
      <c r="O537" s="3" t="s">
        <v>52</v>
      </c>
      <c r="P537" s="3" t="s">
        <v>521</v>
      </c>
      <c r="Q537" s="7">
        <v>0</v>
      </c>
      <c r="R537" s="8">
        <v>44976</v>
      </c>
      <c r="S537" s="8">
        <v>44962</v>
      </c>
      <c r="T537" s="3" t="s">
        <v>54</v>
      </c>
      <c r="U537" s="3" t="s">
        <v>55</v>
      </c>
      <c r="V537" s="9"/>
      <c r="W537" s="10">
        <v>44984</v>
      </c>
      <c r="X537" s="7">
        <v>8</v>
      </c>
      <c r="Y537" s="7">
        <v>14</v>
      </c>
      <c r="Z537" s="7">
        <v>2</v>
      </c>
      <c r="AA537" s="7">
        <f>INT((S537-DATE(YEAR(S537-WEEKDAY(S537-0)+4),1,4)+WEEKDAY(DATE(YEAR(S537-WEEKDAY(S537-0)+4),1,4))+6)/7)</f>
        <v>6</v>
      </c>
      <c r="AB537" s="3" t="s">
        <v>522</v>
      </c>
      <c r="AC537" s="7">
        <v>118</v>
      </c>
      <c r="AD537" s="7">
        <v>0</v>
      </c>
      <c r="AE537" s="7">
        <v>0</v>
      </c>
      <c r="AF537" s="3" t="s">
        <v>48</v>
      </c>
      <c r="AG537" s="7">
        <v>2023</v>
      </c>
      <c r="AH537" s="3" t="s">
        <v>276</v>
      </c>
      <c r="AI537" s="3" t="s">
        <v>191</v>
      </c>
      <c r="AJ537" s="3" t="s">
        <v>186</v>
      </c>
      <c r="AK537" s="18" t="s">
        <v>192</v>
      </c>
      <c r="AL537" s="3" t="s">
        <v>59</v>
      </c>
      <c r="AM537" s="3" t="s">
        <v>60</v>
      </c>
      <c r="AN537" s="3" t="s">
        <v>61</v>
      </c>
      <c r="AO537" s="3" t="s">
        <v>62</v>
      </c>
      <c r="AP537" s="3" t="s">
        <v>69</v>
      </c>
      <c r="AQ537" s="3" t="s">
        <v>61</v>
      </c>
      <c r="AR537" s="3" t="s">
        <v>48</v>
      </c>
    </row>
    <row r="538" spans="1:44" ht="30" customHeight="1">
      <c r="A538" s="3" t="s">
        <v>44</v>
      </c>
      <c r="B538" s="3" t="s">
        <v>45</v>
      </c>
      <c r="C538" s="3" t="s">
        <v>46</v>
      </c>
      <c r="D538" s="3" t="s">
        <v>108</v>
      </c>
      <c r="E538" s="3" t="s">
        <v>48</v>
      </c>
      <c r="F538" s="3" t="s">
        <v>108</v>
      </c>
      <c r="G538" s="3" t="s">
        <v>2298</v>
      </c>
      <c r="H538" s="4">
        <f>IF(DATEDIF(L538,S538,"m")&gt;12,DATEDIF(L538,S538,"y"),(DATEDIF(L538,S538,"m")/12))</f>
        <v>56</v>
      </c>
      <c r="I538" s="7">
        <f>DATEDIF(L538,S538,"M")</f>
        <v>678</v>
      </c>
      <c r="J538" s="7">
        <f>DATEDIF(L538,S538,"D")</f>
        <v>20638</v>
      </c>
      <c r="K538" s="3" t="s">
        <v>64</v>
      </c>
      <c r="L538" s="8">
        <v>24393</v>
      </c>
      <c r="M538" s="3" t="s">
        <v>45</v>
      </c>
      <c r="N538" s="3" t="s">
        <v>73</v>
      </c>
      <c r="O538" s="3" t="s">
        <v>52</v>
      </c>
      <c r="P538" s="3" t="s">
        <v>2299</v>
      </c>
      <c r="Q538" s="7">
        <v>0</v>
      </c>
      <c r="R538" s="8">
        <v>45035</v>
      </c>
      <c r="S538" s="8">
        <v>45031</v>
      </c>
      <c r="T538" s="3" t="s">
        <v>54</v>
      </c>
      <c r="U538" s="3" t="s">
        <v>55</v>
      </c>
      <c r="V538" s="9"/>
      <c r="W538" s="10">
        <v>45036</v>
      </c>
      <c r="X538" s="7">
        <v>1</v>
      </c>
      <c r="Y538" s="7">
        <v>4</v>
      </c>
      <c r="Z538" s="7">
        <v>4</v>
      </c>
      <c r="AA538" s="7">
        <f>INT((S538-DATE(YEAR(S538-WEEKDAY(S538-0)+4),1,4)+WEEKDAY(DATE(YEAR(S538-WEEKDAY(S538-0)+4),1,4))+6)/7)</f>
        <v>15</v>
      </c>
      <c r="AB538" s="3" t="s">
        <v>2300</v>
      </c>
      <c r="AC538" s="7">
        <v>489</v>
      </c>
      <c r="AD538" s="7">
        <v>0</v>
      </c>
      <c r="AE538" s="7">
        <v>0</v>
      </c>
      <c r="AF538" s="3" t="s">
        <v>48</v>
      </c>
      <c r="AG538" s="7">
        <v>2023</v>
      </c>
      <c r="AH538" s="3" t="s">
        <v>112</v>
      </c>
      <c r="AI538" s="3" t="s">
        <v>48</v>
      </c>
      <c r="AJ538" s="3" t="s">
        <v>48</v>
      </c>
      <c r="AK538" s="3" t="s">
        <v>79</v>
      </c>
      <c r="AL538" s="3" t="s">
        <v>59</v>
      </c>
      <c r="AM538" s="3" t="s">
        <v>115</v>
      </c>
      <c r="AN538" s="3" t="s">
        <v>61</v>
      </c>
      <c r="AO538" s="3" t="s">
        <v>62</v>
      </c>
      <c r="AP538" s="3" t="s">
        <v>61</v>
      </c>
      <c r="AQ538" s="3" t="s">
        <v>61</v>
      </c>
      <c r="AR538" s="3" t="s">
        <v>48</v>
      </c>
    </row>
    <row r="539" spans="1:44" ht="30" customHeight="1">
      <c r="A539" s="3" t="s">
        <v>44</v>
      </c>
      <c r="B539" s="3" t="s">
        <v>45</v>
      </c>
      <c r="C539" s="3" t="s">
        <v>46</v>
      </c>
      <c r="D539" s="3" t="s">
        <v>130</v>
      </c>
      <c r="E539" s="3" t="s">
        <v>48</v>
      </c>
      <c r="F539" s="3" t="s">
        <v>135</v>
      </c>
      <c r="G539" s="3" t="s">
        <v>604</v>
      </c>
      <c r="H539" s="4">
        <f>IF(DATEDIF(L539,S539,"m")&gt;12,DATEDIF(L539,S539,"y"),(DATEDIF(L539,S539,"m")/12))</f>
        <v>31</v>
      </c>
      <c r="I539" s="7">
        <f>DATEDIF(L539,S539,"M")</f>
        <v>373</v>
      </c>
      <c r="J539" s="7">
        <f>DATEDIF(L539,S539,"D")</f>
        <v>11372</v>
      </c>
      <c r="K539" s="3" t="s">
        <v>51</v>
      </c>
      <c r="L539" s="8">
        <v>33604</v>
      </c>
      <c r="M539" s="3" t="s">
        <v>45</v>
      </c>
      <c r="N539" s="3" t="s">
        <v>83</v>
      </c>
      <c r="O539" s="3" t="s">
        <v>52</v>
      </c>
      <c r="P539" s="3" t="s">
        <v>169</v>
      </c>
      <c r="Q539" s="7">
        <v>1</v>
      </c>
      <c r="R539" s="8">
        <v>44979</v>
      </c>
      <c r="S539" s="8">
        <v>44976</v>
      </c>
      <c r="T539" s="3" t="s">
        <v>54</v>
      </c>
      <c r="U539" s="3" t="s">
        <v>55</v>
      </c>
      <c r="V539" s="9"/>
      <c r="W539" s="10">
        <v>44984</v>
      </c>
      <c r="X539" s="7">
        <v>5</v>
      </c>
      <c r="Y539" s="7">
        <v>3</v>
      </c>
      <c r="Z539" s="7">
        <v>2</v>
      </c>
      <c r="AA539" s="7">
        <f>INT((S539-DATE(YEAR(S539-WEEKDAY(S539-0)+4),1,4)+WEEKDAY(DATE(YEAR(S539-WEEKDAY(S539-0)+4),1,4))+6)/7)</f>
        <v>8</v>
      </c>
      <c r="AB539" s="3" t="s">
        <v>605</v>
      </c>
      <c r="AC539" s="7">
        <v>93</v>
      </c>
      <c r="AD539" s="7">
        <v>0</v>
      </c>
      <c r="AE539" s="7">
        <v>0</v>
      </c>
      <c r="AF539" s="3" t="s">
        <v>48</v>
      </c>
      <c r="AG539" s="7">
        <v>2023</v>
      </c>
      <c r="AH539" s="3" t="s">
        <v>139</v>
      </c>
      <c r="AI539" s="3" t="s">
        <v>113</v>
      </c>
      <c r="AJ539" s="3" t="s">
        <v>48</v>
      </c>
      <c r="AK539" s="3" t="s">
        <v>606</v>
      </c>
      <c r="AL539" s="3" t="s">
        <v>59</v>
      </c>
      <c r="AM539" s="3" t="s">
        <v>60</v>
      </c>
      <c r="AN539" s="3" t="s">
        <v>61</v>
      </c>
      <c r="AO539" s="3" t="s">
        <v>62</v>
      </c>
      <c r="AP539" s="3" t="s">
        <v>69</v>
      </c>
      <c r="AQ539" s="3" t="s">
        <v>61</v>
      </c>
      <c r="AR539" s="3" t="s">
        <v>48</v>
      </c>
    </row>
    <row r="540" spans="1:44" ht="30" customHeight="1">
      <c r="A540" s="3" t="s">
        <v>44</v>
      </c>
      <c r="B540" s="3" t="s">
        <v>45</v>
      </c>
      <c r="C540" s="3" t="s">
        <v>46</v>
      </c>
      <c r="D540" s="3" t="s">
        <v>47</v>
      </c>
      <c r="E540" s="3" t="s">
        <v>48</v>
      </c>
      <c r="F540" s="3" t="s">
        <v>1226</v>
      </c>
      <c r="G540" s="3" t="s">
        <v>2337</v>
      </c>
      <c r="H540" s="5">
        <f>IF(DATEDIF(L540,S540,"m")&gt;12,DATEDIF(L540,S540,"y"),(DATEDIF(L540,S540,"m")/12))</f>
        <v>0.75</v>
      </c>
      <c r="I540" s="7">
        <f>DATEDIF(L540,S540,"M")</f>
        <v>9</v>
      </c>
      <c r="J540" s="7">
        <f>DATEDIF(L540,S540,"D")</f>
        <v>286</v>
      </c>
      <c r="K540" s="3" t="s">
        <v>51</v>
      </c>
      <c r="L540" s="8">
        <v>44740</v>
      </c>
      <c r="M540" s="3" t="s">
        <v>45</v>
      </c>
      <c r="N540" s="3" t="s">
        <v>73</v>
      </c>
      <c r="O540" s="3" t="s">
        <v>52</v>
      </c>
      <c r="P540" s="3" t="s">
        <v>2338</v>
      </c>
      <c r="Q540" s="7">
        <v>0</v>
      </c>
      <c r="R540" s="8">
        <v>45033</v>
      </c>
      <c r="S540" s="8">
        <v>45026</v>
      </c>
      <c r="T540" s="3" t="s">
        <v>54</v>
      </c>
      <c r="U540" s="3" t="s">
        <v>55</v>
      </c>
      <c r="V540" s="9"/>
      <c r="W540" s="10">
        <v>45040</v>
      </c>
      <c r="X540" s="7">
        <v>7</v>
      </c>
      <c r="Y540" s="7">
        <v>7</v>
      </c>
      <c r="Z540" s="7">
        <v>4</v>
      </c>
      <c r="AA540" s="7">
        <f>INT((S540-DATE(YEAR(S540-WEEKDAY(S540-0)+4),1,4)+WEEKDAY(DATE(YEAR(S540-WEEKDAY(S540-0)+4),1,4))+6)/7)</f>
        <v>15</v>
      </c>
      <c r="AB540" s="3" t="s">
        <v>2339</v>
      </c>
      <c r="AC540" s="7">
        <v>190</v>
      </c>
      <c r="AD540" s="7">
        <v>0</v>
      </c>
      <c r="AE540" s="7">
        <v>0</v>
      </c>
      <c r="AF540" s="3" t="s">
        <v>48</v>
      </c>
      <c r="AG540" s="7">
        <v>2023</v>
      </c>
      <c r="AH540" s="3" t="s">
        <v>1229</v>
      </c>
      <c r="AI540" s="3" t="s">
        <v>48</v>
      </c>
      <c r="AJ540" s="3" t="s">
        <v>48</v>
      </c>
      <c r="AK540" s="3" t="s">
        <v>79</v>
      </c>
      <c r="AL540" s="3" t="s">
        <v>59</v>
      </c>
      <c r="AM540" s="3" t="s">
        <v>60</v>
      </c>
      <c r="AN540" s="3" t="s">
        <v>61</v>
      </c>
      <c r="AO540" s="3" t="s">
        <v>62</v>
      </c>
      <c r="AP540" s="3" t="s">
        <v>61</v>
      </c>
      <c r="AQ540" s="3" t="s">
        <v>61</v>
      </c>
      <c r="AR540" s="3" t="s">
        <v>48</v>
      </c>
    </row>
    <row r="541" spans="1:44" ht="30" customHeight="1">
      <c r="A541" s="3" t="s">
        <v>44</v>
      </c>
      <c r="B541" s="3" t="s">
        <v>45</v>
      </c>
      <c r="C541" s="12"/>
      <c r="D541" s="12"/>
      <c r="E541" s="12"/>
      <c r="F541" s="12"/>
      <c r="G541" s="12">
        <v>8845</v>
      </c>
      <c r="H541" s="4">
        <f>IF(DATEDIF(L541,S541,"m")&gt;12,DATEDIF(L541,S541,"y"),(DATEDIF(L541,S541,"m")/12))</f>
        <v>3</v>
      </c>
      <c r="I541" s="7">
        <f>DATEDIF(L541,S541,"M")</f>
        <v>38</v>
      </c>
      <c r="J541" s="7">
        <f>DATEDIF(L541,S541,"D")</f>
        <v>1170</v>
      </c>
      <c r="K541" s="12" t="s">
        <v>64</v>
      </c>
      <c r="L541" s="13">
        <v>43993</v>
      </c>
      <c r="M541" s="16" t="s">
        <v>45</v>
      </c>
      <c r="N541" s="12" t="s">
        <v>73</v>
      </c>
      <c r="O541" s="12" t="s">
        <v>52</v>
      </c>
      <c r="P541" s="12" t="s">
        <v>480</v>
      </c>
      <c r="Q541" s="12">
        <v>1</v>
      </c>
      <c r="R541" s="13">
        <v>45167</v>
      </c>
      <c r="S541" s="13">
        <v>45163</v>
      </c>
      <c r="T541" s="3" t="s">
        <v>54</v>
      </c>
      <c r="U541" s="12" t="s">
        <v>55</v>
      </c>
      <c r="W541" s="13">
        <v>45180</v>
      </c>
      <c r="X541" s="12"/>
      <c r="Y541" s="12"/>
      <c r="Z541" s="12">
        <f>MONTH(S541)</f>
        <v>8</v>
      </c>
      <c r="AA541" s="7">
        <f>INT((S541-DATE(YEAR(S541-WEEKDAY(S541-0)+4),1,4)+WEEKDAY(DATE(YEAR(S541-WEEKDAY(S541-0)+4),1,4))+6)/7)</f>
        <v>34</v>
      </c>
      <c r="AB541" s="12" t="s">
        <v>3017</v>
      </c>
      <c r="AC541" s="12"/>
      <c r="AD541" s="12"/>
      <c r="AE541" s="12"/>
      <c r="AF541" s="12"/>
      <c r="AG541" s="7">
        <v>2023</v>
      </c>
      <c r="AH541" s="12" t="s">
        <v>223</v>
      </c>
      <c r="AI541" s="12"/>
      <c r="AJ541" s="12"/>
      <c r="AK541" s="12" t="s">
        <v>3018</v>
      </c>
      <c r="AL541" s="3" t="s">
        <v>59</v>
      </c>
      <c r="AM541" s="12"/>
      <c r="AN541" s="12"/>
      <c r="AO541" s="12"/>
      <c r="AP541" s="12"/>
      <c r="AQ541" s="12"/>
      <c r="AR541" s="12"/>
    </row>
    <row r="542" spans="1:44" ht="30" customHeight="1">
      <c r="A542" s="3" t="s">
        <v>44</v>
      </c>
      <c r="B542" s="3" t="s">
        <v>45</v>
      </c>
      <c r="C542" s="12"/>
      <c r="D542" s="12"/>
      <c r="E542" s="12"/>
      <c r="F542" s="12"/>
      <c r="G542" s="12">
        <v>31256</v>
      </c>
      <c r="H542" s="4">
        <f>IF(DATEDIF(L542,S542,"m")&gt;12,DATEDIF(L542,S542,"y"),(DATEDIF(L542,S542,"m")/12))</f>
        <v>31</v>
      </c>
      <c r="I542" s="7">
        <f>DATEDIF(L542,S542,"M")</f>
        <v>381</v>
      </c>
      <c r="J542" s="7">
        <f>DATEDIF(L542,S542,"D")</f>
        <v>11613</v>
      </c>
      <c r="K542" s="12" t="s">
        <v>51</v>
      </c>
      <c r="L542" s="13">
        <v>33590</v>
      </c>
      <c r="M542" s="16" t="s">
        <v>45</v>
      </c>
      <c r="N542" s="12" t="s">
        <v>73</v>
      </c>
      <c r="O542" s="12" t="s">
        <v>52</v>
      </c>
      <c r="P542" s="12"/>
      <c r="Q542" s="12">
        <v>1</v>
      </c>
      <c r="R542" s="13">
        <v>45209</v>
      </c>
      <c r="S542" s="13">
        <v>45203</v>
      </c>
      <c r="T542" s="3" t="s">
        <v>54</v>
      </c>
      <c r="U542" s="12" t="s">
        <v>55</v>
      </c>
      <c r="W542" s="13">
        <v>45210</v>
      </c>
      <c r="X542" s="12"/>
      <c r="Y542" s="12"/>
      <c r="Z542" s="12">
        <f>MONTH(S542)</f>
        <v>10</v>
      </c>
      <c r="AA542" s="7">
        <f>INT((S542-DATE(YEAR(S542-WEEKDAY(S542-0)+4),1,4)+WEEKDAY(DATE(YEAR(S542-WEEKDAY(S542-0)+4),1,4))+6)/7)</f>
        <v>40</v>
      </c>
      <c r="AB542" s="12" t="s">
        <v>3257</v>
      </c>
      <c r="AC542" s="12"/>
      <c r="AD542" s="12"/>
      <c r="AE542" s="12"/>
      <c r="AF542" s="12"/>
      <c r="AG542" s="7">
        <v>2023</v>
      </c>
      <c r="AH542" s="12" t="s">
        <v>223</v>
      </c>
      <c r="AI542" s="12"/>
      <c r="AJ542" s="12"/>
      <c r="AK542" s="12" t="s">
        <v>3018</v>
      </c>
      <c r="AL542" s="3" t="s">
        <v>59</v>
      </c>
      <c r="AM542" s="12"/>
      <c r="AN542" s="12"/>
      <c r="AO542" s="12"/>
      <c r="AP542" s="12"/>
      <c r="AQ542" s="12"/>
      <c r="AR542" s="12"/>
    </row>
    <row r="543" spans="1:44" ht="30" customHeight="1">
      <c r="A543" s="3" t="s">
        <v>44</v>
      </c>
      <c r="B543" s="3" t="s">
        <v>45</v>
      </c>
      <c r="C543" s="3" t="s">
        <v>46</v>
      </c>
      <c r="D543" s="3" t="s">
        <v>70</v>
      </c>
      <c r="E543" s="3" t="s">
        <v>48</v>
      </c>
      <c r="F543" s="3" t="s">
        <v>71</v>
      </c>
      <c r="G543" s="3" t="s">
        <v>794</v>
      </c>
      <c r="H543" s="5">
        <f>IF(DATEDIF(L543,S543,"m")&gt;12,DATEDIF(L543,S543,"y"),(DATEDIF(L543,S543,"m")/12))</f>
        <v>0.33333333333333331</v>
      </c>
      <c r="I543" s="7">
        <f>DATEDIF(L543,S543,"M")</f>
        <v>4</v>
      </c>
      <c r="J543" s="7">
        <f>DATEDIF(L543,S543,"D")</f>
        <v>139</v>
      </c>
      <c r="K543" s="3" t="s">
        <v>51</v>
      </c>
      <c r="L543" s="8">
        <v>44838</v>
      </c>
      <c r="M543" s="3" t="s">
        <v>45</v>
      </c>
      <c r="N543" s="3" t="s">
        <v>159</v>
      </c>
      <c r="O543" s="3" t="s">
        <v>52</v>
      </c>
      <c r="P543" s="3" t="s">
        <v>406</v>
      </c>
      <c r="Q543" s="7">
        <v>1</v>
      </c>
      <c r="R543" s="8">
        <v>44978</v>
      </c>
      <c r="S543" s="8">
        <v>44977</v>
      </c>
      <c r="T543" s="3" t="s">
        <v>54</v>
      </c>
      <c r="U543" s="3" t="s">
        <v>55</v>
      </c>
      <c r="V543" s="9"/>
      <c r="W543" s="10">
        <v>44984</v>
      </c>
      <c r="X543" s="7">
        <v>6</v>
      </c>
      <c r="Y543" s="7">
        <v>1</v>
      </c>
      <c r="Z543" s="7">
        <v>2</v>
      </c>
      <c r="AA543" s="7">
        <f>INT((S543-DATE(YEAR(S543-WEEKDAY(S543-0)+4),1,4)+WEEKDAY(DATE(YEAR(S543-WEEKDAY(S543-0)+4),1,4))+6)/7)</f>
        <v>8</v>
      </c>
      <c r="AB543" s="3" t="s">
        <v>795</v>
      </c>
      <c r="AC543" s="7">
        <v>680</v>
      </c>
      <c r="AD543" s="7">
        <v>0</v>
      </c>
      <c r="AE543" s="7">
        <v>1</v>
      </c>
      <c r="AF543" s="3" t="s">
        <v>48</v>
      </c>
      <c r="AG543" s="7">
        <v>2023</v>
      </c>
      <c r="AH543" s="3" t="s">
        <v>76</v>
      </c>
      <c r="AI543" s="3" t="s">
        <v>77</v>
      </c>
      <c r="AJ543" s="3" t="s">
        <v>78</v>
      </c>
      <c r="AK543" s="3" t="s">
        <v>162</v>
      </c>
      <c r="AL543" s="3" t="s">
        <v>59</v>
      </c>
      <c r="AM543" s="3" t="s">
        <v>60</v>
      </c>
      <c r="AN543" s="3" t="s">
        <v>61</v>
      </c>
      <c r="AO543" s="3" t="s">
        <v>62</v>
      </c>
      <c r="AP543" s="3" t="s">
        <v>69</v>
      </c>
      <c r="AQ543" s="3" t="s">
        <v>61</v>
      </c>
      <c r="AR543" s="3" t="s">
        <v>48</v>
      </c>
    </row>
    <row r="544" spans="1:44" ht="30" customHeight="1">
      <c r="A544" s="3" t="s">
        <v>44</v>
      </c>
      <c r="B544" s="3" t="s">
        <v>45</v>
      </c>
      <c r="C544" s="3" t="s">
        <v>80</v>
      </c>
      <c r="D544" s="3" t="s">
        <v>416</v>
      </c>
      <c r="E544" s="3" t="s">
        <v>48</v>
      </c>
      <c r="F544" s="3" t="s">
        <v>759</v>
      </c>
      <c r="G544" s="3" t="s">
        <v>1066</v>
      </c>
      <c r="H544" s="5">
        <f>IF(DATEDIF(L544,S544,"m")&gt;12,DATEDIF(L544,S544,"y"),(DATEDIF(L544,S544,"m")/12))</f>
        <v>0.91666666666666663</v>
      </c>
      <c r="I544" s="7">
        <f>DATEDIF(L544,S544,"M")</f>
        <v>11</v>
      </c>
      <c r="J544" s="7">
        <f>DATEDIF(L544,S544,"D")</f>
        <v>335</v>
      </c>
      <c r="K544" s="3" t="s">
        <v>64</v>
      </c>
      <c r="L544" s="8">
        <v>44601</v>
      </c>
      <c r="M544" s="3" t="s">
        <v>45</v>
      </c>
      <c r="N544" s="3" t="s">
        <v>73</v>
      </c>
      <c r="O544" s="3" t="s">
        <v>52</v>
      </c>
      <c r="P544" s="3" t="s">
        <v>1037</v>
      </c>
      <c r="Q544" s="7">
        <v>1</v>
      </c>
      <c r="R544" s="8">
        <v>44940</v>
      </c>
      <c r="S544" s="8">
        <v>44936</v>
      </c>
      <c r="T544" s="3" t="s">
        <v>54</v>
      </c>
      <c r="U544" s="3" t="s">
        <v>55</v>
      </c>
      <c r="V544" s="9"/>
      <c r="W544" s="10">
        <v>44942</v>
      </c>
      <c r="X544" s="7">
        <v>2</v>
      </c>
      <c r="Y544" s="7">
        <v>4</v>
      </c>
      <c r="Z544" s="7">
        <v>1</v>
      </c>
      <c r="AA544" s="7">
        <f>INT((S544-DATE(YEAR(S544-WEEKDAY(S544-0)+4),1,4)+WEEKDAY(DATE(YEAR(S544-WEEKDAY(S544-0)+4),1,4))+6)/7)</f>
        <v>2</v>
      </c>
      <c r="AB544" s="3" t="s">
        <v>1067</v>
      </c>
      <c r="AC544" s="7">
        <v>6905</v>
      </c>
      <c r="AD544" s="7">
        <v>0</v>
      </c>
      <c r="AE544" s="7">
        <v>0</v>
      </c>
      <c r="AF544" s="3" t="s">
        <v>48</v>
      </c>
      <c r="AG544" s="7">
        <v>2023</v>
      </c>
      <c r="AH544" s="12" t="s">
        <v>1068</v>
      </c>
      <c r="AI544" s="3" t="s">
        <v>48</v>
      </c>
      <c r="AJ544" s="3" t="s">
        <v>48</v>
      </c>
      <c r="AK544" s="3" t="s">
        <v>457</v>
      </c>
      <c r="AL544" s="3" t="s">
        <v>59</v>
      </c>
      <c r="AM544" s="3" t="s">
        <v>99</v>
      </c>
      <c r="AN544" s="3" t="s">
        <v>61</v>
      </c>
      <c r="AO544" s="3" t="s">
        <v>62</v>
      </c>
      <c r="AP544" s="3" t="s">
        <v>69</v>
      </c>
      <c r="AQ544" s="3" t="s">
        <v>61</v>
      </c>
      <c r="AR544" s="3" t="s">
        <v>48</v>
      </c>
    </row>
    <row r="545" spans="1:44" ht="30" customHeight="1">
      <c r="A545" s="3" t="s">
        <v>44</v>
      </c>
      <c r="B545" s="3" t="s">
        <v>45</v>
      </c>
      <c r="C545" s="3" t="s">
        <v>46</v>
      </c>
      <c r="D545" s="3" t="s">
        <v>186</v>
      </c>
      <c r="E545" s="3" t="s">
        <v>48</v>
      </c>
      <c r="F545" s="3" t="s">
        <v>271</v>
      </c>
      <c r="G545" s="3" t="s">
        <v>964</v>
      </c>
      <c r="H545" s="4">
        <f>IF(DATEDIF(L545,S545,"m")&gt;12,DATEDIF(L545,S545,"y"),(DATEDIF(L545,S545,"m")/12))</f>
        <v>7</v>
      </c>
      <c r="I545" s="7">
        <f>DATEDIF(L545,S545,"M")</f>
        <v>87</v>
      </c>
      <c r="J545" s="7">
        <f>DATEDIF(L545,S545,"D")</f>
        <v>2659</v>
      </c>
      <c r="K545" s="3" t="s">
        <v>64</v>
      </c>
      <c r="L545" s="8">
        <v>42316</v>
      </c>
      <c r="M545" s="3" t="s">
        <v>45</v>
      </c>
      <c r="N545" s="3" t="s">
        <v>187</v>
      </c>
      <c r="O545" s="3" t="s">
        <v>52</v>
      </c>
      <c r="P545" s="3" t="s">
        <v>965</v>
      </c>
      <c r="Q545" s="7">
        <v>0</v>
      </c>
      <c r="R545" s="8">
        <v>44978</v>
      </c>
      <c r="S545" s="8">
        <v>44975</v>
      </c>
      <c r="T545" s="3" t="s">
        <v>54</v>
      </c>
      <c r="U545" s="3" t="s">
        <v>55</v>
      </c>
      <c r="V545" s="9"/>
      <c r="W545" s="10">
        <v>44984</v>
      </c>
      <c r="X545" s="7">
        <v>6</v>
      </c>
      <c r="Y545" s="7">
        <v>3</v>
      </c>
      <c r="Z545" s="7">
        <v>2</v>
      </c>
      <c r="AA545" s="7">
        <f>INT((S545-DATE(YEAR(S545-WEEKDAY(S545-0)+4),1,4)+WEEKDAY(DATE(YEAR(S545-WEEKDAY(S545-0)+4),1,4))+6)/7)</f>
        <v>7</v>
      </c>
      <c r="AB545" s="3" t="s">
        <v>966</v>
      </c>
      <c r="AC545" s="7">
        <v>120</v>
      </c>
      <c r="AD545" s="7">
        <v>0</v>
      </c>
      <c r="AE545" s="7">
        <v>0</v>
      </c>
      <c r="AF545" s="3" t="s">
        <v>48</v>
      </c>
      <c r="AG545" s="7">
        <v>2023</v>
      </c>
      <c r="AH545" s="3" t="s">
        <v>276</v>
      </c>
      <c r="AI545" s="3" t="s">
        <v>191</v>
      </c>
      <c r="AJ545" s="3" t="s">
        <v>186</v>
      </c>
      <c r="AK545" s="18" t="s">
        <v>822</v>
      </c>
      <c r="AL545" s="3" t="s">
        <v>59</v>
      </c>
      <c r="AM545" s="3" t="s">
        <v>60</v>
      </c>
      <c r="AN545" s="3" t="s">
        <v>61</v>
      </c>
      <c r="AO545" s="3" t="s">
        <v>62</v>
      </c>
      <c r="AP545" s="3" t="s">
        <v>69</v>
      </c>
      <c r="AQ545" s="3" t="s">
        <v>61</v>
      </c>
      <c r="AR545" s="3" t="s">
        <v>48</v>
      </c>
    </row>
    <row r="546" spans="1:44" ht="30" customHeight="1">
      <c r="A546" s="3" t="s">
        <v>44</v>
      </c>
      <c r="B546" s="3" t="s">
        <v>45</v>
      </c>
      <c r="C546" s="3" t="s">
        <v>46</v>
      </c>
      <c r="D546" s="3" t="s">
        <v>186</v>
      </c>
      <c r="E546" s="3" t="s">
        <v>48</v>
      </c>
      <c r="F546" s="3" t="s">
        <v>271</v>
      </c>
      <c r="G546" s="3" t="s">
        <v>969</v>
      </c>
      <c r="H546" s="5">
        <f>IF(DATEDIF(L546,S546,"m")&gt;12,DATEDIF(L546,S546,"y"),(DATEDIF(L546,S546,"m")/12))</f>
        <v>0.33333333333333331</v>
      </c>
      <c r="I546" s="7">
        <f>DATEDIF(L546,S546,"M")</f>
        <v>4</v>
      </c>
      <c r="J546" s="7">
        <f>DATEDIF(L546,S546,"D")</f>
        <v>133</v>
      </c>
      <c r="K546" s="3" t="s">
        <v>64</v>
      </c>
      <c r="L546" s="8">
        <v>44842</v>
      </c>
      <c r="M546" s="3" t="s">
        <v>45</v>
      </c>
      <c r="N546" s="3" t="s">
        <v>187</v>
      </c>
      <c r="O546" s="3" t="s">
        <v>52</v>
      </c>
      <c r="P546" s="3" t="s">
        <v>970</v>
      </c>
      <c r="Q546" s="7">
        <v>0</v>
      </c>
      <c r="R546" s="8">
        <v>44977</v>
      </c>
      <c r="S546" s="8">
        <v>44975</v>
      </c>
      <c r="T546" s="3" t="s">
        <v>54</v>
      </c>
      <c r="U546" s="3" t="s">
        <v>55</v>
      </c>
      <c r="V546" s="9"/>
      <c r="W546" s="10">
        <v>44984</v>
      </c>
      <c r="X546" s="7">
        <v>7</v>
      </c>
      <c r="Y546" s="7">
        <v>2</v>
      </c>
      <c r="Z546" s="7">
        <v>2</v>
      </c>
      <c r="AA546" s="7">
        <f>INT((S546-DATE(YEAR(S546-WEEKDAY(S546-0)+4),1,4)+WEEKDAY(DATE(YEAR(S546-WEEKDAY(S546-0)+4),1,4))+6)/7)</f>
        <v>7</v>
      </c>
      <c r="AB546" s="3" t="s">
        <v>971</v>
      </c>
      <c r="AC546" s="7">
        <v>119</v>
      </c>
      <c r="AD546" s="7">
        <v>0</v>
      </c>
      <c r="AE546" s="7">
        <v>0</v>
      </c>
      <c r="AF546" s="3" t="s">
        <v>48</v>
      </c>
      <c r="AG546" s="7">
        <v>2023</v>
      </c>
      <c r="AH546" s="3" t="s">
        <v>276</v>
      </c>
      <c r="AI546" s="3" t="s">
        <v>191</v>
      </c>
      <c r="AJ546" s="3" t="s">
        <v>186</v>
      </c>
      <c r="AK546" s="3" t="s">
        <v>883</v>
      </c>
      <c r="AL546" s="3" t="s">
        <v>59</v>
      </c>
      <c r="AM546" s="3" t="s">
        <v>60</v>
      </c>
      <c r="AN546" s="3" t="s">
        <v>61</v>
      </c>
      <c r="AO546" s="3" t="s">
        <v>62</v>
      </c>
      <c r="AP546" s="3" t="s">
        <v>69</v>
      </c>
      <c r="AQ546" s="3" t="s">
        <v>61</v>
      </c>
      <c r="AR546" s="3" t="s">
        <v>48</v>
      </c>
    </row>
    <row r="547" spans="1:44" ht="30" customHeight="1">
      <c r="A547" s="3" t="s">
        <v>44</v>
      </c>
      <c r="B547" s="3" t="s">
        <v>45</v>
      </c>
      <c r="C547" s="3" t="s">
        <v>46</v>
      </c>
      <c r="D547" s="3" t="s">
        <v>108</v>
      </c>
      <c r="E547" s="3" t="s">
        <v>48</v>
      </c>
      <c r="F547" s="3" t="s">
        <v>108</v>
      </c>
      <c r="G547" s="3" t="s">
        <v>1650</v>
      </c>
      <c r="H547" s="4">
        <f>IF(DATEDIF(L547,S547,"m")&gt;12,DATEDIF(L547,S547,"y"),(DATEDIF(L547,S547,"m")/12))</f>
        <v>54</v>
      </c>
      <c r="I547" s="7">
        <f>DATEDIF(L547,S547,"M")</f>
        <v>658</v>
      </c>
      <c r="J547" s="7">
        <f>DATEDIF(L547,S547,"D")</f>
        <v>20036</v>
      </c>
      <c r="K547" s="3" t="s">
        <v>64</v>
      </c>
      <c r="L547" s="8">
        <v>24911</v>
      </c>
      <c r="M547" s="3" t="s">
        <v>45</v>
      </c>
      <c r="N547" s="3" t="s">
        <v>73</v>
      </c>
      <c r="O547" s="3" t="s">
        <v>52</v>
      </c>
      <c r="P547" s="3" t="s">
        <v>962</v>
      </c>
      <c r="Q547" s="7">
        <v>0</v>
      </c>
      <c r="R547" s="8">
        <v>44951</v>
      </c>
      <c r="S547" s="8">
        <v>44947</v>
      </c>
      <c r="T547" s="3" t="s">
        <v>54</v>
      </c>
      <c r="U547" s="3" t="s">
        <v>55</v>
      </c>
      <c r="V547" s="9"/>
      <c r="W547" s="10">
        <v>44957</v>
      </c>
      <c r="X547" s="7">
        <v>6</v>
      </c>
      <c r="Y547" s="7">
        <v>4</v>
      </c>
      <c r="Z547" s="7">
        <v>1</v>
      </c>
      <c r="AA547" s="7">
        <f>INT((S547-DATE(YEAR(S547-WEEKDAY(S547-0)+4),1,4)+WEEKDAY(DATE(YEAR(S547-WEEKDAY(S547-0)+4),1,4))+6)/7)</f>
        <v>3</v>
      </c>
      <c r="AB547" s="3" t="s">
        <v>1651</v>
      </c>
      <c r="AC547" s="7">
        <v>168</v>
      </c>
      <c r="AD547" s="7">
        <v>0</v>
      </c>
      <c r="AE547" s="7">
        <v>0</v>
      </c>
      <c r="AF547" s="3" t="s">
        <v>48</v>
      </c>
      <c r="AG547" s="7">
        <v>2023</v>
      </c>
      <c r="AH547" s="3" t="s">
        <v>112</v>
      </c>
      <c r="AI547" s="3" t="s">
        <v>113</v>
      </c>
      <c r="AJ547" s="3" t="s">
        <v>48</v>
      </c>
      <c r="AK547" s="3" t="s">
        <v>457</v>
      </c>
      <c r="AL547" s="3" t="s">
        <v>59</v>
      </c>
      <c r="AM547" s="3" t="s">
        <v>115</v>
      </c>
      <c r="AN547" s="3" t="s">
        <v>61</v>
      </c>
      <c r="AO547" s="3" t="s">
        <v>62</v>
      </c>
      <c r="AP547" s="3" t="s">
        <v>69</v>
      </c>
      <c r="AQ547" s="3" t="s">
        <v>61</v>
      </c>
      <c r="AR547" s="3" t="s">
        <v>48</v>
      </c>
    </row>
    <row r="548" spans="1:44" ht="30" customHeight="1">
      <c r="A548" s="3" t="s">
        <v>44</v>
      </c>
      <c r="B548" s="3" t="s">
        <v>45</v>
      </c>
      <c r="C548" s="3" t="s">
        <v>46</v>
      </c>
      <c r="D548" s="3" t="s">
        <v>108</v>
      </c>
      <c r="E548" s="3" t="s">
        <v>48</v>
      </c>
      <c r="F548" s="3" t="s">
        <v>108</v>
      </c>
      <c r="G548" s="3" t="s">
        <v>1391</v>
      </c>
      <c r="H548" s="4">
        <f>IF(DATEDIF(L548,S548,"m")&gt;12,DATEDIF(L548,S548,"y"),(DATEDIF(L548,S548,"m")/12))</f>
        <v>5</v>
      </c>
      <c r="I548" s="7">
        <f>DATEDIF(L548,S548,"M")</f>
        <v>71</v>
      </c>
      <c r="J548" s="7">
        <f>DATEDIF(L548,S548,"D")</f>
        <v>2175</v>
      </c>
      <c r="K548" s="3" t="s">
        <v>64</v>
      </c>
      <c r="L548" s="8">
        <v>42785</v>
      </c>
      <c r="M548" s="3" t="s">
        <v>45</v>
      </c>
      <c r="N548" s="3" t="s">
        <v>73</v>
      </c>
      <c r="O548" s="3" t="s">
        <v>52</v>
      </c>
      <c r="P548" s="3" t="s">
        <v>463</v>
      </c>
      <c r="Q548" s="7">
        <v>0</v>
      </c>
      <c r="R548" s="8">
        <v>44963</v>
      </c>
      <c r="S548" s="8">
        <v>44960</v>
      </c>
      <c r="T548" s="3" t="s">
        <v>54</v>
      </c>
      <c r="U548" s="3" t="s">
        <v>55</v>
      </c>
      <c r="V548" s="9"/>
      <c r="W548" s="10">
        <v>44971</v>
      </c>
      <c r="X548" s="7">
        <v>8</v>
      </c>
      <c r="Y548" s="7">
        <v>3</v>
      </c>
      <c r="Z548" s="7">
        <v>2</v>
      </c>
      <c r="AA548" s="7">
        <f>INT((S548-DATE(YEAR(S548-WEEKDAY(S548-0)+4),1,4)+WEEKDAY(DATE(YEAR(S548-WEEKDAY(S548-0)+4),1,4))+6)/7)</f>
        <v>5</v>
      </c>
      <c r="AB548" s="3" t="s">
        <v>1392</v>
      </c>
      <c r="AC548" s="7">
        <v>212</v>
      </c>
      <c r="AD548" s="7">
        <v>0</v>
      </c>
      <c r="AE548" s="7">
        <v>0</v>
      </c>
      <c r="AF548" s="3" t="s">
        <v>48</v>
      </c>
      <c r="AG548" s="7">
        <v>2023</v>
      </c>
      <c r="AH548" s="3" t="s">
        <v>112</v>
      </c>
      <c r="AI548" s="3" t="s">
        <v>113</v>
      </c>
      <c r="AJ548" s="3" t="s">
        <v>48</v>
      </c>
      <c r="AK548" s="3" t="s">
        <v>457</v>
      </c>
      <c r="AL548" s="3" t="s">
        <v>59</v>
      </c>
      <c r="AM548" s="3" t="s">
        <v>115</v>
      </c>
      <c r="AN548" s="3" t="s">
        <v>61</v>
      </c>
      <c r="AO548" s="3" t="s">
        <v>62</v>
      </c>
      <c r="AP548" s="3" t="s">
        <v>69</v>
      </c>
      <c r="AQ548" s="3" t="s">
        <v>69</v>
      </c>
      <c r="AR548" s="3" t="s">
        <v>1374</v>
      </c>
    </row>
    <row r="549" spans="1:44" ht="30" customHeight="1">
      <c r="A549" s="3" t="s">
        <v>44</v>
      </c>
      <c r="B549" s="3" t="s">
        <v>45</v>
      </c>
      <c r="C549" s="3" t="s">
        <v>46</v>
      </c>
      <c r="D549" s="3" t="s">
        <v>70</v>
      </c>
      <c r="E549" s="3" t="s">
        <v>48</v>
      </c>
      <c r="F549" s="3" t="s">
        <v>71</v>
      </c>
      <c r="G549" s="3" t="s">
        <v>1081</v>
      </c>
      <c r="H549" s="4">
        <f>IF(DATEDIF(L549,S549,"m")&gt;12,DATEDIF(L549,S549,"y"),(DATEDIF(L549,S549,"m")/12))</f>
        <v>75</v>
      </c>
      <c r="I549" s="7">
        <f>DATEDIF(L549,S549,"M")</f>
        <v>909</v>
      </c>
      <c r="J549" s="7">
        <f>DATEDIF(L549,S549,"D")</f>
        <v>27679</v>
      </c>
      <c r="K549" s="3" t="s">
        <v>51</v>
      </c>
      <c r="L549" s="8">
        <v>17302</v>
      </c>
      <c r="M549" s="3" t="s">
        <v>45</v>
      </c>
      <c r="N549" s="3" t="s">
        <v>329</v>
      </c>
      <c r="O549" s="3" t="s">
        <v>52</v>
      </c>
      <c r="P549" s="3" t="s">
        <v>685</v>
      </c>
      <c r="Q549" s="7">
        <v>1</v>
      </c>
      <c r="R549" s="8">
        <v>44982</v>
      </c>
      <c r="S549" s="8">
        <v>44981</v>
      </c>
      <c r="T549" s="3" t="s">
        <v>54</v>
      </c>
      <c r="U549" s="3" t="s">
        <v>55</v>
      </c>
      <c r="V549" s="9"/>
      <c r="W549" s="10">
        <v>44984</v>
      </c>
      <c r="X549" s="7">
        <v>2</v>
      </c>
      <c r="Y549" s="7">
        <v>1</v>
      </c>
      <c r="Z549" s="7">
        <v>2</v>
      </c>
      <c r="AA549" s="7">
        <f>INT((S549-DATE(YEAR(S549-WEEKDAY(S549-0)+4),1,4)+WEEKDAY(DATE(YEAR(S549-WEEKDAY(S549-0)+4),1,4))+6)/7)</f>
        <v>8</v>
      </c>
      <c r="AB549" s="3" t="s">
        <v>1082</v>
      </c>
      <c r="AC549" s="7">
        <v>685</v>
      </c>
      <c r="AD549" s="7">
        <v>0</v>
      </c>
      <c r="AE549" s="7">
        <v>1</v>
      </c>
      <c r="AF549" s="3" t="s">
        <v>48</v>
      </c>
      <c r="AG549" s="7">
        <v>2023</v>
      </c>
      <c r="AH549" s="3" t="s">
        <v>76</v>
      </c>
      <c r="AI549" s="3" t="s">
        <v>166</v>
      </c>
      <c r="AJ549" s="3" t="s">
        <v>78</v>
      </c>
      <c r="AK549" s="3" t="s">
        <v>1083</v>
      </c>
      <c r="AL549" s="3" t="s">
        <v>59</v>
      </c>
      <c r="AM549" s="3" t="s">
        <v>60</v>
      </c>
      <c r="AN549" s="3" t="s">
        <v>69</v>
      </c>
      <c r="AO549" s="3" t="s">
        <v>62</v>
      </c>
      <c r="AP549" s="3" t="s">
        <v>69</v>
      </c>
      <c r="AQ549" s="3" t="s">
        <v>61</v>
      </c>
      <c r="AR549" s="3" t="s">
        <v>48</v>
      </c>
    </row>
    <row r="550" spans="1:44" ht="30" customHeight="1">
      <c r="A550" s="3" t="s">
        <v>44</v>
      </c>
      <c r="B550" s="3" t="s">
        <v>45</v>
      </c>
      <c r="C550" s="3" t="s">
        <v>46</v>
      </c>
      <c r="D550" s="3" t="s">
        <v>130</v>
      </c>
      <c r="E550" s="3" t="s">
        <v>48</v>
      </c>
      <c r="F550" s="3" t="s">
        <v>135</v>
      </c>
      <c r="G550" s="3" t="s">
        <v>1142</v>
      </c>
      <c r="H550" s="4">
        <f>IF(DATEDIF(L550,S550,"m")&gt;12,DATEDIF(L550,S550,"y"),(DATEDIF(L550,S550,"m")/12))</f>
        <v>64</v>
      </c>
      <c r="I550" s="7">
        <f>DATEDIF(L550,S550,"M")</f>
        <v>773</v>
      </c>
      <c r="J550" s="7">
        <f>DATEDIF(L550,S550,"D")</f>
        <v>23537</v>
      </c>
      <c r="K550" s="3" t="s">
        <v>64</v>
      </c>
      <c r="L550" s="8">
        <v>21442</v>
      </c>
      <c r="M550" s="3" t="s">
        <v>45</v>
      </c>
      <c r="N550" s="3" t="s">
        <v>83</v>
      </c>
      <c r="O550" s="3" t="s">
        <v>52</v>
      </c>
      <c r="P550" s="3" t="s">
        <v>169</v>
      </c>
      <c r="Q550" s="7">
        <v>1</v>
      </c>
      <c r="R550" s="8">
        <v>44982</v>
      </c>
      <c r="S550" s="8">
        <v>44979</v>
      </c>
      <c r="T550" s="3" t="s">
        <v>54</v>
      </c>
      <c r="U550" s="3" t="s">
        <v>55</v>
      </c>
      <c r="V550" s="9"/>
      <c r="W550" s="10">
        <v>44984</v>
      </c>
      <c r="X550" s="7">
        <v>2</v>
      </c>
      <c r="Y550" s="7">
        <v>3</v>
      </c>
      <c r="Z550" s="7">
        <v>2</v>
      </c>
      <c r="AA550" s="7">
        <f>INT((S550-DATE(YEAR(S550-WEEKDAY(S550-0)+4),1,4)+WEEKDAY(DATE(YEAR(S550-WEEKDAY(S550-0)+4),1,4))+6)/7)</f>
        <v>8</v>
      </c>
      <c r="AB550" s="3" t="s">
        <v>1143</v>
      </c>
      <c r="AC550" s="7">
        <v>94</v>
      </c>
      <c r="AD550" s="7">
        <v>0</v>
      </c>
      <c r="AE550" s="7">
        <v>0</v>
      </c>
      <c r="AF550" s="3" t="s">
        <v>48</v>
      </c>
      <c r="AG550" s="7">
        <v>2023</v>
      </c>
      <c r="AH550" s="3" t="s">
        <v>139</v>
      </c>
      <c r="AI550" s="3" t="s">
        <v>113</v>
      </c>
      <c r="AJ550" s="3" t="s">
        <v>48</v>
      </c>
      <c r="AK550" s="3" t="s">
        <v>459</v>
      </c>
      <c r="AL550" s="3" t="s">
        <v>59</v>
      </c>
      <c r="AM550" s="3" t="s">
        <v>60</v>
      </c>
      <c r="AN550" s="3" t="s">
        <v>61</v>
      </c>
      <c r="AO550" s="3" t="s">
        <v>62</v>
      </c>
      <c r="AP550" s="3" t="s">
        <v>69</v>
      </c>
      <c r="AQ550" s="3" t="s">
        <v>61</v>
      </c>
      <c r="AR550" s="3" t="s">
        <v>48</v>
      </c>
    </row>
    <row r="551" spans="1:44" ht="30" customHeight="1">
      <c r="A551" s="3" t="s">
        <v>44</v>
      </c>
      <c r="B551" s="3" t="s">
        <v>45</v>
      </c>
      <c r="C551" s="3" t="s">
        <v>46</v>
      </c>
      <c r="D551" s="3" t="s">
        <v>70</v>
      </c>
      <c r="E551" s="3" t="s">
        <v>48</v>
      </c>
      <c r="F551" s="3" t="s">
        <v>71</v>
      </c>
      <c r="G551" s="3" t="s">
        <v>1576</v>
      </c>
      <c r="H551" s="5">
        <f>IF(DATEDIF(L551,S551,"m")&gt;12,DATEDIF(L551,S551,"y"),(DATEDIF(L551,S551,"m")/12))</f>
        <v>0.41666666666666669</v>
      </c>
      <c r="I551" s="7">
        <f>DATEDIF(L551,S551,"M")</f>
        <v>5</v>
      </c>
      <c r="J551" s="7">
        <f>DATEDIF(L551,S551,"D")</f>
        <v>174</v>
      </c>
      <c r="K551" s="3" t="s">
        <v>51</v>
      </c>
      <c r="L551" s="8">
        <v>44794</v>
      </c>
      <c r="M551" s="3" t="s">
        <v>45</v>
      </c>
      <c r="N551" s="3" t="s">
        <v>73</v>
      </c>
      <c r="O551" s="3" t="s">
        <v>52</v>
      </c>
      <c r="P551" s="3" t="s">
        <v>169</v>
      </c>
      <c r="Q551" s="7">
        <v>1</v>
      </c>
      <c r="R551" s="8">
        <v>44969</v>
      </c>
      <c r="S551" s="8">
        <v>44968</v>
      </c>
      <c r="T551" s="3" t="s">
        <v>54</v>
      </c>
      <c r="U551" s="3" t="s">
        <v>55</v>
      </c>
      <c r="V551" s="9"/>
      <c r="W551" s="10">
        <v>44971</v>
      </c>
      <c r="X551" s="7">
        <v>2</v>
      </c>
      <c r="Y551" s="7">
        <v>1</v>
      </c>
      <c r="Z551" s="7">
        <v>2</v>
      </c>
      <c r="AA551" s="7">
        <f>INT((S551-DATE(YEAR(S551-WEEKDAY(S551-0)+4),1,4)+WEEKDAY(DATE(YEAR(S551-WEEKDAY(S551-0)+4),1,4))+6)/7)</f>
        <v>6</v>
      </c>
      <c r="AB551" s="3" t="s">
        <v>1577</v>
      </c>
      <c r="AC551" s="7">
        <v>667</v>
      </c>
      <c r="AD551" s="7">
        <v>0</v>
      </c>
      <c r="AE551" s="7">
        <v>1</v>
      </c>
      <c r="AF551" s="3" t="s">
        <v>48</v>
      </c>
      <c r="AG551" s="7">
        <v>2023</v>
      </c>
      <c r="AH551" s="26" t="s">
        <v>76</v>
      </c>
      <c r="AI551" s="3" t="s">
        <v>77</v>
      </c>
      <c r="AJ551" s="3" t="s">
        <v>78</v>
      </c>
      <c r="AK551" s="3" t="s">
        <v>457</v>
      </c>
      <c r="AL551" s="3" t="s">
        <v>59</v>
      </c>
      <c r="AM551" s="3" t="s">
        <v>60</v>
      </c>
      <c r="AN551" s="3" t="s">
        <v>61</v>
      </c>
      <c r="AO551" s="3" t="s">
        <v>62</v>
      </c>
      <c r="AP551" s="3" t="s">
        <v>69</v>
      </c>
      <c r="AQ551" s="3" t="s">
        <v>61</v>
      </c>
      <c r="AR551" s="3" t="s">
        <v>48</v>
      </c>
    </row>
    <row r="552" spans="1:44" ht="30" customHeight="1">
      <c r="A552" s="3" t="s">
        <v>44</v>
      </c>
      <c r="B552" s="3" t="s">
        <v>45</v>
      </c>
      <c r="C552" s="3" t="s">
        <v>46</v>
      </c>
      <c r="D552" s="3" t="s">
        <v>186</v>
      </c>
      <c r="E552" s="3" t="s">
        <v>48</v>
      </c>
      <c r="F552" s="3" t="s">
        <v>271</v>
      </c>
      <c r="G552" s="3" t="s">
        <v>1338</v>
      </c>
      <c r="H552" s="4">
        <f>IF(DATEDIF(L552,S552,"m")&gt;12,DATEDIF(L552,S552,"y"),(DATEDIF(L552,S552,"m")/12))</f>
        <v>69</v>
      </c>
      <c r="I552" s="7">
        <f>DATEDIF(L552,S552,"M")</f>
        <v>834</v>
      </c>
      <c r="J552" s="7">
        <f>DATEDIF(L552,S552,"D")</f>
        <v>25394</v>
      </c>
      <c r="K552" s="3" t="s">
        <v>64</v>
      </c>
      <c r="L552" s="8">
        <v>19586</v>
      </c>
      <c r="M552" s="3" t="s">
        <v>45</v>
      </c>
      <c r="N552" s="3" t="s">
        <v>159</v>
      </c>
      <c r="O552" s="3" t="s">
        <v>52</v>
      </c>
      <c r="P552" s="3" t="s">
        <v>962</v>
      </c>
      <c r="Q552" s="7">
        <v>1</v>
      </c>
      <c r="R552" s="8">
        <v>44980</v>
      </c>
      <c r="S552" s="8">
        <v>44980</v>
      </c>
      <c r="T552" s="3" t="s">
        <v>274</v>
      </c>
      <c r="U552" s="3" t="s">
        <v>55</v>
      </c>
      <c r="V552" s="9"/>
      <c r="W552" s="10">
        <v>44984</v>
      </c>
      <c r="X552" s="7">
        <v>4</v>
      </c>
      <c r="Y552" s="7">
        <v>0</v>
      </c>
      <c r="Z552" s="7">
        <v>2</v>
      </c>
      <c r="AA552" s="7">
        <f>INT((S552-DATE(YEAR(S552-WEEKDAY(S552-0)+4),1,4)+WEEKDAY(DATE(YEAR(S552-WEEKDAY(S552-0)+4),1,4))+6)/7)</f>
        <v>8</v>
      </c>
      <c r="AB552" s="3" t="s">
        <v>1339</v>
      </c>
      <c r="AC552" s="7">
        <v>121</v>
      </c>
      <c r="AD552" s="7">
        <v>0</v>
      </c>
      <c r="AE552" s="7">
        <v>0</v>
      </c>
      <c r="AF552" s="3" t="s">
        <v>48</v>
      </c>
      <c r="AG552" s="7">
        <v>2023</v>
      </c>
      <c r="AH552" s="3" t="s">
        <v>276</v>
      </c>
      <c r="AI552" s="3" t="s">
        <v>106</v>
      </c>
      <c r="AJ552" s="3" t="s">
        <v>186</v>
      </c>
      <c r="AK552" s="3" t="s">
        <v>1340</v>
      </c>
      <c r="AL552" s="3" t="s">
        <v>278</v>
      </c>
      <c r="AM552" s="3" t="s">
        <v>60</v>
      </c>
      <c r="AN552" s="3" t="s">
        <v>61</v>
      </c>
      <c r="AO552" s="3" t="s">
        <v>279</v>
      </c>
      <c r="AP552" s="3" t="s">
        <v>69</v>
      </c>
      <c r="AQ552" s="3" t="s">
        <v>61</v>
      </c>
      <c r="AR552" s="3" t="s">
        <v>48</v>
      </c>
    </row>
    <row r="553" spans="1:44" ht="30" customHeight="1">
      <c r="A553" s="3" t="s">
        <v>44</v>
      </c>
      <c r="B553" s="3" t="s">
        <v>45</v>
      </c>
      <c r="C553" s="3" t="s">
        <v>46</v>
      </c>
      <c r="D553" s="3" t="s">
        <v>100</v>
      </c>
      <c r="E553" s="3" t="s">
        <v>48</v>
      </c>
      <c r="F553" s="3" t="s">
        <v>48</v>
      </c>
      <c r="G553" s="3" t="s">
        <v>48</v>
      </c>
      <c r="H553" s="5">
        <f>IF(DATEDIF(L553,S553,"m")&gt;12,DATEDIF(L553,S553,"y"),(DATEDIF(L553,S553,"m")/12))</f>
        <v>0.75</v>
      </c>
      <c r="I553" s="7">
        <f>DATEDIF(L553,S553,"M")</f>
        <v>9</v>
      </c>
      <c r="J553" s="7">
        <f>DATEDIF(L553,S553,"D")</f>
        <v>283</v>
      </c>
      <c r="K553" s="3" t="s">
        <v>51</v>
      </c>
      <c r="L553" s="8">
        <v>44707</v>
      </c>
      <c r="M553" s="3" t="s">
        <v>45</v>
      </c>
      <c r="N553" s="3" t="s">
        <v>73</v>
      </c>
      <c r="O553" s="3" t="s">
        <v>52</v>
      </c>
      <c r="P553" s="3" t="s">
        <v>625</v>
      </c>
      <c r="Q553" s="7">
        <v>1</v>
      </c>
      <c r="R553" s="8">
        <v>44993</v>
      </c>
      <c r="S553" s="8">
        <v>44990</v>
      </c>
      <c r="T553" s="3" t="s">
        <v>54</v>
      </c>
      <c r="U553" s="3" t="s">
        <v>55</v>
      </c>
      <c r="V553" s="9"/>
      <c r="W553" s="10">
        <v>44999</v>
      </c>
      <c r="X553" s="7">
        <v>6</v>
      </c>
      <c r="Y553" s="7">
        <v>3</v>
      </c>
      <c r="Z553" s="7">
        <v>3</v>
      </c>
      <c r="AA553" s="7">
        <f>INT((S553-DATE(YEAR(S553-WEEKDAY(S553-0)+4),1,4)+WEEKDAY(DATE(YEAR(S553-WEEKDAY(S553-0)+4),1,4))+6)/7)</f>
        <v>10</v>
      </c>
      <c r="AB553" s="3" t="s">
        <v>2133</v>
      </c>
      <c r="AC553" s="7">
        <v>114</v>
      </c>
      <c r="AD553" s="7">
        <v>0</v>
      </c>
      <c r="AE553" s="7">
        <v>0</v>
      </c>
      <c r="AF553" s="3" t="s">
        <v>48</v>
      </c>
      <c r="AG553" s="7">
        <v>2023</v>
      </c>
      <c r="AH553" s="3" t="s">
        <v>223</v>
      </c>
      <c r="AI553" s="3" t="s">
        <v>106</v>
      </c>
      <c r="AJ553" s="3" t="s">
        <v>252</v>
      </c>
      <c r="AK553" s="3" t="s">
        <v>457</v>
      </c>
      <c r="AL553" s="3" t="s">
        <v>59</v>
      </c>
      <c r="AM553" s="3" t="s">
        <v>99</v>
      </c>
      <c r="AN553" s="3" t="s">
        <v>61</v>
      </c>
      <c r="AO553" s="3" t="s">
        <v>62</v>
      </c>
      <c r="AP553" s="3" t="s">
        <v>69</v>
      </c>
      <c r="AQ553" s="3" t="s">
        <v>61</v>
      </c>
      <c r="AR553" s="3" t="s">
        <v>48</v>
      </c>
    </row>
    <row r="554" spans="1:44" ht="30" customHeight="1">
      <c r="A554" s="3" t="s">
        <v>44</v>
      </c>
      <c r="B554" s="3" t="s">
        <v>45</v>
      </c>
      <c r="C554" s="3" t="s">
        <v>46</v>
      </c>
      <c r="D554" s="3" t="s">
        <v>186</v>
      </c>
      <c r="E554" s="3" t="s">
        <v>48</v>
      </c>
      <c r="F554" s="3" t="s">
        <v>271</v>
      </c>
      <c r="G554" s="3" t="s">
        <v>1435</v>
      </c>
      <c r="H554" s="4">
        <f>IF(DATEDIF(L554,S554,"m")&gt;12,DATEDIF(L554,S554,"y"),(DATEDIF(L554,S554,"m")/12))</f>
        <v>17</v>
      </c>
      <c r="I554" s="7">
        <f>DATEDIF(L554,S554,"M")</f>
        <v>205</v>
      </c>
      <c r="J554" s="7">
        <f>DATEDIF(L554,S554,"D")</f>
        <v>6250</v>
      </c>
      <c r="K554" s="3" t="s">
        <v>64</v>
      </c>
      <c r="L554" s="8">
        <v>38728</v>
      </c>
      <c r="M554" s="3" t="s">
        <v>45</v>
      </c>
      <c r="N554" s="3" t="s">
        <v>187</v>
      </c>
      <c r="O554" s="3" t="s">
        <v>52</v>
      </c>
      <c r="P554" s="3" t="s">
        <v>1436</v>
      </c>
      <c r="Q554" s="7">
        <v>1</v>
      </c>
      <c r="R554" s="8">
        <v>44979</v>
      </c>
      <c r="S554" s="8">
        <v>44978</v>
      </c>
      <c r="T554" s="3" t="s">
        <v>274</v>
      </c>
      <c r="U554" s="3" t="s">
        <v>55</v>
      </c>
      <c r="V554" s="9"/>
      <c r="W554" s="10">
        <v>44984</v>
      </c>
      <c r="X554" s="7">
        <v>5</v>
      </c>
      <c r="Y554" s="7">
        <v>1</v>
      </c>
      <c r="Z554" s="7">
        <v>2</v>
      </c>
      <c r="AA554" s="7">
        <f>INT((S554-DATE(YEAR(S554-WEEKDAY(S554-0)+4),1,4)+WEEKDAY(DATE(YEAR(S554-WEEKDAY(S554-0)+4),1,4))+6)/7)</f>
        <v>8</v>
      </c>
      <c r="AB554" s="3" t="s">
        <v>1437</v>
      </c>
      <c r="AC554" s="7">
        <v>122</v>
      </c>
      <c r="AD554" s="7">
        <v>0</v>
      </c>
      <c r="AE554" s="7">
        <v>0</v>
      </c>
      <c r="AF554" s="3" t="s">
        <v>48</v>
      </c>
      <c r="AG554" s="7">
        <v>2023</v>
      </c>
      <c r="AH554" s="3" t="s">
        <v>276</v>
      </c>
      <c r="AI554" s="3" t="s">
        <v>191</v>
      </c>
      <c r="AJ554" s="3" t="s">
        <v>186</v>
      </c>
      <c r="AK554" s="3" t="s">
        <v>725</v>
      </c>
      <c r="AL554" s="3" t="s">
        <v>278</v>
      </c>
      <c r="AM554" s="3" t="s">
        <v>60</v>
      </c>
      <c r="AN554" s="3" t="s">
        <v>61</v>
      </c>
      <c r="AO554" s="3" t="s">
        <v>279</v>
      </c>
      <c r="AP554" s="3" t="s">
        <v>69</v>
      </c>
      <c r="AQ554" s="3" t="s">
        <v>61</v>
      </c>
      <c r="AR554" s="3" t="s">
        <v>48</v>
      </c>
    </row>
    <row r="555" spans="1:44" ht="30" customHeight="1">
      <c r="A555" s="3" t="s">
        <v>44</v>
      </c>
      <c r="B555" s="3" t="s">
        <v>45</v>
      </c>
      <c r="C555" s="3" t="s">
        <v>46</v>
      </c>
      <c r="D555" s="3" t="s">
        <v>130</v>
      </c>
      <c r="E555" s="3" t="s">
        <v>48</v>
      </c>
      <c r="F555" s="3" t="s">
        <v>135</v>
      </c>
      <c r="G555" s="3" t="s">
        <v>1451</v>
      </c>
      <c r="H555" s="4">
        <f>IF(DATEDIF(L555,S555,"m")&gt;12,DATEDIF(L555,S555,"y"),(DATEDIF(L555,S555,"m")/12))</f>
        <v>4</v>
      </c>
      <c r="I555" s="7">
        <f>DATEDIF(L555,S555,"M")</f>
        <v>56</v>
      </c>
      <c r="J555" s="7">
        <f>DATEDIF(L555,S555,"D")</f>
        <v>1734</v>
      </c>
      <c r="K555" s="3" t="s">
        <v>64</v>
      </c>
      <c r="L555" s="8">
        <v>43193</v>
      </c>
      <c r="M555" s="3" t="s">
        <v>45</v>
      </c>
      <c r="N555" s="3" t="s">
        <v>83</v>
      </c>
      <c r="O555" s="3" t="s">
        <v>52</v>
      </c>
      <c r="P555" s="3" t="s">
        <v>169</v>
      </c>
      <c r="Q555" s="7">
        <v>0</v>
      </c>
      <c r="R555" s="8">
        <v>44977</v>
      </c>
      <c r="S555" s="8">
        <v>44927</v>
      </c>
      <c r="T555" s="3" t="s">
        <v>54</v>
      </c>
      <c r="U555" s="3" t="s">
        <v>55</v>
      </c>
      <c r="V555" s="9"/>
      <c r="W555" s="10">
        <v>44984</v>
      </c>
      <c r="X555" s="7">
        <v>7</v>
      </c>
      <c r="Y555" s="7">
        <v>50</v>
      </c>
      <c r="Z555" s="7">
        <v>1</v>
      </c>
      <c r="AA555" s="7">
        <f>INT((S555-DATE(YEAR(S555-WEEKDAY(S555-0)+4),1,4)+WEEKDAY(DATE(YEAR(S555-WEEKDAY(S555-0)+4),1,4))+6)/7)</f>
        <v>1</v>
      </c>
      <c r="AB555" s="3" t="s">
        <v>1452</v>
      </c>
      <c r="AC555" s="7">
        <v>92</v>
      </c>
      <c r="AD555" s="7">
        <v>0</v>
      </c>
      <c r="AE555" s="7">
        <v>0</v>
      </c>
      <c r="AF555" s="3" t="s">
        <v>48</v>
      </c>
      <c r="AG555" s="7">
        <v>2023</v>
      </c>
      <c r="AH555" s="3" t="s">
        <v>139</v>
      </c>
      <c r="AI555" s="3" t="s">
        <v>113</v>
      </c>
      <c r="AJ555" s="3" t="s">
        <v>48</v>
      </c>
      <c r="AK555" s="18" t="s">
        <v>1453</v>
      </c>
      <c r="AL555" s="3" t="s">
        <v>59</v>
      </c>
      <c r="AM555" s="3" t="s">
        <v>60</v>
      </c>
      <c r="AN555" s="3" t="s">
        <v>61</v>
      </c>
      <c r="AO555" s="3" t="s">
        <v>62</v>
      </c>
      <c r="AP555" s="3" t="s">
        <v>69</v>
      </c>
      <c r="AQ555" s="3" t="s">
        <v>61</v>
      </c>
      <c r="AR555" s="3" t="s">
        <v>48</v>
      </c>
    </row>
    <row r="556" spans="1:44" ht="30" customHeight="1">
      <c r="A556" s="3" t="s">
        <v>44</v>
      </c>
      <c r="B556" s="3" t="s">
        <v>45</v>
      </c>
      <c r="C556" s="3" t="s">
        <v>46</v>
      </c>
      <c r="D556" s="3" t="s">
        <v>100</v>
      </c>
      <c r="E556" s="3" t="s">
        <v>48</v>
      </c>
      <c r="F556" s="3" t="s">
        <v>101</v>
      </c>
      <c r="G556" s="3" t="s">
        <v>1333</v>
      </c>
      <c r="H556" s="4">
        <f>IF(DATEDIF(L556,S556,"m")&gt;12,DATEDIF(L556,S556,"y"),(DATEDIF(L556,S556,"m")/12))</f>
        <v>2</v>
      </c>
      <c r="I556" s="7">
        <f>DATEDIF(L556,S556,"M")</f>
        <v>31</v>
      </c>
      <c r="J556" s="7">
        <f>DATEDIF(L556,S556,"D")</f>
        <v>950</v>
      </c>
      <c r="K556" s="3" t="s">
        <v>64</v>
      </c>
      <c r="L556" s="8">
        <v>44045</v>
      </c>
      <c r="M556" s="3" t="s">
        <v>45</v>
      </c>
      <c r="N556" s="3" t="s">
        <v>73</v>
      </c>
      <c r="O556" s="3" t="s">
        <v>52</v>
      </c>
      <c r="P556" s="3" t="s">
        <v>1334</v>
      </c>
      <c r="Q556" s="7">
        <v>0</v>
      </c>
      <c r="R556" s="8">
        <v>44999</v>
      </c>
      <c r="S556" s="8">
        <v>44995</v>
      </c>
      <c r="T556" s="3" t="s">
        <v>54</v>
      </c>
      <c r="U556" s="3" t="s">
        <v>55</v>
      </c>
      <c r="V556" s="9"/>
      <c r="W556" s="10">
        <v>45005</v>
      </c>
      <c r="X556" s="7">
        <v>6</v>
      </c>
      <c r="Y556" s="7">
        <v>4</v>
      </c>
      <c r="Z556" s="7">
        <v>3</v>
      </c>
      <c r="AA556" s="7">
        <f>INT((S556-DATE(YEAR(S556-WEEKDAY(S556-0)+4),1,4)+WEEKDAY(DATE(YEAR(S556-WEEKDAY(S556-0)+4),1,4))+6)/7)</f>
        <v>10</v>
      </c>
      <c r="AB556" s="3" t="s">
        <v>1335</v>
      </c>
      <c r="AC556" s="7">
        <v>737</v>
      </c>
      <c r="AD556" s="7">
        <v>0</v>
      </c>
      <c r="AE556" s="7">
        <v>0</v>
      </c>
      <c r="AF556" s="3" t="s">
        <v>48</v>
      </c>
      <c r="AG556" s="7">
        <v>2023</v>
      </c>
      <c r="AH556" s="3" t="s">
        <v>105</v>
      </c>
      <c r="AI556" s="3" t="s">
        <v>106</v>
      </c>
      <c r="AJ556" s="3" t="s">
        <v>252</v>
      </c>
      <c r="AK556" s="26" t="s">
        <v>457</v>
      </c>
      <c r="AL556" s="3" t="s">
        <v>59</v>
      </c>
      <c r="AM556" s="3" t="s">
        <v>99</v>
      </c>
      <c r="AN556" s="3" t="s">
        <v>61</v>
      </c>
      <c r="AO556" s="3" t="s">
        <v>62</v>
      </c>
      <c r="AP556" s="3" t="s">
        <v>69</v>
      </c>
      <c r="AQ556" s="3" t="s">
        <v>61</v>
      </c>
      <c r="AR556" s="3" t="s">
        <v>48</v>
      </c>
    </row>
    <row r="557" spans="1:44" ht="30" customHeight="1">
      <c r="A557" s="3" t="s">
        <v>44</v>
      </c>
      <c r="B557" s="3" t="s">
        <v>45</v>
      </c>
      <c r="C557" s="3" t="s">
        <v>46</v>
      </c>
      <c r="D557" s="3" t="s">
        <v>70</v>
      </c>
      <c r="E557" s="3" t="s">
        <v>48</v>
      </c>
      <c r="F557" s="3" t="s">
        <v>71</v>
      </c>
      <c r="G557" s="3" t="s">
        <v>1509</v>
      </c>
      <c r="H557" s="5">
        <f>IF(DATEDIF(L557,S557,"m")&gt;12,DATEDIF(L557,S557,"y"),(DATEDIF(L557,S557,"m")/12))</f>
        <v>0.75</v>
      </c>
      <c r="I557" s="7">
        <f>DATEDIF(L557,S557,"M")</f>
        <v>9</v>
      </c>
      <c r="J557" s="7">
        <f>DATEDIF(L557,S557,"D")</f>
        <v>290</v>
      </c>
      <c r="K557" s="3" t="s">
        <v>51</v>
      </c>
      <c r="L557" s="8">
        <v>44688</v>
      </c>
      <c r="M557" s="3" t="s">
        <v>45</v>
      </c>
      <c r="N557" s="3" t="s">
        <v>329</v>
      </c>
      <c r="O557" s="3" t="s">
        <v>52</v>
      </c>
      <c r="P557" s="3" t="s">
        <v>685</v>
      </c>
      <c r="Q557" s="7">
        <v>1</v>
      </c>
      <c r="R557" s="8">
        <v>44979</v>
      </c>
      <c r="S557" s="8">
        <v>44978</v>
      </c>
      <c r="T557" s="3" t="s">
        <v>54</v>
      </c>
      <c r="U557" s="3" t="s">
        <v>55</v>
      </c>
      <c r="V557" s="9"/>
      <c r="W557" s="10">
        <v>44984</v>
      </c>
      <c r="X557" s="7">
        <v>5</v>
      </c>
      <c r="Y557" s="7">
        <v>1</v>
      </c>
      <c r="Z557" s="7">
        <v>2</v>
      </c>
      <c r="AA557" s="7">
        <f>INT((S557-DATE(YEAR(S557-WEEKDAY(S557-0)+4),1,4)+WEEKDAY(DATE(YEAR(S557-WEEKDAY(S557-0)+4),1,4))+6)/7)</f>
        <v>8</v>
      </c>
      <c r="AB557" s="3" t="s">
        <v>1510</v>
      </c>
      <c r="AC557" s="7">
        <v>682</v>
      </c>
      <c r="AD557" s="7">
        <v>0</v>
      </c>
      <c r="AE557" s="7">
        <v>1</v>
      </c>
      <c r="AF557" s="3" t="s">
        <v>48</v>
      </c>
      <c r="AG557" s="7">
        <v>2023</v>
      </c>
      <c r="AH557" s="3" t="s">
        <v>76</v>
      </c>
      <c r="AI557" s="3" t="s">
        <v>166</v>
      </c>
      <c r="AJ557" s="3" t="s">
        <v>78</v>
      </c>
      <c r="AK557" s="3" t="s">
        <v>1511</v>
      </c>
      <c r="AL557" s="3" t="s">
        <v>59</v>
      </c>
      <c r="AM557" s="3" t="s">
        <v>60</v>
      </c>
      <c r="AN557" s="3" t="s">
        <v>61</v>
      </c>
      <c r="AO557" s="3" t="s">
        <v>62</v>
      </c>
      <c r="AP557" s="3" t="s">
        <v>69</v>
      </c>
      <c r="AQ557" s="3" t="s">
        <v>61</v>
      </c>
      <c r="AR557" s="3" t="s">
        <v>48</v>
      </c>
    </row>
    <row r="558" spans="1:44" ht="30" customHeight="1">
      <c r="A558" s="3" t="s">
        <v>44</v>
      </c>
      <c r="B558" s="3" t="s">
        <v>45</v>
      </c>
      <c r="C558" s="3" t="s">
        <v>46</v>
      </c>
      <c r="D558" s="3" t="s">
        <v>108</v>
      </c>
      <c r="E558" s="3" t="s">
        <v>48</v>
      </c>
      <c r="F558" s="3" t="s">
        <v>108</v>
      </c>
      <c r="G558" s="3" t="s">
        <v>709</v>
      </c>
      <c r="H558" s="4">
        <f>IF(DATEDIF(L558,S558,"m")&gt;12,DATEDIF(L558,S558,"y"),(DATEDIF(L558,S558,"m")/12))</f>
        <v>2</v>
      </c>
      <c r="I558" s="7">
        <f>DATEDIF(L558,S558,"M")</f>
        <v>30</v>
      </c>
      <c r="J558" s="7">
        <f>DATEDIF(L558,S558,"D")</f>
        <v>936</v>
      </c>
      <c r="K558" s="3" t="s">
        <v>51</v>
      </c>
      <c r="L558" s="8">
        <v>44083</v>
      </c>
      <c r="M558" s="3" t="s">
        <v>45</v>
      </c>
      <c r="N558" s="3" t="s">
        <v>73</v>
      </c>
      <c r="O558" s="3" t="s">
        <v>52</v>
      </c>
      <c r="P558" s="3" t="s">
        <v>710</v>
      </c>
      <c r="Q558" s="7">
        <v>0</v>
      </c>
      <c r="R558" s="8">
        <v>45020</v>
      </c>
      <c r="S558" s="8">
        <v>45019</v>
      </c>
      <c r="T558" s="3" t="s">
        <v>54</v>
      </c>
      <c r="U558" s="3" t="s">
        <v>55</v>
      </c>
      <c r="V558" s="9"/>
      <c r="W558" s="10">
        <v>45021</v>
      </c>
      <c r="X558" s="7">
        <v>1</v>
      </c>
      <c r="Y558" s="7">
        <v>1</v>
      </c>
      <c r="Z558" s="7">
        <v>4</v>
      </c>
      <c r="AA558" s="7">
        <f>INT((S558-DATE(YEAR(S558-WEEKDAY(S558-0)+4),1,4)+WEEKDAY(DATE(YEAR(S558-WEEKDAY(S558-0)+4),1,4))+6)/7)</f>
        <v>14</v>
      </c>
      <c r="AB558" s="3" t="s">
        <v>711</v>
      </c>
      <c r="AC558" s="7">
        <v>440</v>
      </c>
      <c r="AD558" s="7">
        <v>0</v>
      </c>
      <c r="AE558" s="7">
        <v>0</v>
      </c>
      <c r="AF558" s="3" t="s">
        <v>48</v>
      </c>
      <c r="AG558" s="7">
        <v>2023</v>
      </c>
      <c r="AH558" s="3" t="s">
        <v>112</v>
      </c>
      <c r="AI558" s="3" t="s">
        <v>113</v>
      </c>
      <c r="AJ558" s="3" t="s">
        <v>48</v>
      </c>
      <c r="AK558" s="26" t="s">
        <v>457</v>
      </c>
      <c r="AL558" s="3" t="s">
        <v>59</v>
      </c>
      <c r="AM558" s="3" t="s">
        <v>115</v>
      </c>
      <c r="AN558" s="3" t="s">
        <v>61</v>
      </c>
      <c r="AO558" s="3" t="s">
        <v>62</v>
      </c>
      <c r="AP558" s="3" t="s">
        <v>61</v>
      </c>
      <c r="AQ558" s="3" t="s">
        <v>61</v>
      </c>
      <c r="AR558" s="3" t="s">
        <v>48</v>
      </c>
    </row>
    <row r="559" spans="1:44" ht="30" customHeight="1">
      <c r="A559" s="3" t="s">
        <v>44</v>
      </c>
      <c r="B559" s="3" t="s">
        <v>45</v>
      </c>
      <c r="C559" s="3" t="s">
        <v>46</v>
      </c>
      <c r="D559" s="3" t="s">
        <v>100</v>
      </c>
      <c r="E559" s="3" t="s">
        <v>48</v>
      </c>
      <c r="F559" s="3" t="s">
        <v>48</v>
      </c>
      <c r="G559" s="3" t="s">
        <v>454</v>
      </c>
      <c r="H559" s="5">
        <f>IF(DATEDIF(L559,S559,"m")&gt;12,DATEDIF(L559,S559,"y"),(DATEDIF(L559,S559,"m")/12))</f>
        <v>0.16666666666666666</v>
      </c>
      <c r="I559" s="7">
        <f>DATEDIF(L559,S559,"M")</f>
        <v>2</v>
      </c>
      <c r="J559" s="7">
        <f>DATEDIF(L559,S559,"D")</f>
        <v>70</v>
      </c>
      <c r="K559" s="3" t="s">
        <v>51</v>
      </c>
      <c r="L559" s="8">
        <v>44945</v>
      </c>
      <c r="M559" s="3" t="s">
        <v>45</v>
      </c>
      <c r="N559" s="3" t="s">
        <v>73</v>
      </c>
      <c r="O559" s="3" t="s">
        <v>52</v>
      </c>
      <c r="P559" s="3" t="s">
        <v>455</v>
      </c>
      <c r="Q559" s="7">
        <v>1</v>
      </c>
      <c r="R559" s="8">
        <v>45015</v>
      </c>
      <c r="S559" s="8">
        <v>45015</v>
      </c>
      <c r="T559" s="3" t="s">
        <v>54</v>
      </c>
      <c r="U559" s="3" t="s">
        <v>55</v>
      </c>
      <c r="V559" s="9"/>
      <c r="W559" s="10">
        <v>45028</v>
      </c>
      <c r="X559" s="7">
        <v>13</v>
      </c>
      <c r="Y559" s="7">
        <v>0</v>
      </c>
      <c r="Z559" s="7">
        <v>3</v>
      </c>
      <c r="AA559" s="7">
        <f>INT((S559-DATE(YEAR(S559-WEEKDAY(S559-0)+4),1,4)+WEEKDAY(DATE(YEAR(S559-WEEKDAY(S559-0)+4),1,4))+6)/7)</f>
        <v>13</v>
      </c>
      <c r="AB559" s="3" t="s">
        <v>456</v>
      </c>
      <c r="AC559" s="7">
        <v>763</v>
      </c>
      <c r="AD559" s="7">
        <v>0</v>
      </c>
      <c r="AE559" s="7">
        <v>0</v>
      </c>
      <c r="AF559" s="3" t="s">
        <v>48</v>
      </c>
      <c r="AG559" s="7">
        <v>2023</v>
      </c>
      <c r="AH559" s="3" t="s">
        <v>223</v>
      </c>
      <c r="AI559" s="3" t="s">
        <v>106</v>
      </c>
      <c r="AJ559" s="3" t="s">
        <v>48</v>
      </c>
      <c r="AK559" s="3" t="s">
        <v>457</v>
      </c>
      <c r="AL559" s="3" t="s">
        <v>59</v>
      </c>
      <c r="AM559" s="3" t="s">
        <v>99</v>
      </c>
      <c r="AN559" s="3" t="s">
        <v>61</v>
      </c>
      <c r="AO559" s="3" t="s">
        <v>62</v>
      </c>
      <c r="AP559" s="3" t="s">
        <v>61</v>
      </c>
      <c r="AQ559" s="3" t="s">
        <v>61</v>
      </c>
      <c r="AR559" s="3" t="s">
        <v>48</v>
      </c>
    </row>
    <row r="560" spans="1:44" ht="30" customHeight="1">
      <c r="A560" s="3" t="s">
        <v>44</v>
      </c>
      <c r="B560" s="3" t="s">
        <v>45</v>
      </c>
      <c r="C560" s="3" t="s">
        <v>46</v>
      </c>
      <c r="D560" s="3" t="s">
        <v>108</v>
      </c>
      <c r="E560" s="3" t="s">
        <v>48</v>
      </c>
      <c r="F560" s="3" t="s">
        <v>108</v>
      </c>
      <c r="G560" s="3" t="s">
        <v>1460</v>
      </c>
      <c r="H560" s="4">
        <f>IF(DATEDIF(L560,S560,"m")&gt;12,DATEDIF(L560,S560,"y"),(DATEDIF(L560,S560,"m")/12))</f>
        <v>6</v>
      </c>
      <c r="I560" s="7">
        <f>DATEDIF(L560,S560,"M")</f>
        <v>72</v>
      </c>
      <c r="J560" s="7">
        <f>DATEDIF(L560,S560,"D")</f>
        <v>2205</v>
      </c>
      <c r="K560" s="3" t="s">
        <v>64</v>
      </c>
      <c r="L560" s="8">
        <v>42738</v>
      </c>
      <c r="M560" s="3" t="s">
        <v>45</v>
      </c>
      <c r="N560" s="3" t="s">
        <v>73</v>
      </c>
      <c r="O560" s="3" t="s">
        <v>52</v>
      </c>
      <c r="P560" s="3" t="s">
        <v>169</v>
      </c>
      <c r="Q560" s="7">
        <v>0</v>
      </c>
      <c r="R560" s="8">
        <v>44945</v>
      </c>
      <c r="S560" s="8">
        <v>44943</v>
      </c>
      <c r="T560" s="3" t="s">
        <v>54</v>
      </c>
      <c r="U560" s="3" t="s">
        <v>55</v>
      </c>
      <c r="V560" s="9"/>
      <c r="W560" s="10">
        <v>44950</v>
      </c>
      <c r="X560" s="7">
        <v>5</v>
      </c>
      <c r="Y560" s="7">
        <v>2</v>
      </c>
      <c r="Z560" s="7">
        <v>1</v>
      </c>
      <c r="AA560" s="7">
        <f>INT((S560-DATE(YEAR(S560-WEEKDAY(S560-0)+4),1,4)+WEEKDAY(DATE(YEAR(S560-WEEKDAY(S560-0)+4),1,4))+6)/7)</f>
        <v>3</v>
      </c>
      <c r="AB560" s="3" t="s">
        <v>1461</v>
      </c>
      <c r="AC560" s="7">
        <v>160</v>
      </c>
      <c r="AD560" s="7">
        <v>0</v>
      </c>
      <c r="AE560" s="7">
        <v>0</v>
      </c>
      <c r="AF560" s="3" t="s">
        <v>48</v>
      </c>
      <c r="AG560" s="7">
        <v>2023</v>
      </c>
      <c r="AH560" s="3" t="s">
        <v>286</v>
      </c>
      <c r="AI560" s="3" t="s">
        <v>113</v>
      </c>
      <c r="AJ560" s="3" t="s">
        <v>48</v>
      </c>
      <c r="AK560" s="3" t="s">
        <v>129</v>
      </c>
      <c r="AL560" s="3" t="s">
        <v>59</v>
      </c>
      <c r="AM560" s="3" t="s">
        <v>115</v>
      </c>
      <c r="AN560" s="3" t="s">
        <v>61</v>
      </c>
      <c r="AO560" s="3" t="s">
        <v>62</v>
      </c>
      <c r="AP560" s="3" t="s">
        <v>69</v>
      </c>
      <c r="AQ560" s="3" t="s">
        <v>61</v>
      </c>
      <c r="AR560" s="3" t="s">
        <v>48</v>
      </c>
    </row>
    <row r="561" spans="1:44" ht="30" customHeight="1">
      <c r="A561" s="3" t="s">
        <v>44</v>
      </c>
      <c r="B561" s="3" t="s">
        <v>45</v>
      </c>
      <c r="C561" s="3" t="s">
        <v>46</v>
      </c>
      <c r="D561" s="3" t="s">
        <v>108</v>
      </c>
      <c r="E561" s="3" t="s">
        <v>48</v>
      </c>
      <c r="F561" s="3" t="s">
        <v>108</v>
      </c>
      <c r="G561" s="3" t="s">
        <v>2499</v>
      </c>
      <c r="H561" s="4">
        <f>IF(DATEDIF(L561,S561,"m")&gt;12,DATEDIF(L561,S561,"y"),(DATEDIF(L561,S561,"m")/12))</f>
        <v>6</v>
      </c>
      <c r="I561" s="7">
        <f>DATEDIF(L561,S561,"M")</f>
        <v>74</v>
      </c>
      <c r="J561" s="7">
        <f>DATEDIF(L561,S561,"D")</f>
        <v>2258</v>
      </c>
      <c r="K561" s="3" t="s">
        <v>64</v>
      </c>
      <c r="L561" s="8">
        <v>42719</v>
      </c>
      <c r="M561" s="3" t="s">
        <v>45</v>
      </c>
      <c r="N561" s="3" t="s">
        <v>73</v>
      </c>
      <c r="O561" s="3" t="s">
        <v>52</v>
      </c>
      <c r="P561" s="3" t="s">
        <v>322</v>
      </c>
      <c r="Q561" s="7">
        <v>0</v>
      </c>
      <c r="R561" s="8">
        <v>44978</v>
      </c>
      <c r="S561" s="8">
        <v>44977</v>
      </c>
      <c r="T561" s="3" t="s">
        <v>54</v>
      </c>
      <c r="U561" s="3" t="s">
        <v>55</v>
      </c>
      <c r="V561" s="9"/>
      <c r="W561" s="10">
        <v>44950</v>
      </c>
      <c r="X561" s="7">
        <v>6</v>
      </c>
      <c r="Y561" s="7">
        <v>1</v>
      </c>
      <c r="Z561" s="7">
        <v>2</v>
      </c>
      <c r="AA561" s="7">
        <f>INT((S561-DATE(YEAR(S561-WEEKDAY(S561-0)+4),1,4)+WEEKDAY(DATE(YEAR(S561-WEEKDAY(S561-0)+4),1,4))+6)/7)</f>
        <v>8</v>
      </c>
      <c r="AB561" s="3" t="s">
        <v>2500</v>
      </c>
      <c r="AC561" s="7">
        <v>152</v>
      </c>
      <c r="AD561" s="7">
        <v>0</v>
      </c>
      <c r="AE561" s="7">
        <v>0</v>
      </c>
      <c r="AF561" s="3" t="s">
        <v>48</v>
      </c>
      <c r="AG561" s="7">
        <v>2023</v>
      </c>
      <c r="AH561" s="3" t="s">
        <v>112</v>
      </c>
      <c r="AI561" s="3" t="s">
        <v>113</v>
      </c>
      <c r="AJ561" s="3" t="s">
        <v>48</v>
      </c>
      <c r="AK561" s="3" t="s">
        <v>129</v>
      </c>
      <c r="AL561" s="3" t="s">
        <v>59</v>
      </c>
      <c r="AM561" s="3" t="s">
        <v>115</v>
      </c>
      <c r="AN561" s="3" t="s">
        <v>61</v>
      </c>
      <c r="AO561" s="3" t="s">
        <v>62</v>
      </c>
      <c r="AP561" s="3" t="s">
        <v>69</v>
      </c>
      <c r="AQ561" s="3" t="s">
        <v>61</v>
      </c>
      <c r="AR561" s="3" t="s">
        <v>48</v>
      </c>
    </row>
    <row r="562" spans="1:44" ht="30" customHeight="1">
      <c r="A562" s="3" t="s">
        <v>44</v>
      </c>
      <c r="B562" s="3" t="s">
        <v>45</v>
      </c>
      <c r="C562" s="3" t="s">
        <v>46</v>
      </c>
      <c r="D562" s="3" t="s">
        <v>70</v>
      </c>
      <c r="E562" s="3" t="s">
        <v>48</v>
      </c>
      <c r="F562" s="3" t="s">
        <v>71</v>
      </c>
      <c r="G562" s="3" t="s">
        <v>1704</v>
      </c>
      <c r="H562" s="5">
        <f>IF(DATEDIF(L562,S562,"m")&gt;12,DATEDIF(L562,S562,"y"),(DATEDIF(L562,S562,"m")/12))</f>
        <v>0.33333333333333331</v>
      </c>
      <c r="I562" s="7">
        <f>DATEDIF(L562,S562,"M")</f>
        <v>4</v>
      </c>
      <c r="J562" s="7">
        <f>DATEDIF(L562,S562,"D")</f>
        <v>145</v>
      </c>
      <c r="K562" s="3" t="s">
        <v>51</v>
      </c>
      <c r="L562" s="8">
        <v>44833</v>
      </c>
      <c r="M562" s="3" t="s">
        <v>45</v>
      </c>
      <c r="N562" s="3" t="s">
        <v>159</v>
      </c>
      <c r="O562" s="3" t="s">
        <v>52</v>
      </c>
      <c r="P562" s="3" t="s">
        <v>103</v>
      </c>
      <c r="Q562" s="7">
        <v>1</v>
      </c>
      <c r="R562" s="8">
        <v>44979</v>
      </c>
      <c r="S562" s="8">
        <v>44978</v>
      </c>
      <c r="T562" s="3" t="s">
        <v>54</v>
      </c>
      <c r="U562" s="3" t="s">
        <v>55</v>
      </c>
      <c r="V562" s="9"/>
      <c r="W562" s="10">
        <v>44984</v>
      </c>
      <c r="X562" s="7">
        <v>5</v>
      </c>
      <c r="Y562" s="7">
        <v>1</v>
      </c>
      <c r="Z562" s="7">
        <v>2</v>
      </c>
      <c r="AA562" s="7">
        <f>INT((S562-DATE(YEAR(S562-WEEKDAY(S562-0)+4),1,4)+WEEKDAY(DATE(YEAR(S562-WEEKDAY(S562-0)+4),1,4))+6)/7)</f>
        <v>8</v>
      </c>
      <c r="AB562" s="3" t="s">
        <v>1705</v>
      </c>
      <c r="AC562" s="7">
        <v>683</v>
      </c>
      <c r="AD562" s="7">
        <v>0</v>
      </c>
      <c r="AE562" s="7">
        <v>1</v>
      </c>
      <c r="AF562" s="3" t="s">
        <v>48</v>
      </c>
      <c r="AG562" s="7">
        <v>2023</v>
      </c>
      <c r="AH562" s="3" t="s">
        <v>76</v>
      </c>
      <c r="AI562" s="3" t="s">
        <v>77</v>
      </c>
      <c r="AJ562" s="3" t="s">
        <v>78</v>
      </c>
      <c r="AK562" s="3" t="s">
        <v>162</v>
      </c>
      <c r="AL562" s="3" t="s">
        <v>59</v>
      </c>
      <c r="AM562" s="3" t="s">
        <v>60</v>
      </c>
      <c r="AN562" s="3" t="s">
        <v>61</v>
      </c>
      <c r="AO562" s="3" t="s">
        <v>62</v>
      </c>
      <c r="AP562" s="3" t="s">
        <v>69</v>
      </c>
      <c r="AQ562" s="3" t="s">
        <v>69</v>
      </c>
      <c r="AR562" s="3" t="s">
        <v>48</v>
      </c>
    </row>
    <row r="563" spans="1:44" ht="30" customHeight="1">
      <c r="A563" s="3" t="s">
        <v>44</v>
      </c>
      <c r="B563" s="3" t="s">
        <v>45</v>
      </c>
      <c r="C563" s="3" t="s">
        <v>46</v>
      </c>
      <c r="D563" s="3" t="s">
        <v>108</v>
      </c>
      <c r="E563" s="3" t="s">
        <v>48</v>
      </c>
      <c r="F563" s="3" t="s">
        <v>108</v>
      </c>
      <c r="G563" s="3" t="s">
        <v>2501</v>
      </c>
      <c r="H563" s="4">
        <f>IF(DATEDIF(L563,S563,"m")&gt;12,DATEDIF(L563,S563,"y"),(DATEDIF(L563,S563,"m")/12))</f>
        <v>6</v>
      </c>
      <c r="I563" s="7">
        <f>DATEDIF(L563,S563,"M")</f>
        <v>73</v>
      </c>
      <c r="J563" s="7">
        <f>DATEDIF(L563,S563,"D")</f>
        <v>2222</v>
      </c>
      <c r="K563" s="3" t="s">
        <v>64</v>
      </c>
      <c r="L563" s="8">
        <v>42719</v>
      </c>
      <c r="M563" s="3" t="s">
        <v>45</v>
      </c>
      <c r="N563" s="3" t="s">
        <v>73</v>
      </c>
      <c r="O563" s="3" t="s">
        <v>52</v>
      </c>
      <c r="P563" s="3" t="s">
        <v>169</v>
      </c>
      <c r="Q563" s="7">
        <v>0</v>
      </c>
      <c r="R563" s="8">
        <v>44943</v>
      </c>
      <c r="S563" s="8">
        <v>44941</v>
      </c>
      <c r="T563" s="3" t="s">
        <v>54</v>
      </c>
      <c r="U563" s="3" t="s">
        <v>55</v>
      </c>
      <c r="V563" s="9"/>
      <c r="W563" s="10">
        <v>44950</v>
      </c>
      <c r="X563" s="7">
        <v>7</v>
      </c>
      <c r="Y563" s="7">
        <v>2</v>
      </c>
      <c r="Z563" s="7">
        <v>1</v>
      </c>
      <c r="AA563" s="7">
        <f>INT((S563-DATE(YEAR(S563-WEEKDAY(S563-0)+4),1,4)+WEEKDAY(DATE(YEAR(S563-WEEKDAY(S563-0)+4),1,4))+6)/7)</f>
        <v>3</v>
      </c>
      <c r="AB563" s="3" t="s">
        <v>2500</v>
      </c>
      <c r="AC563" s="7">
        <v>152</v>
      </c>
      <c r="AD563" s="7">
        <v>0</v>
      </c>
      <c r="AE563" s="7">
        <v>0</v>
      </c>
      <c r="AF563" s="3" t="s">
        <v>48</v>
      </c>
      <c r="AG563" s="7">
        <v>2023</v>
      </c>
      <c r="AH563" s="3" t="s">
        <v>112</v>
      </c>
      <c r="AI563" s="3" t="s">
        <v>113</v>
      </c>
      <c r="AJ563" s="3" t="s">
        <v>48</v>
      </c>
      <c r="AK563" s="3" t="s">
        <v>129</v>
      </c>
      <c r="AL563" s="3" t="s">
        <v>59</v>
      </c>
      <c r="AM563" s="3" t="s">
        <v>115</v>
      </c>
      <c r="AN563" s="3" t="s">
        <v>61</v>
      </c>
      <c r="AO563" s="3" t="s">
        <v>62</v>
      </c>
      <c r="AP563" s="3" t="s">
        <v>69</v>
      </c>
      <c r="AQ563" s="3" t="s">
        <v>61</v>
      </c>
      <c r="AR563" s="3" t="s">
        <v>48</v>
      </c>
    </row>
    <row r="564" spans="1:44" ht="30" customHeight="1">
      <c r="A564" s="3" t="s">
        <v>44</v>
      </c>
      <c r="B564" s="3" t="s">
        <v>45</v>
      </c>
      <c r="C564" s="3" t="s">
        <v>46</v>
      </c>
      <c r="D564" s="3" t="s">
        <v>108</v>
      </c>
      <c r="E564" s="3" t="s">
        <v>48</v>
      </c>
      <c r="F564" s="3" t="s">
        <v>108</v>
      </c>
      <c r="G564" s="3" t="s">
        <v>1558</v>
      </c>
      <c r="H564" s="4">
        <f>IF(DATEDIF(L564,S564,"m")&gt;12,DATEDIF(L564,S564,"y"),(DATEDIF(L564,S564,"m")/12))</f>
        <v>57</v>
      </c>
      <c r="I564" s="7">
        <f>DATEDIF(L564,S564,"M")</f>
        <v>689</v>
      </c>
      <c r="J564" s="7">
        <f>DATEDIF(L564,S564,"D")</f>
        <v>20977</v>
      </c>
      <c r="K564" s="3" t="s">
        <v>51</v>
      </c>
      <c r="L564" s="8">
        <v>23969</v>
      </c>
      <c r="M564" s="3" t="s">
        <v>45</v>
      </c>
      <c r="N564" s="3" t="s">
        <v>73</v>
      </c>
      <c r="O564" s="3" t="s">
        <v>52</v>
      </c>
      <c r="P564" s="3" t="s">
        <v>237</v>
      </c>
      <c r="Q564" s="7">
        <v>0</v>
      </c>
      <c r="R564" s="8">
        <v>44952</v>
      </c>
      <c r="S564" s="8">
        <v>44946</v>
      </c>
      <c r="T564" s="3" t="s">
        <v>54</v>
      </c>
      <c r="U564" s="3" t="s">
        <v>55</v>
      </c>
      <c r="V564" s="9"/>
      <c r="W564" s="10">
        <v>44957</v>
      </c>
      <c r="X564" s="7">
        <v>5</v>
      </c>
      <c r="Y564" s="7">
        <v>6</v>
      </c>
      <c r="Z564" s="7">
        <v>1</v>
      </c>
      <c r="AA564" s="7">
        <f>INT((S564-DATE(YEAR(S564-WEEKDAY(S564-0)+4),1,4)+WEEKDAY(DATE(YEAR(S564-WEEKDAY(S564-0)+4),1,4))+6)/7)</f>
        <v>3</v>
      </c>
      <c r="AB564" s="3" t="s">
        <v>1559</v>
      </c>
      <c r="AC564" s="7">
        <v>175</v>
      </c>
      <c r="AD564" s="7">
        <v>0</v>
      </c>
      <c r="AE564" s="7">
        <v>0</v>
      </c>
      <c r="AF564" s="3" t="s">
        <v>48</v>
      </c>
      <c r="AG564" s="7">
        <v>2023</v>
      </c>
      <c r="AH564" s="3" t="s">
        <v>112</v>
      </c>
      <c r="AI564" s="3" t="s">
        <v>113</v>
      </c>
      <c r="AJ564" s="3" t="s">
        <v>48</v>
      </c>
      <c r="AK564" s="3" t="s">
        <v>129</v>
      </c>
      <c r="AL564" s="3" t="s">
        <v>59</v>
      </c>
      <c r="AM564" s="3" t="s">
        <v>115</v>
      </c>
      <c r="AN564" s="3" t="s">
        <v>61</v>
      </c>
      <c r="AO564" s="3" t="s">
        <v>62</v>
      </c>
      <c r="AP564" s="3" t="s">
        <v>69</v>
      </c>
      <c r="AQ564" s="3" t="s">
        <v>61</v>
      </c>
      <c r="AR564" s="3" t="s">
        <v>48</v>
      </c>
    </row>
    <row r="565" spans="1:44" ht="30" customHeight="1">
      <c r="A565" s="3" t="s">
        <v>44</v>
      </c>
      <c r="B565" s="3" t="s">
        <v>45</v>
      </c>
      <c r="C565" s="3" t="s">
        <v>46</v>
      </c>
      <c r="D565" s="3" t="s">
        <v>108</v>
      </c>
      <c r="E565" s="3" t="s">
        <v>48</v>
      </c>
      <c r="F565" s="3" t="s">
        <v>108</v>
      </c>
      <c r="G565" s="3" t="s">
        <v>1597</v>
      </c>
      <c r="H565" s="4">
        <f>IF(DATEDIF(L565,S565,"m")&gt;12,DATEDIF(L565,S565,"y"),(DATEDIF(L565,S565,"m")/12))</f>
        <v>4</v>
      </c>
      <c r="I565" s="7">
        <f>DATEDIF(L565,S565,"M")</f>
        <v>51</v>
      </c>
      <c r="J565" s="7">
        <f>DATEDIF(L565,S565,"D")</f>
        <v>1556</v>
      </c>
      <c r="K565" s="3" t="s">
        <v>51</v>
      </c>
      <c r="L565" s="8">
        <v>43394</v>
      </c>
      <c r="M565" s="3" t="s">
        <v>45</v>
      </c>
      <c r="N565" s="3" t="s">
        <v>73</v>
      </c>
      <c r="O565" s="3" t="s">
        <v>52</v>
      </c>
      <c r="P565" s="3" t="s">
        <v>137</v>
      </c>
      <c r="Q565" s="7">
        <v>0</v>
      </c>
      <c r="R565" s="8">
        <v>44953</v>
      </c>
      <c r="S565" s="8">
        <v>44950</v>
      </c>
      <c r="T565" s="3" t="s">
        <v>54</v>
      </c>
      <c r="U565" s="3" t="s">
        <v>55</v>
      </c>
      <c r="V565" s="9"/>
      <c r="W565" s="10">
        <v>44957</v>
      </c>
      <c r="X565" s="7">
        <v>4</v>
      </c>
      <c r="Y565" s="7">
        <v>3</v>
      </c>
      <c r="Z565" s="7">
        <v>1</v>
      </c>
      <c r="AA565" s="7">
        <f>INT((S565-DATE(YEAR(S565-WEEKDAY(S565-0)+4),1,4)+WEEKDAY(DATE(YEAR(S565-WEEKDAY(S565-0)+4),1,4))+6)/7)</f>
        <v>4</v>
      </c>
      <c r="AB565" s="3" t="s">
        <v>1598</v>
      </c>
      <c r="AC565" s="7">
        <v>178</v>
      </c>
      <c r="AD565" s="7">
        <v>0</v>
      </c>
      <c r="AE565" s="7">
        <v>0</v>
      </c>
      <c r="AF565" s="3" t="s">
        <v>48</v>
      </c>
      <c r="AG565" s="7">
        <v>2023</v>
      </c>
      <c r="AH565" s="3" t="s">
        <v>112</v>
      </c>
      <c r="AI565" s="3" t="s">
        <v>113</v>
      </c>
      <c r="AJ565" s="3" t="s">
        <v>48</v>
      </c>
      <c r="AK565" s="3" t="s">
        <v>129</v>
      </c>
      <c r="AL565" s="3" t="s">
        <v>59</v>
      </c>
      <c r="AM565" s="3" t="s">
        <v>115</v>
      </c>
      <c r="AN565" s="3" t="s">
        <v>61</v>
      </c>
      <c r="AO565" s="3" t="s">
        <v>62</v>
      </c>
      <c r="AP565" s="3" t="s">
        <v>69</v>
      </c>
      <c r="AQ565" s="3" t="s">
        <v>61</v>
      </c>
      <c r="AR565" s="3" t="s">
        <v>48</v>
      </c>
    </row>
    <row r="566" spans="1:44" ht="30" customHeight="1">
      <c r="A566" s="3" t="s">
        <v>44</v>
      </c>
      <c r="B566" s="3" t="s">
        <v>45</v>
      </c>
      <c r="C566" s="3" t="s">
        <v>46</v>
      </c>
      <c r="D566" s="3" t="s">
        <v>108</v>
      </c>
      <c r="E566" s="3" t="s">
        <v>48</v>
      </c>
      <c r="F566" s="3" t="s">
        <v>108</v>
      </c>
      <c r="G566" s="3" t="s">
        <v>127</v>
      </c>
      <c r="H566" s="4">
        <f>IF(DATEDIF(L566,S566,"m")&gt;12,DATEDIF(L566,S566,"y"),(DATEDIF(L566,S566,"m")/12))</f>
        <v>5</v>
      </c>
      <c r="I566" s="7">
        <f>DATEDIF(L566,S566,"M")</f>
        <v>69</v>
      </c>
      <c r="J566" s="7">
        <f>DATEDIF(L566,S566,"D")</f>
        <v>2108</v>
      </c>
      <c r="K566" s="3" t="s">
        <v>64</v>
      </c>
      <c r="L566" s="8">
        <v>42840</v>
      </c>
      <c r="M566" s="3" t="s">
        <v>45</v>
      </c>
      <c r="N566" s="3" t="s">
        <v>73</v>
      </c>
      <c r="O566" s="3" t="s">
        <v>52</v>
      </c>
      <c r="P566" s="3" t="s">
        <v>84</v>
      </c>
      <c r="Q566" s="7">
        <v>0</v>
      </c>
      <c r="R566" s="8">
        <v>44957</v>
      </c>
      <c r="S566" s="8">
        <v>44948</v>
      </c>
      <c r="T566" s="3" t="s">
        <v>54</v>
      </c>
      <c r="U566" s="3" t="s">
        <v>55</v>
      </c>
      <c r="V566" s="9"/>
      <c r="W566" s="10">
        <v>44963</v>
      </c>
      <c r="X566" s="7">
        <v>6</v>
      </c>
      <c r="Y566" s="7">
        <v>9</v>
      </c>
      <c r="Z566" s="7">
        <v>1</v>
      </c>
      <c r="AA566" s="7">
        <f>INT((S566-DATE(YEAR(S566-WEEKDAY(S566-0)+4),1,4)+WEEKDAY(DATE(YEAR(S566-WEEKDAY(S566-0)+4),1,4))+6)/7)</f>
        <v>4</v>
      </c>
      <c r="AB566" s="3" t="s">
        <v>128</v>
      </c>
      <c r="AC566" s="7">
        <v>189</v>
      </c>
      <c r="AD566" s="7">
        <v>0</v>
      </c>
      <c r="AE566" s="7">
        <v>0</v>
      </c>
      <c r="AF566" s="3" t="s">
        <v>48</v>
      </c>
      <c r="AG566" s="7">
        <v>2023</v>
      </c>
      <c r="AH566" s="3" t="s">
        <v>112</v>
      </c>
      <c r="AI566" s="3" t="s">
        <v>113</v>
      </c>
      <c r="AJ566" s="3" t="s">
        <v>48</v>
      </c>
      <c r="AK566" s="3" t="s">
        <v>129</v>
      </c>
      <c r="AL566" s="3" t="s">
        <v>59</v>
      </c>
      <c r="AM566" s="3" t="s">
        <v>115</v>
      </c>
      <c r="AN566" s="3" t="s">
        <v>61</v>
      </c>
      <c r="AO566" s="3" t="s">
        <v>62</v>
      </c>
      <c r="AP566" s="3" t="s">
        <v>69</v>
      </c>
      <c r="AQ566" s="3" t="s">
        <v>61</v>
      </c>
      <c r="AR566" s="3" t="s">
        <v>48</v>
      </c>
    </row>
    <row r="567" spans="1:44" ht="30" customHeight="1">
      <c r="A567" s="3" t="s">
        <v>44</v>
      </c>
      <c r="B567" s="3" t="s">
        <v>45</v>
      </c>
      <c r="C567" s="3" t="s">
        <v>46</v>
      </c>
      <c r="D567" s="3" t="s">
        <v>108</v>
      </c>
      <c r="E567" s="3" t="s">
        <v>48</v>
      </c>
      <c r="F567" s="3" t="s">
        <v>108</v>
      </c>
      <c r="G567" s="3" t="s">
        <v>245</v>
      </c>
      <c r="H567" s="4">
        <f>IF(DATEDIF(L567,S567,"m")&gt;12,DATEDIF(L567,S567,"y"),(DATEDIF(L567,S567,"m")/12))</f>
        <v>3</v>
      </c>
      <c r="I567" s="7">
        <f>DATEDIF(L567,S567,"M")</f>
        <v>42</v>
      </c>
      <c r="J567" s="7">
        <f>DATEDIF(L567,S567,"D")</f>
        <v>1309</v>
      </c>
      <c r="K567" s="3" t="s">
        <v>51</v>
      </c>
      <c r="L567" s="27">
        <v>43644</v>
      </c>
      <c r="M567" s="3" t="s">
        <v>45</v>
      </c>
      <c r="N567" s="3" t="s">
        <v>73</v>
      </c>
      <c r="O567" s="3" t="s">
        <v>52</v>
      </c>
      <c r="P567" s="3" t="s">
        <v>169</v>
      </c>
      <c r="Q567" s="7">
        <v>0</v>
      </c>
      <c r="R567" s="8">
        <v>44957</v>
      </c>
      <c r="S567" s="8">
        <v>44953</v>
      </c>
      <c r="T567" s="3" t="s">
        <v>54</v>
      </c>
      <c r="U567" s="3" t="s">
        <v>55</v>
      </c>
      <c r="V567" s="9"/>
      <c r="W567" s="10">
        <v>44963</v>
      </c>
      <c r="X567" s="7">
        <v>6</v>
      </c>
      <c r="Y567" s="7">
        <v>4</v>
      </c>
      <c r="Z567" s="7">
        <v>1</v>
      </c>
      <c r="AA567" s="7">
        <f>INT((S567-DATE(YEAR(S567-WEEKDAY(S567-0)+4),1,4)+WEEKDAY(DATE(YEAR(S567-WEEKDAY(S567-0)+4),1,4))+6)/7)</f>
        <v>4</v>
      </c>
      <c r="AB567" s="3" t="s">
        <v>246</v>
      </c>
      <c r="AC567" s="7">
        <v>193</v>
      </c>
      <c r="AD567" s="7">
        <v>0</v>
      </c>
      <c r="AE567" s="7">
        <v>0</v>
      </c>
      <c r="AF567" s="3" t="s">
        <v>48</v>
      </c>
      <c r="AG567" s="7">
        <v>2023</v>
      </c>
      <c r="AH567" s="3" t="s">
        <v>112</v>
      </c>
      <c r="AI567" s="3" t="s">
        <v>113</v>
      </c>
      <c r="AJ567" s="3" t="s">
        <v>48</v>
      </c>
      <c r="AK567" s="26" t="s">
        <v>129</v>
      </c>
      <c r="AL567" s="3" t="s">
        <v>59</v>
      </c>
      <c r="AM567" s="3" t="s">
        <v>115</v>
      </c>
      <c r="AN567" s="3" t="s">
        <v>61</v>
      </c>
      <c r="AO567" s="3" t="s">
        <v>62</v>
      </c>
      <c r="AP567" s="3" t="s">
        <v>69</v>
      </c>
      <c r="AQ567" s="3" t="s">
        <v>61</v>
      </c>
      <c r="AR567" s="3" t="s">
        <v>48</v>
      </c>
    </row>
    <row r="568" spans="1:44" ht="30" customHeight="1">
      <c r="A568" s="3" t="s">
        <v>44</v>
      </c>
      <c r="B568" s="3" t="s">
        <v>45</v>
      </c>
      <c r="C568" s="3" t="s">
        <v>46</v>
      </c>
      <c r="D568" s="3" t="s">
        <v>108</v>
      </c>
      <c r="E568" s="3" t="s">
        <v>48</v>
      </c>
      <c r="F568" s="3" t="s">
        <v>108</v>
      </c>
      <c r="G568" s="3" t="s">
        <v>613</v>
      </c>
      <c r="H568" s="4">
        <f>IF(DATEDIF(L568,S568,"m")&gt;12,DATEDIF(L568,S568,"y"),(DATEDIF(L568,S568,"m")/12))</f>
        <v>3</v>
      </c>
      <c r="I568" s="7">
        <f>DATEDIF(L568,S568,"M")</f>
        <v>39</v>
      </c>
      <c r="J568" s="7">
        <f>DATEDIF(L568,S568,"D")</f>
        <v>1214</v>
      </c>
      <c r="K568" s="3" t="s">
        <v>64</v>
      </c>
      <c r="L568" s="8">
        <v>43744</v>
      </c>
      <c r="M568" s="3" t="s">
        <v>45</v>
      </c>
      <c r="N568" s="3" t="s">
        <v>73</v>
      </c>
      <c r="O568" s="3" t="s">
        <v>52</v>
      </c>
      <c r="P568" s="3" t="s">
        <v>91</v>
      </c>
      <c r="Q568" s="7">
        <v>0</v>
      </c>
      <c r="R568" s="8">
        <v>44960</v>
      </c>
      <c r="S568" s="8">
        <v>44958</v>
      </c>
      <c r="T568" s="3" t="s">
        <v>54</v>
      </c>
      <c r="U568" s="3" t="s">
        <v>55</v>
      </c>
      <c r="V568" s="9"/>
      <c r="W568" s="10">
        <v>44963</v>
      </c>
      <c r="X568" s="7">
        <v>3</v>
      </c>
      <c r="Y568" s="7">
        <v>2</v>
      </c>
      <c r="Z568" s="7">
        <v>2</v>
      </c>
      <c r="AA568" s="7">
        <f>INT((S568-DATE(YEAR(S568-WEEKDAY(S568-0)+4),1,4)+WEEKDAY(DATE(YEAR(S568-WEEKDAY(S568-0)+4),1,4))+6)/7)</f>
        <v>5</v>
      </c>
      <c r="AB568" s="3" t="s">
        <v>614</v>
      </c>
      <c r="AC568" s="7">
        <v>207</v>
      </c>
      <c r="AD568" s="7">
        <v>0</v>
      </c>
      <c r="AE568" s="7">
        <v>0</v>
      </c>
      <c r="AF568" s="3" t="s">
        <v>48</v>
      </c>
      <c r="AG568" s="7">
        <v>2023</v>
      </c>
      <c r="AH568" s="3" t="s">
        <v>112</v>
      </c>
      <c r="AI568" s="3" t="s">
        <v>113</v>
      </c>
      <c r="AJ568" s="3" t="s">
        <v>48</v>
      </c>
      <c r="AK568" s="3" t="s">
        <v>129</v>
      </c>
      <c r="AL568" s="3" t="s">
        <v>59</v>
      </c>
      <c r="AM568" s="3" t="s">
        <v>115</v>
      </c>
      <c r="AN568" s="3" t="s">
        <v>61</v>
      </c>
      <c r="AO568" s="3" t="s">
        <v>62</v>
      </c>
      <c r="AP568" s="3" t="s">
        <v>69</v>
      </c>
      <c r="AQ568" s="3" t="s">
        <v>61</v>
      </c>
      <c r="AR568" s="3" t="s">
        <v>48</v>
      </c>
    </row>
    <row r="569" spans="1:44" ht="30" customHeight="1">
      <c r="A569" s="3" t="s">
        <v>44</v>
      </c>
      <c r="B569" s="3" t="s">
        <v>45</v>
      </c>
      <c r="C569" s="3" t="s">
        <v>46</v>
      </c>
      <c r="D569" s="3" t="s">
        <v>70</v>
      </c>
      <c r="E569" s="3" t="s">
        <v>48</v>
      </c>
      <c r="F569" s="3" t="s">
        <v>71</v>
      </c>
      <c r="G569" s="3" t="s">
        <v>2211</v>
      </c>
      <c r="H569" s="5">
        <f>IF(DATEDIF(L569,S569,"m")&gt;12,DATEDIF(L569,S569,"y"),(DATEDIF(L569,S569,"m")/12))</f>
        <v>0.58333333333333337</v>
      </c>
      <c r="I569" s="7">
        <f>DATEDIF(L569,S569,"M")</f>
        <v>7</v>
      </c>
      <c r="J569" s="7">
        <f>DATEDIF(L569,S569,"D")</f>
        <v>221</v>
      </c>
      <c r="K569" s="3" t="s">
        <v>51</v>
      </c>
      <c r="L569" s="8">
        <v>44757</v>
      </c>
      <c r="M569" s="3" t="s">
        <v>45</v>
      </c>
      <c r="N569" s="3" t="s">
        <v>90</v>
      </c>
      <c r="O569" s="3" t="s">
        <v>52</v>
      </c>
      <c r="P569" s="3" t="s">
        <v>2212</v>
      </c>
      <c r="Q569" s="7">
        <v>1</v>
      </c>
      <c r="R569" s="8">
        <v>44979</v>
      </c>
      <c r="S569" s="8">
        <v>44978</v>
      </c>
      <c r="T569" s="3" t="s">
        <v>54</v>
      </c>
      <c r="U569" s="3" t="s">
        <v>55</v>
      </c>
      <c r="V569" s="9"/>
      <c r="W569" s="10">
        <v>44984</v>
      </c>
      <c r="X569" s="7">
        <v>5</v>
      </c>
      <c r="Y569" s="7">
        <v>1</v>
      </c>
      <c r="Z569" s="7">
        <v>2</v>
      </c>
      <c r="AA569" s="7">
        <f>INT((S569-DATE(YEAR(S569-WEEKDAY(S569-0)+4),1,4)+WEEKDAY(DATE(YEAR(S569-WEEKDAY(S569-0)+4),1,4))+6)/7)</f>
        <v>8</v>
      </c>
      <c r="AB569" s="3" t="s">
        <v>2213</v>
      </c>
      <c r="AC569" s="7">
        <v>681</v>
      </c>
      <c r="AD569" s="7">
        <v>0</v>
      </c>
      <c r="AE569" s="7">
        <v>1</v>
      </c>
      <c r="AF569" s="3" t="s">
        <v>48</v>
      </c>
      <c r="AG569" s="7">
        <v>2023</v>
      </c>
      <c r="AH569" s="3" t="s">
        <v>76</v>
      </c>
      <c r="AI569" s="3" t="s">
        <v>166</v>
      </c>
      <c r="AJ569" s="3" t="s">
        <v>78</v>
      </c>
      <c r="AK569" s="3" t="s">
        <v>844</v>
      </c>
      <c r="AL569" s="3" t="s">
        <v>59</v>
      </c>
      <c r="AM569" s="3" t="s">
        <v>60</v>
      </c>
      <c r="AN569" s="3" t="s">
        <v>61</v>
      </c>
      <c r="AO569" s="3" t="s">
        <v>62</v>
      </c>
      <c r="AP569" s="3" t="s">
        <v>69</v>
      </c>
      <c r="AQ569" s="3" t="s">
        <v>61</v>
      </c>
      <c r="AR569" s="3" t="s">
        <v>48</v>
      </c>
    </row>
    <row r="570" spans="1:44" ht="30" customHeight="1">
      <c r="A570" s="3" t="s">
        <v>44</v>
      </c>
      <c r="B570" s="3" t="s">
        <v>45</v>
      </c>
      <c r="C570" s="3" t="s">
        <v>46</v>
      </c>
      <c r="D570" s="3" t="s">
        <v>70</v>
      </c>
      <c r="E570" s="3" t="s">
        <v>48</v>
      </c>
      <c r="F570" s="3" t="s">
        <v>71</v>
      </c>
      <c r="G570" s="3" t="s">
        <v>2354</v>
      </c>
      <c r="H570" s="4">
        <f>IF(DATEDIF(L570,S570,"m")&gt;12,DATEDIF(L570,S570,"y"),(DATEDIF(L570,S570,"m")/12))</f>
        <v>20</v>
      </c>
      <c r="I570" s="7">
        <f>DATEDIF(L570,S570,"M")</f>
        <v>245</v>
      </c>
      <c r="J570" s="7">
        <f>DATEDIF(L570,S570,"D")</f>
        <v>7471</v>
      </c>
      <c r="K570" s="3" t="s">
        <v>51</v>
      </c>
      <c r="L570" s="8">
        <v>37509</v>
      </c>
      <c r="M570" s="3" t="s">
        <v>45</v>
      </c>
      <c r="N570" s="3" t="s">
        <v>329</v>
      </c>
      <c r="O570" s="3" t="s">
        <v>52</v>
      </c>
      <c r="P570" s="3" t="s">
        <v>176</v>
      </c>
      <c r="Q570" s="7">
        <v>1</v>
      </c>
      <c r="R570" s="8">
        <v>44981</v>
      </c>
      <c r="S570" s="8">
        <v>44980</v>
      </c>
      <c r="T570" s="3" t="s">
        <v>54</v>
      </c>
      <c r="U570" s="3" t="s">
        <v>55</v>
      </c>
      <c r="V570" s="9"/>
      <c r="W570" s="10">
        <v>44984</v>
      </c>
      <c r="X570" s="7">
        <v>3</v>
      </c>
      <c r="Y570" s="7">
        <v>1</v>
      </c>
      <c r="Z570" s="7">
        <v>2</v>
      </c>
      <c r="AA570" s="7">
        <f>INT((S570-DATE(YEAR(S570-WEEKDAY(S570-0)+4),1,4)+WEEKDAY(DATE(YEAR(S570-WEEKDAY(S570-0)+4),1,4))+6)/7)</f>
        <v>8</v>
      </c>
      <c r="AB570" s="3" t="s">
        <v>2355</v>
      </c>
      <c r="AC570" s="7">
        <v>684</v>
      </c>
      <c r="AD570" s="7">
        <v>0</v>
      </c>
      <c r="AE570" s="7">
        <v>1</v>
      </c>
      <c r="AF570" s="3" t="s">
        <v>48</v>
      </c>
      <c r="AG570" s="7">
        <v>2023</v>
      </c>
      <c r="AH570" s="3" t="s">
        <v>76</v>
      </c>
      <c r="AI570" s="3" t="s">
        <v>77</v>
      </c>
      <c r="AJ570" s="3" t="s">
        <v>78</v>
      </c>
      <c r="AK570" s="3" t="s">
        <v>1343</v>
      </c>
      <c r="AL570" s="3" t="s">
        <v>59</v>
      </c>
      <c r="AM570" s="3" t="s">
        <v>60</v>
      </c>
      <c r="AN570" s="3" t="s">
        <v>61</v>
      </c>
      <c r="AO570" s="3" t="s">
        <v>62</v>
      </c>
      <c r="AP570" s="3" t="s">
        <v>69</v>
      </c>
      <c r="AQ570" s="3" t="s">
        <v>61</v>
      </c>
      <c r="AR570" s="3" t="s">
        <v>48</v>
      </c>
    </row>
    <row r="571" spans="1:44" ht="30" customHeight="1">
      <c r="A571" s="3" t="s">
        <v>44</v>
      </c>
      <c r="B571" s="3" t="s">
        <v>45</v>
      </c>
      <c r="C571" s="3" t="s">
        <v>46</v>
      </c>
      <c r="D571" s="3" t="s">
        <v>47</v>
      </c>
      <c r="E571" s="3" t="s">
        <v>48</v>
      </c>
      <c r="F571" s="3" t="s">
        <v>49</v>
      </c>
      <c r="G571" s="3" t="s">
        <v>2230</v>
      </c>
      <c r="H571" s="4">
        <f>IF(DATEDIF(L571,S571,"m")&gt;12,DATEDIF(L571,S571,"y"),(DATEDIF(L571,S571,"m")/12))</f>
        <v>3</v>
      </c>
      <c r="I571" s="7">
        <f>DATEDIF(L571,S571,"M")</f>
        <v>42</v>
      </c>
      <c r="J571" s="7">
        <f>DATEDIF(L571,S571,"D")</f>
        <v>1293</v>
      </c>
      <c r="K571" s="3" t="s">
        <v>51</v>
      </c>
      <c r="L571" s="8">
        <v>43665</v>
      </c>
      <c r="M571" s="3" t="s">
        <v>45</v>
      </c>
      <c r="N571" s="3" t="s">
        <v>73</v>
      </c>
      <c r="O571" s="3" t="s">
        <v>52</v>
      </c>
      <c r="P571" s="3" t="s">
        <v>137</v>
      </c>
      <c r="Q571" s="7">
        <v>0</v>
      </c>
      <c r="R571" s="8">
        <v>44961</v>
      </c>
      <c r="S571" s="8">
        <v>44958</v>
      </c>
      <c r="T571" s="3" t="s">
        <v>54</v>
      </c>
      <c r="U571" s="3" t="s">
        <v>55</v>
      </c>
      <c r="V571" s="9"/>
      <c r="W571" s="10">
        <v>44963</v>
      </c>
      <c r="X571" s="7">
        <v>2</v>
      </c>
      <c r="Y571" s="7">
        <v>3</v>
      </c>
      <c r="Z571" s="7">
        <v>2</v>
      </c>
      <c r="AA571" s="7">
        <f>INT((S571-DATE(YEAR(S571-WEEKDAY(S571-0)+4),1,4)+WEEKDAY(DATE(YEAR(S571-WEEKDAY(S571-0)+4),1,4))+6)/7)</f>
        <v>5</v>
      </c>
      <c r="AB571" s="3" t="s">
        <v>2231</v>
      </c>
      <c r="AC571" s="7">
        <v>30</v>
      </c>
      <c r="AD571" s="7">
        <v>0</v>
      </c>
      <c r="AE571" s="7">
        <v>0</v>
      </c>
      <c r="AF571" s="3" t="s">
        <v>48</v>
      </c>
      <c r="AG571" s="7">
        <v>2023</v>
      </c>
      <c r="AH571" s="3" t="s">
        <v>57</v>
      </c>
      <c r="AI571" s="3" t="s">
        <v>48</v>
      </c>
      <c r="AJ571" s="3" t="s">
        <v>48</v>
      </c>
      <c r="AK571" s="3" t="s">
        <v>129</v>
      </c>
      <c r="AL571" s="3" t="s">
        <v>59</v>
      </c>
      <c r="AM571" s="3" t="s">
        <v>60</v>
      </c>
      <c r="AN571" s="3" t="s">
        <v>61</v>
      </c>
      <c r="AO571" s="3" t="s">
        <v>62</v>
      </c>
      <c r="AP571" s="3" t="s">
        <v>69</v>
      </c>
      <c r="AQ571" s="3" t="s">
        <v>61</v>
      </c>
      <c r="AR571" s="3" t="s">
        <v>48</v>
      </c>
    </row>
    <row r="572" spans="1:44" ht="30" customHeight="1">
      <c r="A572" s="3" t="s">
        <v>44</v>
      </c>
      <c r="B572" s="3" t="s">
        <v>45</v>
      </c>
      <c r="C572" s="3" t="s">
        <v>46</v>
      </c>
      <c r="D572" s="3" t="s">
        <v>47</v>
      </c>
      <c r="E572" s="3" t="s">
        <v>48</v>
      </c>
      <c r="F572" s="3" t="s">
        <v>49</v>
      </c>
      <c r="G572" s="3" t="s">
        <v>1817</v>
      </c>
      <c r="H572" s="4">
        <f>IF(DATEDIF(L572,S572,"m")&gt;12,DATEDIF(L572,S572,"y"),(DATEDIF(L572,S572,"m")/12))</f>
        <v>17</v>
      </c>
      <c r="I572" s="7">
        <f>DATEDIF(L572,S572,"M")</f>
        <v>213</v>
      </c>
      <c r="J572" s="7">
        <f>DATEDIF(L572,S572,"D")</f>
        <v>6492</v>
      </c>
      <c r="K572" s="3" t="s">
        <v>64</v>
      </c>
      <c r="L572" s="8">
        <v>38470</v>
      </c>
      <c r="M572" s="3" t="s">
        <v>45</v>
      </c>
      <c r="N572" s="3" t="s">
        <v>73</v>
      </c>
      <c r="O572" s="3" t="s">
        <v>52</v>
      </c>
      <c r="P572" s="3" t="s">
        <v>1818</v>
      </c>
      <c r="Q572" s="7">
        <v>0</v>
      </c>
      <c r="R572" s="8">
        <v>44965</v>
      </c>
      <c r="S572" s="8">
        <v>44962</v>
      </c>
      <c r="T572" s="3" t="s">
        <v>54</v>
      </c>
      <c r="U572" s="3" t="s">
        <v>55</v>
      </c>
      <c r="V572" s="9"/>
      <c r="W572" s="10">
        <v>44970</v>
      </c>
      <c r="X572" s="7">
        <v>5</v>
      </c>
      <c r="Y572" s="7">
        <v>3</v>
      </c>
      <c r="Z572" s="7">
        <v>2</v>
      </c>
      <c r="AA572" s="7">
        <f>INT((S572-DATE(YEAR(S572-WEEKDAY(S572-0)+4),1,4)+WEEKDAY(DATE(YEAR(S572-WEEKDAY(S572-0)+4),1,4))+6)/7)</f>
        <v>6</v>
      </c>
      <c r="AB572" s="3" t="s">
        <v>1819</v>
      </c>
      <c r="AC572" s="7">
        <v>38</v>
      </c>
      <c r="AD572" s="7">
        <v>0</v>
      </c>
      <c r="AE572" s="7">
        <v>0</v>
      </c>
      <c r="AF572" s="3" t="s">
        <v>48</v>
      </c>
      <c r="AG572" s="7">
        <v>2023</v>
      </c>
      <c r="AH572" s="3" t="s">
        <v>57</v>
      </c>
      <c r="AI572" s="3" t="s">
        <v>48</v>
      </c>
      <c r="AJ572" s="3" t="s">
        <v>48</v>
      </c>
      <c r="AK572" s="3" t="s">
        <v>129</v>
      </c>
      <c r="AL572" s="3" t="s">
        <v>59</v>
      </c>
      <c r="AM572" s="3" t="s">
        <v>60</v>
      </c>
      <c r="AN572" s="3" t="s">
        <v>61</v>
      </c>
      <c r="AO572" s="3" t="s">
        <v>62</v>
      </c>
      <c r="AP572" s="3" t="s">
        <v>69</v>
      </c>
      <c r="AQ572" s="3" t="s">
        <v>61</v>
      </c>
      <c r="AR572" s="3" t="s">
        <v>48</v>
      </c>
    </row>
    <row r="573" spans="1:44" ht="30" customHeight="1">
      <c r="A573" s="3" t="s">
        <v>44</v>
      </c>
      <c r="B573" s="3" t="s">
        <v>45</v>
      </c>
      <c r="C573" s="3" t="s">
        <v>80</v>
      </c>
      <c r="D573" s="3" t="s">
        <v>81</v>
      </c>
      <c r="E573" s="3" t="s">
        <v>48</v>
      </c>
      <c r="F573" s="3" t="s">
        <v>81</v>
      </c>
      <c r="G573" s="3" t="s">
        <v>82</v>
      </c>
      <c r="H573" s="4">
        <f>IF(DATEDIF(L573,S573,"m")&gt;12,DATEDIF(L573,S573,"y"),(DATEDIF(L573,S573,"m")/12))</f>
        <v>6</v>
      </c>
      <c r="I573" s="7">
        <f>DATEDIF(L573,S573,"M")</f>
        <v>75</v>
      </c>
      <c r="J573" s="7">
        <f>DATEDIF(L573,S573,"D")</f>
        <v>2311</v>
      </c>
      <c r="K573" s="3" t="s">
        <v>64</v>
      </c>
      <c r="L573" s="8">
        <v>42666</v>
      </c>
      <c r="M573" s="3" t="s">
        <v>45</v>
      </c>
      <c r="N573" s="3" t="s">
        <v>83</v>
      </c>
      <c r="O573" s="3" t="s">
        <v>52</v>
      </c>
      <c r="P573" s="3" t="s">
        <v>84</v>
      </c>
      <c r="Q573" s="7">
        <v>1</v>
      </c>
      <c r="R573" s="8">
        <v>44977</v>
      </c>
      <c r="S573" s="8">
        <v>44977</v>
      </c>
      <c r="T573" s="3" t="s">
        <v>54</v>
      </c>
      <c r="U573" s="3" t="s">
        <v>55</v>
      </c>
      <c r="V573" s="9"/>
      <c r="W573" s="10">
        <v>44985</v>
      </c>
      <c r="X573" s="7">
        <v>8</v>
      </c>
      <c r="Y573" s="7">
        <v>730</v>
      </c>
      <c r="Z573" s="7">
        <v>2</v>
      </c>
      <c r="AA573" s="7">
        <f>INT((S573-DATE(YEAR(S573-WEEKDAY(S573-0)+4),1,4)+WEEKDAY(DATE(YEAR(S573-WEEKDAY(S573-0)+4),1,4))+6)/7)</f>
        <v>8</v>
      </c>
      <c r="AB573" s="3" t="s">
        <v>85</v>
      </c>
      <c r="AC573" s="7">
        <v>14011</v>
      </c>
      <c r="AD573" s="7">
        <v>0</v>
      </c>
      <c r="AE573" s="7">
        <v>0</v>
      </c>
      <c r="AF573" s="3" t="s">
        <v>48</v>
      </c>
      <c r="AG573" s="7">
        <v>2023</v>
      </c>
      <c r="AH573" s="3" t="s">
        <v>86</v>
      </c>
      <c r="AI573" s="3" t="s">
        <v>48</v>
      </c>
      <c r="AJ573" s="3" t="s">
        <v>48</v>
      </c>
      <c r="AK573" s="3" t="s">
        <v>87</v>
      </c>
      <c r="AL573" s="3" t="s">
        <v>59</v>
      </c>
      <c r="AM573" s="3" t="s">
        <v>60</v>
      </c>
      <c r="AN573" s="3" t="s">
        <v>61</v>
      </c>
      <c r="AO573" s="3" t="s">
        <v>88</v>
      </c>
      <c r="AP573" s="3" t="s">
        <v>69</v>
      </c>
      <c r="AQ573" s="3" t="s">
        <v>61</v>
      </c>
      <c r="AR573" s="3" t="s">
        <v>48</v>
      </c>
    </row>
    <row r="574" spans="1:44" ht="30" customHeight="1">
      <c r="A574" s="3" t="s">
        <v>44</v>
      </c>
      <c r="B574" s="3" t="s">
        <v>45</v>
      </c>
      <c r="C574" s="3" t="s">
        <v>46</v>
      </c>
      <c r="D574" s="3" t="s">
        <v>100</v>
      </c>
      <c r="E574" s="3" t="s">
        <v>48</v>
      </c>
      <c r="F574" s="3" t="s">
        <v>100</v>
      </c>
      <c r="G574" s="3" t="s">
        <v>757</v>
      </c>
      <c r="H574" s="4">
        <f>IF(DATEDIF(L574,S574,"m")&gt;12,DATEDIF(L574,S574,"y"),(DATEDIF(L574,S574,"m")/12))</f>
        <v>2</v>
      </c>
      <c r="I574" s="7">
        <f>DATEDIF(L574,S574,"M")</f>
        <v>24</v>
      </c>
      <c r="J574" s="7">
        <f>DATEDIF(L574,S574,"D")</f>
        <v>760</v>
      </c>
      <c r="K574" s="3" t="s">
        <v>64</v>
      </c>
      <c r="L574" s="8">
        <v>44219</v>
      </c>
      <c r="M574" s="3" t="s">
        <v>45</v>
      </c>
      <c r="N574" s="3" t="s">
        <v>101</v>
      </c>
      <c r="O574" s="3" t="s">
        <v>52</v>
      </c>
      <c r="P574" s="3" t="s">
        <v>91</v>
      </c>
      <c r="Q574" s="7">
        <v>1</v>
      </c>
      <c r="R574" s="8">
        <v>44979</v>
      </c>
      <c r="S574" s="8">
        <v>44979</v>
      </c>
      <c r="T574" s="3" t="s">
        <v>54</v>
      </c>
      <c r="U574" s="3" t="s">
        <v>55</v>
      </c>
      <c r="V574" s="9"/>
      <c r="W574" s="10">
        <v>44985</v>
      </c>
      <c r="X574" s="7">
        <v>6</v>
      </c>
      <c r="Y574" s="7">
        <v>0</v>
      </c>
      <c r="Z574" s="7">
        <v>2</v>
      </c>
      <c r="AA574" s="7">
        <f>INT((S574-DATE(YEAR(S574-WEEKDAY(S574-0)+4),1,4)+WEEKDAY(DATE(YEAR(S574-WEEKDAY(S574-0)+4),1,4))+6)/7)</f>
        <v>8</v>
      </c>
      <c r="AB574" s="3" t="s">
        <v>758</v>
      </c>
      <c r="AC574" s="7">
        <v>96</v>
      </c>
      <c r="AD574" s="7">
        <v>0</v>
      </c>
      <c r="AE574" s="7">
        <v>0</v>
      </c>
      <c r="AF574" s="3" t="s">
        <v>48</v>
      </c>
      <c r="AG574" s="7">
        <v>2023</v>
      </c>
      <c r="AH574" s="3" t="s">
        <v>223</v>
      </c>
      <c r="AI574" s="3" t="s">
        <v>106</v>
      </c>
      <c r="AJ574" s="3" t="s">
        <v>100</v>
      </c>
      <c r="AK574" s="3" t="s">
        <v>162</v>
      </c>
      <c r="AL574" s="3" t="s">
        <v>59</v>
      </c>
      <c r="AM574" s="3" t="s">
        <v>99</v>
      </c>
      <c r="AN574" s="3" t="s">
        <v>61</v>
      </c>
      <c r="AO574" s="3" t="s">
        <v>62</v>
      </c>
      <c r="AP574" s="3" t="s">
        <v>69</v>
      </c>
      <c r="AQ574" s="3" t="s">
        <v>61</v>
      </c>
      <c r="AR574" s="3" t="s">
        <v>48</v>
      </c>
    </row>
    <row r="575" spans="1:44" ht="30" customHeight="1">
      <c r="A575" s="3" t="s">
        <v>44</v>
      </c>
      <c r="B575" s="3" t="s">
        <v>45</v>
      </c>
      <c r="C575" s="3" t="s">
        <v>46</v>
      </c>
      <c r="D575" s="3" t="s">
        <v>70</v>
      </c>
      <c r="E575" s="3" t="s">
        <v>48</v>
      </c>
      <c r="F575" s="3" t="s">
        <v>71</v>
      </c>
      <c r="G575" s="3" t="s">
        <v>884</v>
      </c>
      <c r="H575" s="4">
        <f>IF(DATEDIF(L575,S575,"m")&gt;12,DATEDIF(L575,S575,"y"),(DATEDIF(L575,S575,"m")/12))</f>
        <v>2</v>
      </c>
      <c r="I575" s="7">
        <f>DATEDIF(L575,S575,"M")</f>
        <v>28</v>
      </c>
      <c r="J575" s="7">
        <f>DATEDIF(L575,S575,"D")</f>
        <v>871</v>
      </c>
      <c r="K575" s="3" t="s">
        <v>64</v>
      </c>
      <c r="L575" s="8">
        <v>44112</v>
      </c>
      <c r="M575" s="3" t="s">
        <v>45</v>
      </c>
      <c r="N575" s="3" t="s">
        <v>101</v>
      </c>
      <c r="O575" s="3" t="s">
        <v>52</v>
      </c>
      <c r="P575" s="3" t="s">
        <v>255</v>
      </c>
      <c r="Q575" s="7">
        <v>1</v>
      </c>
      <c r="R575" s="8">
        <v>44984</v>
      </c>
      <c r="S575" s="8">
        <v>44983</v>
      </c>
      <c r="T575" s="3" t="s">
        <v>54</v>
      </c>
      <c r="U575" s="3" t="s">
        <v>55</v>
      </c>
      <c r="V575" s="9"/>
      <c r="W575" s="10">
        <v>44985</v>
      </c>
      <c r="X575" s="7">
        <v>1</v>
      </c>
      <c r="Y575" s="7">
        <v>1</v>
      </c>
      <c r="Z575" s="7">
        <v>2</v>
      </c>
      <c r="AA575" s="7">
        <f>INT((S575-DATE(YEAR(S575-WEEKDAY(S575-0)+4),1,4)+WEEKDAY(DATE(YEAR(S575-WEEKDAY(S575-0)+4),1,4))+6)/7)</f>
        <v>9</v>
      </c>
      <c r="AB575" s="3" t="s">
        <v>885</v>
      </c>
      <c r="AC575" s="7">
        <v>686</v>
      </c>
      <c r="AD575" s="7">
        <v>0</v>
      </c>
      <c r="AE575" s="7">
        <v>1</v>
      </c>
      <c r="AF575" s="3" t="s">
        <v>48</v>
      </c>
      <c r="AG575" s="7">
        <v>2023</v>
      </c>
      <c r="AH575" s="3" t="s">
        <v>76</v>
      </c>
      <c r="AI575" s="3" t="s">
        <v>77</v>
      </c>
      <c r="AJ575" s="3" t="s">
        <v>78</v>
      </c>
      <c r="AK575" s="3" t="s">
        <v>162</v>
      </c>
      <c r="AL575" s="3" t="s">
        <v>59</v>
      </c>
      <c r="AM575" s="3" t="s">
        <v>60</v>
      </c>
      <c r="AN575" s="3" t="s">
        <v>61</v>
      </c>
      <c r="AO575" s="3" t="s">
        <v>62</v>
      </c>
      <c r="AP575" s="3" t="s">
        <v>69</v>
      </c>
      <c r="AQ575" s="3" t="s">
        <v>61</v>
      </c>
      <c r="AR575" s="3" t="s">
        <v>48</v>
      </c>
    </row>
    <row r="576" spans="1:44" ht="30" customHeight="1">
      <c r="A576" s="3" t="s">
        <v>44</v>
      </c>
      <c r="B576" s="3" t="s">
        <v>45</v>
      </c>
      <c r="C576" s="3" t="s">
        <v>46</v>
      </c>
      <c r="D576" s="3" t="s">
        <v>100</v>
      </c>
      <c r="E576" s="3" t="s">
        <v>48</v>
      </c>
      <c r="F576" s="3" t="s">
        <v>100</v>
      </c>
      <c r="G576" s="3" t="s">
        <v>967</v>
      </c>
      <c r="H576" s="4">
        <v>1</v>
      </c>
      <c r="I576" s="7">
        <v>0</v>
      </c>
      <c r="J576" s="7">
        <v>0</v>
      </c>
      <c r="K576" s="3" t="s">
        <v>64</v>
      </c>
      <c r="L576" s="22"/>
      <c r="M576" s="3" t="s">
        <v>45</v>
      </c>
      <c r="N576" s="3" t="s">
        <v>65</v>
      </c>
      <c r="O576" s="3" t="s">
        <v>52</v>
      </c>
      <c r="P576" s="3" t="s">
        <v>91</v>
      </c>
      <c r="Q576" s="7">
        <v>1</v>
      </c>
      <c r="R576" s="8">
        <v>44977</v>
      </c>
      <c r="S576" s="8">
        <v>44977</v>
      </c>
      <c r="T576" s="3" t="s">
        <v>54</v>
      </c>
      <c r="U576" s="3" t="s">
        <v>55</v>
      </c>
      <c r="V576" s="9"/>
      <c r="W576" s="10">
        <v>44985</v>
      </c>
      <c r="X576" s="7">
        <v>8</v>
      </c>
      <c r="Y576" s="7">
        <v>0</v>
      </c>
      <c r="Z576" s="7">
        <v>2</v>
      </c>
      <c r="AA576" s="7">
        <f>INT((S576-DATE(YEAR(S576-WEEKDAY(S576-0)+4),1,4)+WEEKDAY(DATE(YEAR(S576-WEEKDAY(S576-0)+4),1,4))+6)/7)</f>
        <v>8</v>
      </c>
      <c r="AB576" s="3" t="s">
        <v>968</v>
      </c>
      <c r="AC576" s="7">
        <v>95</v>
      </c>
      <c r="AD576" s="7">
        <v>0</v>
      </c>
      <c r="AE576" s="7">
        <v>0</v>
      </c>
      <c r="AF576" s="3" t="s">
        <v>48</v>
      </c>
      <c r="AG576" s="7">
        <v>2023</v>
      </c>
      <c r="AH576" s="3" t="s">
        <v>223</v>
      </c>
      <c r="AI576" s="3" t="s">
        <v>106</v>
      </c>
      <c r="AJ576" s="3" t="s">
        <v>252</v>
      </c>
      <c r="AK576" s="3" t="s">
        <v>253</v>
      </c>
      <c r="AL576" s="3" t="s">
        <v>59</v>
      </c>
      <c r="AM576" s="3" t="s">
        <v>99</v>
      </c>
      <c r="AN576" s="3" t="s">
        <v>61</v>
      </c>
      <c r="AO576" s="3" t="s">
        <v>62</v>
      </c>
      <c r="AP576" s="3" t="s">
        <v>69</v>
      </c>
      <c r="AQ576" s="3" t="s">
        <v>61</v>
      </c>
      <c r="AR576" s="3" t="s">
        <v>48</v>
      </c>
    </row>
    <row r="577" spans="1:44" ht="30" customHeight="1">
      <c r="A577" s="3" t="s">
        <v>44</v>
      </c>
      <c r="B577" s="3" t="s">
        <v>45</v>
      </c>
      <c r="C577" s="3" t="s">
        <v>46</v>
      </c>
      <c r="D577" s="3" t="s">
        <v>70</v>
      </c>
      <c r="E577" s="3" t="s">
        <v>48</v>
      </c>
      <c r="F577" s="3" t="s">
        <v>71</v>
      </c>
      <c r="G577" s="3" t="s">
        <v>1104</v>
      </c>
      <c r="H577" s="4">
        <f>IF(DATEDIF(L577,S577,"m")&gt;12,DATEDIF(L577,S577,"y"),(DATEDIF(L577,S577,"m")/12))</f>
        <v>10</v>
      </c>
      <c r="I577" s="7">
        <f>DATEDIF(L577,S577,"M")</f>
        <v>126</v>
      </c>
      <c r="J577" s="7">
        <f>DATEDIF(L577,S577,"D")</f>
        <v>3861</v>
      </c>
      <c r="K577" s="3" t="s">
        <v>51</v>
      </c>
      <c r="L577" s="8">
        <v>41122</v>
      </c>
      <c r="M577" s="3" t="s">
        <v>45</v>
      </c>
      <c r="N577" s="3" t="s">
        <v>329</v>
      </c>
      <c r="O577" s="3" t="s">
        <v>52</v>
      </c>
      <c r="P577" s="3" t="s">
        <v>592</v>
      </c>
      <c r="Q577" s="7">
        <v>1</v>
      </c>
      <c r="R577" s="8">
        <v>44984</v>
      </c>
      <c r="S577" s="8">
        <v>44983</v>
      </c>
      <c r="T577" s="3" t="s">
        <v>54</v>
      </c>
      <c r="U577" s="3" t="s">
        <v>55</v>
      </c>
      <c r="V577" s="9"/>
      <c r="W577" s="10">
        <v>44985</v>
      </c>
      <c r="X577" s="7">
        <v>1</v>
      </c>
      <c r="Y577" s="7">
        <v>1</v>
      </c>
      <c r="Z577" s="7">
        <v>2</v>
      </c>
      <c r="AA577" s="7">
        <f>INT((S577-DATE(YEAR(S577-WEEKDAY(S577-0)+4),1,4)+WEEKDAY(DATE(YEAR(S577-WEEKDAY(S577-0)+4),1,4))+6)/7)</f>
        <v>9</v>
      </c>
      <c r="AB577" s="3" t="s">
        <v>1105</v>
      </c>
      <c r="AC577" s="7">
        <v>687</v>
      </c>
      <c r="AD577" s="7">
        <v>0</v>
      </c>
      <c r="AE577" s="7">
        <v>1</v>
      </c>
      <c r="AF577" s="3" t="s">
        <v>48</v>
      </c>
      <c r="AG577" s="7">
        <v>2023</v>
      </c>
      <c r="AH577" s="3" t="s">
        <v>76</v>
      </c>
      <c r="AI577" s="3" t="s">
        <v>166</v>
      </c>
      <c r="AJ577" s="3" t="s">
        <v>78</v>
      </c>
      <c r="AK577" s="3" t="s">
        <v>547</v>
      </c>
      <c r="AL577" s="3" t="s">
        <v>59</v>
      </c>
      <c r="AM577" s="3" t="s">
        <v>60</v>
      </c>
      <c r="AN577" s="3" t="s">
        <v>69</v>
      </c>
      <c r="AO577" s="3" t="s">
        <v>62</v>
      </c>
      <c r="AP577" s="3" t="s">
        <v>69</v>
      </c>
      <c r="AQ577" s="3" t="s">
        <v>61</v>
      </c>
      <c r="AR577" s="3" t="s">
        <v>48</v>
      </c>
    </row>
    <row r="578" spans="1:44" ht="30" customHeight="1">
      <c r="A578" s="3" t="s">
        <v>44</v>
      </c>
      <c r="B578" s="3" t="s">
        <v>45</v>
      </c>
      <c r="C578" s="3" t="s">
        <v>46</v>
      </c>
      <c r="D578" s="3" t="s">
        <v>70</v>
      </c>
      <c r="E578" s="3" t="s">
        <v>48</v>
      </c>
      <c r="F578" s="3" t="s">
        <v>71</v>
      </c>
      <c r="G578" s="3" t="s">
        <v>1106</v>
      </c>
      <c r="H578" s="4">
        <f>IF(DATEDIF(L578,S578,"m")&gt;12,DATEDIF(L578,S578,"y"),(DATEDIF(L578,S578,"m")/12))</f>
        <v>10</v>
      </c>
      <c r="I578" s="7">
        <f>DATEDIF(L578,S578,"M")</f>
        <v>126</v>
      </c>
      <c r="J578" s="7">
        <f>DATEDIF(L578,S578,"D")</f>
        <v>3862</v>
      </c>
      <c r="K578" s="3" t="s">
        <v>51</v>
      </c>
      <c r="L578" s="8">
        <v>41122</v>
      </c>
      <c r="M578" s="3" t="s">
        <v>45</v>
      </c>
      <c r="N578" s="3" t="s">
        <v>329</v>
      </c>
      <c r="O578" s="3" t="s">
        <v>52</v>
      </c>
      <c r="P578" s="3" t="s">
        <v>592</v>
      </c>
      <c r="Q578" s="7">
        <v>1</v>
      </c>
      <c r="R578" s="8">
        <v>44985</v>
      </c>
      <c r="S578" s="8">
        <v>44984</v>
      </c>
      <c r="T578" s="3" t="s">
        <v>54</v>
      </c>
      <c r="U578" s="3" t="s">
        <v>55</v>
      </c>
      <c r="V578" s="9"/>
      <c r="W578" s="10">
        <v>44985</v>
      </c>
      <c r="X578" s="7">
        <v>0</v>
      </c>
      <c r="Y578" s="7">
        <v>1</v>
      </c>
      <c r="Z578" s="7">
        <v>2</v>
      </c>
      <c r="AA578" s="7">
        <f>INT((S578-DATE(YEAR(S578-WEEKDAY(S578-0)+4),1,4)+WEEKDAY(DATE(YEAR(S578-WEEKDAY(S578-0)+4),1,4))+6)/7)</f>
        <v>9</v>
      </c>
      <c r="AB578" s="3" t="s">
        <v>1107</v>
      </c>
      <c r="AC578" s="7">
        <v>688</v>
      </c>
      <c r="AD578" s="7">
        <v>0</v>
      </c>
      <c r="AE578" s="7">
        <v>1</v>
      </c>
      <c r="AF578" s="3" t="s">
        <v>48</v>
      </c>
      <c r="AG578" s="7">
        <v>2023</v>
      </c>
      <c r="AH578" s="3" t="s">
        <v>76</v>
      </c>
      <c r="AI578" s="3" t="s">
        <v>166</v>
      </c>
      <c r="AJ578" s="3" t="s">
        <v>78</v>
      </c>
      <c r="AK578" s="3" t="s">
        <v>547</v>
      </c>
      <c r="AL578" s="3" t="s">
        <v>59</v>
      </c>
      <c r="AM578" s="3" t="s">
        <v>60</v>
      </c>
      <c r="AN578" s="3" t="s">
        <v>61</v>
      </c>
      <c r="AO578" s="3" t="s">
        <v>62</v>
      </c>
      <c r="AP578" s="3" t="s">
        <v>69</v>
      </c>
      <c r="AQ578" s="3" t="s">
        <v>61</v>
      </c>
      <c r="AR578" s="3" t="s">
        <v>48</v>
      </c>
    </row>
    <row r="579" spans="1:44" ht="30" customHeight="1">
      <c r="A579" s="3" t="s">
        <v>44</v>
      </c>
      <c r="B579" s="3" t="s">
        <v>45</v>
      </c>
      <c r="C579" s="3" t="s">
        <v>46</v>
      </c>
      <c r="D579" s="3" t="s">
        <v>130</v>
      </c>
      <c r="E579" s="3" t="s">
        <v>48</v>
      </c>
      <c r="F579" s="3" t="s">
        <v>135</v>
      </c>
      <c r="G579" s="3" t="s">
        <v>1053</v>
      </c>
      <c r="H579" s="5">
        <f>IF(DATEDIF(L579,S579,"m")&gt;12,DATEDIF(L579,S579,"y"),(DATEDIF(L579,S579,"m")/12))</f>
        <v>0.58333333333333337</v>
      </c>
      <c r="I579" s="7">
        <f>DATEDIF(L579,S579,"M")</f>
        <v>7</v>
      </c>
      <c r="J579" s="7">
        <f>DATEDIF(L579,S579,"D")</f>
        <v>227</v>
      </c>
      <c r="K579" s="3" t="s">
        <v>64</v>
      </c>
      <c r="L579" s="8">
        <v>44752</v>
      </c>
      <c r="M579" s="3" t="s">
        <v>45</v>
      </c>
      <c r="N579" s="3" t="s">
        <v>83</v>
      </c>
      <c r="O579" s="3" t="s">
        <v>52</v>
      </c>
      <c r="P579" s="3" t="s">
        <v>255</v>
      </c>
      <c r="Q579" s="7">
        <v>0</v>
      </c>
      <c r="R579" s="8">
        <v>44984</v>
      </c>
      <c r="S579" s="8">
        <v>44979</v>
      </c>
      <c r="T579" s="3" t="s">
        <v>54</v>
      </c>
      <c r="U579" s="3" t="s">
        <v>55</v>
      </c>
      <c r="V579" s="9"/>
      <c r="W579" s="10">
        <v>44987</v>
      </c>
      <c r="X579" s="7">
        <v>3</v>
      </c>
      <c r="Y579" s="7">
        <v>5</v>
      </c>
      <c r="Z579" s="7">
        <v>2</v>
      </c>
      <c r="AA579" s="7">
        <f>INT((S579-DATE(YEAR(S579-WEEKDAY(S579-0)+4),1,4)+WEEKDAY(DATE(YEAR(S579-WEEKDAY(S579-0)+4),1,4))+6)/7)</f>
        <v>8</v>
      </c>
      <c r="AB579" s="3" t="s">
        <v>1054</v>
      </c>
      <c r="AC579" s="7">
        <v>97</v>
      </c>
      <c r="AD579" s="7">
        <v>0</v>
      </c>
      <c r="AE579" s="7">
        <v>0</v>
      </c>
      <c r="AF579" s="3" t="s">
        <v>48</v>
      </c>
      <c r="AG579" s="7">
        <v>2023</v>
      </c>
      <c r="AH579" s="3" t="s">
        <v>139</v>
      </c>
      <c r="AI579" s="3" t="s">
        <v>113</v>
      </c>
      <c r="AJ579" s="3" t="s">
        <v>48</v>
      </c>
      <c r="AK579" s="3" t="s">
        <v>1055</v>
      </c>
      <c r="AL579" s="3" t="s">
        <v>59</v>
      </c>
      <c r="AM579" s="3" t="s">
        <v>60</v>
      </c>
      <c r="AN579" s="3" t="s">
        <v>61</v>
      </c>
      <c r="AO579" s="3" t="s">
        <v>62</v>
      </c>
      <c r="AP579" s="3" t="s">
        <v>69</v>
      </c>
      <c r="AQ579" s="3" t="s">
        <v>61</v>
      </c>
      <c r="AR579" s="3" t="s">
        <v>48</v>
      </c>
    </row>
    <row r="580" spans="1:44" ht="30" customHeight="1">
      <c r="A580" s="3" t="s">
        <v>44</v>
      </c>
      <c r="B580" s="3" t="s">
        <v>45</v>
      </c>
      <c r="C580" s="3" t="s">
        <v>46</v>
      </c>
      <c r="D580" s="3" t="s">
        <v>130</v>
      </c>
      <c r="E580" s="3" t="s">
        <v>48</v>
      </c>
      <c r="F580" s="3" t="s">
        <v>135</v>
      </c>
      <c r="G580" s="3" t="s">
        <v>1290</v>
      </c>
      <c r="H580" s="5">
        <f>IF(DATEDIF(L580,S580,"m")&gt;12,DATEDIF(L580,S580,"y"),(DATEDIF(L580,S580,"m")/12))</f>
        <v>0.41666666666666669</v>
      </c>
      <c r="I580" s="7">
        <f>DATEDIF(L580,S580,"M")</f>
        <v>5</v>
      </c>
      <c r="J580" s="7">
        <f>DATEDIF(L580,S580,"D")</f>
        <v>165</v>
      </c>
      <c r="K580" s="3" t="s">
        <v>64</v>
      </c>
      <c r="L580" s="8">
        <v>44817</v>
      </c>
      <c r="M580" s="3" t="s">
        <v>45</v>
      </c>
      <c r="N580" s="3" t="s">
        <v>83</v>
      </c>
      <c r="O580" s="3" t="s">
        <v>52</v>
      </c>
      <c r="P580" s="3" t="s">
        <v>499</v>
      </c>
      <c r="Q580" s="7">
        <v>0</v>
      </c>
      <c r="R580" s="8">
        <v>44985</v>
      </c>
      <c r="S580" s="8">
        <v>44982</v>
      </c>
      <c r="T580" s="3" t="s">
        <v>54</v>
      </c>
      <c r="U580" s="3" t="s">
        <v>55</v>
      </c>
      <c r="V580" s="9"/>
      <c r="W580" s="10">
        <v>44987</v>
      </c>
      <c r="X580" s="7">
        <v>2</v>
      </c>
      <c r="Y580" s="7">
        <v>3</v>
      </c>
      <c r="Z580" s="7">
        <v>2</v>
      </c>
      <c r="AA580" s="7">
        <f>INT((S580-DATE(YEAR(S580-WEEKDAY(S580-0)+4),1,4)+WEEKDAY(DATE(YEAR(S580-WEEKDAY(S580-0)+4),1,4))+6)/7)</f>
        <v>8</v>
      </c>
      <c r="AB580" s="3" t="s">
        <v>1291</v>
      </c>
      <c r="AC580" s="7">
        <v>100</v>
      </c>
      <c r="AD580" s="7">
        <v>0</v>
      </c>
      <c r="AE580" s="7">
        <v>0</v>
      </c>
      <c r="AF580" s="3" t="s">
        <v>48</v>
      </c>
      <c r="AG580" s="7">
        <v>2023</v>
      </c>
      <c r="AH580" s="3" t="s">
        <v>139</v>
      </c>
      <c r="AI580" s="3" t="s">
        <v>113</v>
      </c>
      <c r="AJ580" s="3" t="s">
        <v>48</v>
      </c>
      <c r="AK580" s="3" t="s">
        <v>1292</v>
      </c>
      <c r="AL580" s="3" t="s">
        <v>59</v>
      </c>
      <c r="AM580" s="3" t="s">
        <v>60</v>
      </c>
      <c r="AN580" s="3" t="s">
        <v>61</v>
      </c>
      <c r="AO580" s="3" t="s">
        <v>62</v>
      </c>
      <c r="AP580" s="3" t="s">
        <v>69</v>
      </c>
      <c r="AQ580" s="3" t="s">
        <v>61</v>
      </c>
      <c r="AR580" s="3" t="s">
        <v>48</v>
      </c>
    </row>
    <row r="581" spans="1:44" ht="30" customHeight="1">
      <c r="A581" s="3" t="s">
        <v>44</v>
      </c>
      <c r="B581" s="3" t="s">
        <v>45</v>
      </c>
      <c r="C581" s="3" t="s">
        <v>46</v>
      </c>
      <c r="D581" s="3" t="s">
        <v>130</v>
      </c>
      <c r="E581" s="3" t="s">
        <v>48</v>
      </c>
      <c r="F581" s="3" t="s">
        <v>135</v>
      </c>
      <c r="G581" s="3" t="s">
        <v>2153</v>
      </c>
      <c r="H581" s="4">
        <f>IF(DATEDIF(L581,S581,"m")&gt;12,DATEDIF(L581,S581,"y"),(DATEDIF(L581,S581,"m")/12))</f>
        <v>2</v>
      </c>
      <c r="I581" s="7">
        <f>DATEDIF(L581,S581,"M")</f>
        <v>27</v>
      </c>
      <c r="J581" s="7">
        <f>DATEDIF(L581,S581,"D")</f>
        <v>836</v>
      </c>
      <c r="K581" s="3" t="s">
        <v>51</v>
      </c>
      <c r="L581" s="8">
        <v>44149</v>
      </c>
      <c r="M581" s="3" t="s">
        <v>45</v>
      </c>
      <c r="N581" s="3" t="s">
        <v>83</v>
      </c>
      <c r="O581" s="3" t="s">
        <v>52</v>
      </c>
      <c r="P581" s="3" t="s">
        <v>169</v>
      </c>
      <c r="Q581" s="7">
        <v>0</v>
      </c>
      <c r="R581" s="8">
        <v>44986</v>
      </c>
      <c r="S581" s="8">
        <v>44985</v>
      </c>
      <c r="T581" s="3" t="s">
        <v>54</v>
      </c>
      <c r="U581" s="3" t="s">
        <v>55</v>
      </c>
      <c r="V581" s="9"/>
      <c r="W581" s="10">
        <v>44987</v>
      </c>
      <c r="X581" s="7">
        <v>1</v>
      </c>
      <c r="Y581" s="7">
        <v>1</v>
      </c>
      <c r="Z581" s="7">
        <v>2</v>
      </c>
      <c r="AA581" s="7">
        <f>INT((S581-DATE(YEAR(S581-WEEKDAY(S581-0)+4),1,4)+WEEKDAY(DATE(YEAR(S581-WEEKDAY(S581-0)+4),1,4))+6)/7)</f>
        <v>9</v>
      </c>
      <c r="AB581" s="3" t="s">
        <v>2154</v>
      </c>
      <c r="AC581" s="7">
        <v>95</v>
      </c>
      <c r="AD581" s="7">
        <v>0</v>
      </c>
      <c r="AE581" s="7">
        <v>0</v>
      </c>
      <c r="AF581" s="3" t="s">
        <v>48</v>
      </c>
      <c r="AG581" s="7">
        <v>2023</v>
      </c>
      <c r="AH581" s="3" t="s">
        <v>139</v>
      </c>
      <c r="AI581" s="3" t="s">
        <v>113</v>
      </c>
      <c r="AJ581" s="3" t="s">
        <v>48</v>
      </c>
      <c r="AK581" t="s">
        <v>140</v>
      </c>
      <c r="AL581" s="3" t="s">
        <v>59</v>
      </c>
      <c r="AM581" s="3" t="s">
        <v>60</v>
      </c>
      <c r="AN581" s="3" t="s">
        <v>61</v>
      </c>
      <c r="AO581" s="3" t="s">
        <v>62</v>
      </c>
      <c r="AP581" s="3" t="s">
        <v>69</v>
      </c>
      <c r="AQ581" s="3" t="s">
        <v>61</v>
      </c>
      <c r="AR581" s="3" t="s">
        <v>48</v>
      </c>
    </row>
    <row r="582" spans="1:44" ht="30" customHeight="1">
      <c r="A582" s="3" t="s">
        <v>44</v>
      </c>
      <c r="B582" s="3" t="s">
        <v>45</v>
      </c>
      <c r="C582" s="3" t="s">
        <v>46</v>
      </c>
      <c r="D582" s="3" t="s">
        <v>130</v>
      </c>
      <c r="E582" s="3" t="s">
        <v>48</v>
      </c>
      <c r="F582" s="3" t="s">
        <v>135</v>
      </c>
      <c r="G582" s="3" t="s">
        <v>2181</v>
      </c>
      <c r="H582" s="4">
        <f>IF(DATEDIF(L582,S582,"m")&gt;12,DATEDIF(L582,S582,"y"),(DATEDIF(L582,S582,"m")/12))</f>
        <v>3</v>
      </c>
      <c r="I582" s="7">
        <f>DATEDIF(L582,S582,"M")</f>
        <v>40</v>
      </c>
      <c r="J582" s="7">
        <f>DATEDIF(L582,S582,"D")</f>
        <v>1226</v>
      </c>
      <c r="K582" s="3" t="s">
        <v>51</v>
      </c>
      <c r="L582" s="8">
        <v>43751</v>
      </c>
      <c r="M582" s="3" t="s">
        <v>45</v>
      </c>
      <c r="N582" s="3" t="s">
        <v>83</v>
      </c>
      <c r="O582" s="3" t="s">
        <v>52</v>
      </c>
      <c r="P582" s="3" t="s">
        <v>84</v>
      </c>
      <c r="Q582" s="7">
        <v>0</v>
      </c>
      <c r="R582" s="8">
        <v>44984</v>
      </c>
      <c r="S582" s="8">
        <v>44977</v>
      </c>
      <c r="T582" s="3" t="s">
        <v>54</v>
      </c>
      <c r="U582" s="3" t="s">
        <v>55</v>
      </c>
      <c r="V582" s="9"/>
      <c r="W582" s="10">
        <v>44987</v>
      </c>
      <c r="X582" s="7">
        <v>3</v>
      </c>
      <c r="Y582" s="7">
        <v>7</v>
      </c>
      <c r="Z582" s="7">
        <v>2</v>
      </c>
      <c r="AA582" s="7">
        <f>INT((S582-DATE(YEAR(S582-WEEKDAY(S582-0)+4),1,4)+WEEKDAY(DATE(YEAR(S582-WEEKDAY(S582-0)+4),1,4))+6)/7)</f>
        <v>8</v>
      </c>
      <c r="AB582" s="3" t="s">
        <v>2182</v>
      </c>
      <c r="AC582" s="7">
        <v>99</v>
      </c>
      <c r="AD582" s="7">
        <v>0</v>
      </c>
      <c r="AE582" s="7">
        <v>0</v>
      </c>
      <c r="AF582" s="3" t="s">
        <v>48</v>
      </c>
      <c r="AG582" s="7">
        <v>2023</v>
      </c>
      <c r="AH582" s="3" t="s">
        <v>139</v>
      </c>
      <c r="AI582" s="3" t="s">
        <v>113</v>
      </c>
      <c r="AJ582" s="3" t="s">
        <v>48</v>
      </c>
      <c r="AK582" s="3" t="s">
        <v>459</v>
      </c>
      <c r="AL582" s="3" t="s">
        <v>59</v>
      </c>
      <c r="AM582" s="3" t="s">
        <v>60</v>
      </c>
      <c r="AN582" s="3" t="s">
        <v>61</v>
      </c>
      <c r="AO582" s="3" t="s">
        <v>62</v>
      </c>
      <c r="AP582" s="3" t="s">
        <v>69</v>
      </c>
      <c r="AQ582" s="3" t="s">
        <v>61</v>
      </c>
      <c r="AR582" s="3" t="s">
        <v>48</v>
      </c>
    </row>
    <row r="583" spans="1:44" ht="30" customHeight="1">
      <c r="A583" s="3" t="s">
        <v>44</v>
      </c>
      <c r="B583" s="3" t="s">
        <v>45</v>
      </c>
      <c r="C583" s="3" t="s">
        <v>46</v>
      </c>
      <c r="D583" s="3" t="s">
        <v>130</v>
      </c>
      <c r="E583" s="3" t="s">
        <v>48</v>
      </c>
      <c r="F583" s="3" t="s">
        <v>135</v>
      </c>
      <c r="G583" s="3" t="s">
        <v>2203</v>
      </c>
      <c r="H583" s="4">
        <f>IF(DATEDIF(L583,S583,"m")&gt;12,DATEDIF(L583,S583,"y"),(DATEDIF(L583,S583,"m")/12))</f>
        <v>6</v>
      </c>
      <c r="I583" s="7">
        <f>DATEDIF(L583,S583,"M")</f>
        <v>79</v>
      </c>
      <c r="J583" s="7">
        <f>DATEDIF(L583,S583,"D")</f>
        <v>2411</v>
      </c>
      <c r="K583" s="3" t="s">
        <v>64</v>
      </c>
      <c r="L583" s="8">
        <v>42568</v>
      </c>
      <c r="M583" s="3" t="s">
        <v>45</v>
      </c>
      <c r="N583" s="3" t="s">
        <v>83</v>
      </c>
      <c r="O583" s="3" t="s">
        <v>52</v>
      </c>
      <c r="P583" s="3" t="s">
        <v>322</v>
      </c>
      <c r="Q583" s="7">
        <v>0</v>
      </c>
      <c r="R583" s="8">
        <v>44984</v>
      </c>
      <c r="S583" s="8">
        <v>44979</v>
      </c>
      <c r="T583" s="3" t="s">
        <v>54</v>
      </c>
      <c r="U583" s="3" t="s">
        <v>55</v>
      </c>
      <c r="V583" s="9"/>
      <c r="W583" s="10">
        <v>44987</v>
      </c>
      <c r="X583" s="7">
        <v>3</v>
      </c>
      <c r="Y583" s="7">
        <v>5</v>
      </c>
      <c r="Z583" s="7">
        <v>2</v>
      </c>
      <c r="AA583" s="7">
        <f>INT((S583-DATE(YEAR(S583-WEEKDAY(S583-0)+4),1,4)+WEEKDAY(DATE(YEAR(S583-WEEKDAY(S583-0)+4),1,4))+6)/7)</f>
        <v>8</v>
      </c>
      <c r="AB583" s="3" t="s">
        <v>2204</v>
      </c>
      <c r="AC583" s="7">
        <v>96</v>
      </c>
      <c r="AD583" s="7">
        <v>0</v>
      </c>
      <c r="AE583" s="7">
        <v>0</v>
      </c>
      <c r="AF583" s="3" t="s">
        <v>48</v>
      </c>
      <c r="AG583" s="7">
        <v>2023</v>
      </c>
      <c r="AH583" s="3" t="s">
        <v>139</v>
      </c>
      <c r="AI583" s="3" t="s">
        <v>113</v>
      </c>
      <c r="AJ583" s="3" t="s">
        <v>48</v>
      </c>
      <c r="AK583" s="12" t="s">
        <v>140</v>
      </c>
      <c r="AL583" s="3" t="s">
        <v>59</v>
      </c>
      <c r="AM583" s="3" t="s">
        <v>60</v>
      </c>
      <c r="AN583" s="3" t="s">
        <v>61</v>
      </c>
      <c r="AO583" s="3" t="s">
        <v>62</v>
      </c>
      <c r="AP583" s="3" t="s">
        <v>69</v>
      </c>
      <c r="AQ583" s="3" t="s">
        <v>61</v>
      </c>
      <c r="AR583" s="3" t="s">
        <v>48</v>
      </c>
    </row>
    <row r="584" spans="1:44" ht="30" customHeight="1">
      <c r="A584" s="3" t="s">
        <v>44</v>
      </c>
      <c r="B584" s="3" t="s">
        <v>45</v>
      </c>
      <c r="C584" s="3" t="s">
        <v>46</v>
      </c>
      <c r="D584" s="3" t="s">
        <v>130</v>
      </c>
      <c r="E584" s="3" t="s">
        <v>48</v>
      </c>
      <c r="F584" s="3" t="s">
        <v>135</v>
      </c>
      <c r="G584" s="3" t="s">
        <v>2218</v>
      </c>
      <c r="H584" s="4">
        <f>IF(DATEDIF(L584,S584,"m")&gt;12,DATEDIF(L584,S584,"y"),(DATEDIF(L584,S584,"m")/12))</f>
        <v>2</v>
      </c>
      <c r="I584" s="7">
        <f>DATEDIF(L584,S584,"M")</f>
        <v>26</v>
      </c>
      <c r="J584" s="7">
        <f>DATEDIF(L584,S584,"D")</f>
        <v>795</v>
      </c>
      <c r="K584" s="3" t="s">
        <v>64</v>
      </c>
      <c r="L584" s="8">
        <v>44186</v>
      </c>
      <c r="M584" s="3" t="s">
        <v>45</v>
      </c>
      <c r="N584" s="3" t="s">
        <v>83</v>
      </c>
      <c r="O584" s="3" t="s">
        <v>52</v>
      </c>
      <c r="P584" s="3" t="s">
        <v>169</v>
      </c>
      <c r="Q584" s="7">
        <v>0</v>
      </c>
      <c r="R584" s="8">
        <v>44984</v>
      </c>
      <c r="S584" s="8">
        <v>44981</v>
      </c>
      <c r="T584" s="3" t="s">
        <v>54</v>
      </c>
      <c r="U584" s="3" t="s">
        <v>55</v>
      </c>
      <c r="V584" s="9"/>
      <c r="W584" s="10">
        <v>44987</v>
      </c>
      <c r="X584" s="7">
        <v>3</v>
      </c>
      <c r="Y584" s="7">
        <v>3</v>
      </c>
      <c r="Z584" s="7">
        <v>2</v>
      </c>
      <c r="AA584" s="7">
        <f>INT((S584-DATE(YEAR(S584-WEEKDAY(S584-0)+4),1,4)+WEEKDAY(DATE(YEAR(S584-WEEKDAY(S584-0)+4),1,4))+6)/7)</f>
        <v>8</v>
      </c>
      <c r="AB584" s="3" t="s">
        <v>2219</v>
      </c>
      <c r="AC584" s="7">
        <v>98</v>
      </c>
      <c r="AD584" s="7">
        <v>0</v>
      </c>
      <c r="AE584" s="7">
        <v>0</v>
      </c>
      <c r="AF584" s="3" t="s">
        <v>48</v>
      </c>
      <c r="AG584" s="7">
        <v>2023</v>
      </c>
      <c r="AH584" s="3" t="s">
        <v>139</v>
      </c>
      <c r="AI584" s="3" t="s">
        <v>113</v>
      </c>
      <c r="AJ584" s="3" t="s">
        <v>48</v>
      </c>
      <c r="AK584" s="3" t="s">
        <v>793</v>
      </c>
      <c r="AL584" s="3" t="s">
        <v>59</v>
      </c>
      <c r="AM584" s="3" t="s">
        <v>60</v>
      </c>
      <c r="AN584" s="3" t="s">
        <v>61</v>
      </c>
      <c r="AO584" s="3" t="s">
        <v>62</v>
      </c>
      <c r="AP584" s="3" t="s">
        <v>69</v>
      </c>
      <c r="AQ584" s="3" t="s">
        <v>61</v>
      </c>
      <c r="AR584" s="3" t="s">
        <v>48</v>
      </c>
    </row>
    <row r="585" spans="1:44" ht="30" customHeight="1">
      <c r="A585" s="3" t="s">
        <v>44</v>
      </c>
      <c r="B585" s="3" t="s">
        <v>45</v>
      </c>
      <c r="C585" s="3" t="s">
        <v>46</v>
      </c>
      <c r="D585" s="3" t="s">
        <v>130</v>
      </c>
      <c r="E585" s="3" t="s">
        <v>48</v>
      </c>
      <c r="F585" s="3" t="s">
        <v>135</v>
      </c>
      <c r="G585" s="3" t="s">
        <v>2281</v>
      </c>
      <c r="H585" s="5">
        <f>IF(DATEDIF(L585,S585,"m")&gt;12,DATEDIF(L585,S585,"y"),(DATEDIF(L585,S585,"m")/12))</f>
        <v>0.5</v>
      </c>
      <c r="I585" s="7">
        <f>DATEDIF(L585,S585,"M")</f>
        <v>6</v>
      </c>
      <c r="J585" s="7">
        <f>DATEDIF(L585,S585,"D")</f>
        <v>186</v>
      </c>
      <c r="K585" s="3" t="s">
        <v>51</v>
      </c>
      <c r="L585" s="8">
        <v>44800</v>
      </c>
      <c r="M585" s="3" t="s">
        <v>45</v>
      </c>
      <c r="N585" s="3" t="s">
        <v>83</v>
      </c>
      <c r="O585" s="3" t="s">
        <v>52</v>
      </c>
      <c r="P585" s="3" t="s">
        <v>137</v>
      </c>
      <c r="Q585" s="7">
        <v>0</v>
      </c>
      <c r="R585" s="8">
        <v>44987</v>
      </c>
      <c r="S585" s="8">
        <v>44986</v>
      </c>
      <c r="T585" s="3" t="s">
        <v>54</v>
      </c>
      <c r="U585" s="3" t="s">
        <v>55</v>
      </c>
      <c r="V585" s="9"/>
      <c r="W585" s="10">
        <v>44987</v>
      </c>
      <c r="X585" s="7">
        <v>0</v>
      </c>
      <c r="Y585" s="7">
        <v>1</v>
      </c>
      <c r="Z585" s="7">
        <v>3</v>
      </c>
      <c r="AA585" s="7">
        <f>INT((S585-DATE(YEAR(S585-WEEKDAY(S585-0)+4),1,4)+WEEKDAY(DATE(YEAR(S585-WEEKDAY(S585-0)+4),1,4))+6)/7)</f>
        <v>9</v>
      </c>
      <c r="AB585" s="3" t="s">
        <v>2282</v>
      </c>
      <c r="AC585" s="7">
        <v>101</v>
      </c>
      <c r="AD585" s="7">
        <v>0</v>
      </c>
      <c r="AE585" s="7">
        <v>0</v>
      </c>
      <c r="AF585" s="3" t="s">
        <v>48</v>
      </c>
      <c r="AG585" s="7">
        <v>2023</v>
      </c>
      <c r="AH585" s="3" t="s">
        <v>139</v>
      </c>
      <c r="AI585" s="3" t="s">
        <v>113</v>
      </c>
      <c r="AJ585" s="3" t="s">
        <v>48</v>
      </c>
      <c r="AK585" s="3" t="s">
        <v>409</v>
      </c>
      <c r="AL585" s="3" t="s">
        <v>59</v>
      </c>
      <c r="AM585" s="3" t="s">
        <v>60</v>
      </c>
      <c r="AN585" s="3" t="s">
        <v>61</v>
      </c>
      <c r="AO585" s="3" t="s">
        <v>62</v>
      </c>
      <c r="AP585" s="3" t="s">
        <v>69</v>
      </c>
      <c r="AQ585" s="3" t="s">
        <v>69</v>
      </c>
      <c r="AR585" s="3" t="s">
        <v>519</v>
      </c>
    </row>
    <row r="586" spans="1:44" ht="30" customHeight="1">
      <c r="A586" s="3" t="s">
        <v>44</v>
      </c>
      <c r="B586" s="3" t="s">
        <v>45</v>
      </c>
      <c r="C586" s="3" t="s">
        <v>46</v>
      </c>
      <c r="D586" s="3" t="s">
        <v>47</v>
      </c>
      <c r="E586" s="3" t="s">
        <v>48</v>
      </c>
      <c r="F586" s="3" t="s">
        <v>49</v>
      </c>
      <c r="G586" s="3" t="s">
        <v>2001</v>
      </c>
      <c r="H586" s="4">
        <f>IF(DATEDIF(L586,S586,"m")&gt;12,DATEDIF(L586,S586,"y"),(DATEDIF(L586,S586,"m")/12))</f>
        <v>32</v>
      </c>
      <c r="I586" s="7">
        <f>DATEDIF(L586,S586,"M")</f>
        <v>384</v>
      </c>
      <c r="J586" s="7">
        <f>DATEDIF(L586,S586,"D")</f>
        <v>11702</v>
      </c>
      <c r="K586" s="3" t="s">
        <v>64</v>
      </c>
      <c r="L586" s="8">
        <v>33268</v>
      </c>
      <c r="M586" s="3" t="s">
        <v>45</v>
      </c>
      <c r="N586" s="3" t="s">
        <v>73</v>
      </c>
      <c r="O586" s="3" t="s">
        <v>52</v>
      </c>
      <c r="P586" s="3" t="s">
        <v>298</v>
      </c>
      <c r="Q586" s="7">
        <v>0</v>
      </c>
      <c r="R586" s="8">
        <v>44973</v>
      </c>
      <c r="S586" s="8">
        <v>44970</v>
      </c>
      <c r="T586" s="3" t="s">
        <v>54</v>
      </c>
      <c r="U586" s="3" t="s">
        <v>55</v>
      </c>
      <c r="V586" s="9"/>
      <c r="W586" s="10">
        <v>44974</v>
      </c>
      <c r="X586" s="7">
        <v>1</v>
      </c>
      <c r="Y586" s="7">
        <v>3</v>
      </c>
      <c r="Z586" s="7">
        <v>2</v>
      </c>
      <c r="AA586" s="7">
        <f>INT((S586-DATE(YEAR(S586-WEEKDAY(S586-0)+4),1,4)+WEEKDAY(DATE(YEAR(S586-WEEKDAY(S586-0)+4),1,4))+6)/7)</f>
        <v>7</v>
      </c>
      <c r="AB586" s="3" t="s">
        <v>2002</v>
      </c>
      <c r="AC586" s="7">
        <v>61</v>
      </c>
      <c r="AD586" s="7">
        <v>0</v>
      </c>
      <c r="AE586" s="7">
        <v>0</v>
      </c>
      <c r="AF586" s="3" t="s">
        <v>48</v>
      </c>
      <c r="AG586" s="7">
        <v>2023</v>
      </c>
      <c r="AH586" s="3" t="s">
        <v>57</v>
      </c>
      <c r="AI586" s="3" t="s">
        <v>48</v>
      </c>
      <c r="AJ586" s="3" t="s">
        <v>48</v>
      </c>
      <c r="AK586" s="3" t="s">
        <v>129</v>
      </c>
      <c r="AL586" s="3" t="s">
        <v>59</v>
      </c>
      <c r="AM586" s="3" t="s">
        <v>60</v>
      </c>
      <c r="AN586" s="3" t="s">
        <v>61</v>
      </c>
      <c r="AO586" s="3" t="s">
        <v>62</v>
      </c>
      <c r="AP586" s="3" t="s">
        <v>69</v>
      </c>
      <c r="AQ586" s="3" t="s">
        <v>61</v>
      </c>
      <c r="AR586" s="3" t="s">
        <v>48</v>
      </c>
    </row>
    <row r="587" spans="1:44" ht="30" customHeight="1">
      <c r="A587" s="3" t="s">
        <v>44</v>
      </c>
      <c r="B587" s="3" t="s">
        <v>45</v>
      </c>
      <c r="C587" s="3" t="s">
        <v>80</v>
      </c>
      <c r="D587" s="3" t="s">
        <v>81</v>
      </c>
      <c r="E587" s="3" t="s">
        <v>48</v>
      </c>
      <c r="F587" s="3" t="s">
        <v>81</v>
      </c>
      <c r="G587" s="3" t="s">
        <v>168</v>
      </c>
      <c r="H587" s="4">
        <f>IF(DATEDIF(L587,S587,"m")&gt;12,DATEDIF(L587,S587,"y"),(DATEDIF(L587,S587,"m")/12))</f>
        <v>6</v>
      </c>
      <c r="I587" s="7">
        <f>DATEDIF(L587,S587,"M")</f>
        <v>78</v>
      </c>
      <c r="J587" s="7">
        <f>DATEDIF(L587,S587,"D")</f>
        <v>2380</v>
      </c>
      <c r="K587" s="3" t="s">
        <v>51</v>
      </c>
      <c r="L587" s="8">
        <v>42602</v>
      </c>
      <c r="M587" s="3" t="s">
        <v>45</v>
      </c>
      <c r="N587" s="3" t="s">
        <v>65</v>
      </c>
      <c r="O587" s="3" t="s">
        <v>52</v>
      </c>
      <c r="P587" s="3" t="s">
        <v>169</v>
      </c>
      <c r="Q587" s="7">
        <v>1</v>
      </c>
      <c r="R587" s="8">
        <v>44982</v>
      </c>
      <c r="S587" s="8">
        <v>44982</v>
      </c>
      <c r="T587" s="3" t="s">
        <v>54</v>
      </c>
      <c r="U587" s="3" t="s">
        <v>55</v>
      </c>
      <c r="V587" s="9"/>
      <c r="W587" s="10">
        <v>44988</v>
      </c>
      <c r="X587" s="7">
        <v>6</v>
      </c>
      <c r="Y587" s="7">
        <v>0</v>
      </c>
      <c r="Z587" s="7">
        <v>2</v>
      </c>
      <c r="AA587" s="7">
        <f>INT((S587-DATE(YEAR(S587-WEEKDAY(S587-0)+4),1,4)+WEEKDAY(DATE(YEAR(S587-WEEKDAY(S587-0)+4),1,4))+6)/7)</f>
        <v>8</v>
      </c>
      <c r="AB587" s="3" t="s">
        <v>170</v>
      </c>
      <c r="AC587" s="7">
        <v>14034</v>
      </c>
      <c r="AD587" s="7">
        <v>0</v>
      </c>
      <c r="AE587" s="7">
        <v>0</v>
      </c>
      <c r="AF587" s="3" t="s">
        <v>48</v>
      </c>
      <c r="AG587" s="7">
        <v>2023</v>
      </c>
      <c r="AH587" s="3" t="s">
        <v>86</v>
      </c>
      <c r="AI587" s="3" t="s">
        <v>48</v>
      </c>
      <c r="AJ587" s="3" t="s">
        <v>48</v>
      </c>
      <c r="AK587" s="18" t="s">
        <v>171</v>
      </c>
      <c r="AL587" s="3" t="s">
        <v>59</v>
      </c>
      <c r="AM587" s="3" t="s">
        <v>60</v>
      </c>
      <c r="AN587" s="3" t="s">
        <v>69</v>
      </c>
      <c r="AO587" s="3" t="s">
        <v>62</v>
      </c>
      <c r="AP587" s="3" t="s">
        <v>69</v>
      </c>
      <c r="AQ587" s="3" t="s">
        <v>61</v>
      </c>
      <c r="AR587" s="3" t="s">
        <v>48</v>
      </c>
    </row>
    <row r="588" spans="1:44" ht="30" customHeight="1">
      <c r="A588" s="3" t="s">
        <v>44</v>
      </c>
      <c r="B588" s="3" t="s">
        <v>45</v>
      </c>
      <c r="C588" s="3" t="s">
        <v>46</v>
      </c>
      <c r="D588" s="3" t="s">
        <v>100</v>
      </c>
      <c r="E588" s="3" t="s">
        <v>48</v>
      </c>
      <c r="F588" s="3" t="s">
        <v>101</v>
      </c>
      <c r="G588" s="3" t="s">
        <v>230</v>
      </c>
      <c r="H588" s="4">
        <f>IF(DATEDIF(L588,S588,"m")&gt;12,DATEDIF(L588,S588,"y"),(DATEDIF(L588,S588,"m")/12))</f>
        <v>7</v>
      </c>
      <c r="I588" s="7">
        <f>DATEDIF(L588,S588,"M")</f>
        <v>87</v>
      </c>
      <c r="J588" s="7">
        <f>DATEDIF(L588,S588,"D")</f>
        <v>2666</v>
      </c>
      <c r="K588" s="3" t="s">
        <v>51</v>
      </c>
      <c r="L588" s="8">
        <v>42315</v>
      </c>
      <c r="M588" s="3" t="s">
        <v>45</v>
      </c>
      <c r="N588" s="3" t="s">
        <v>65</v>
      </c>
      <c r="O588" s="3" t="s">
        <v>52</v>
      </c>
      <c r="P588" s="3" t="s">
        <v>156</v>
      </c>
      <c r="Q588" s="7">
        <v>0</v>
      </c>
      <c r="R588" s="8">
        <v>44984</v>
      </c>
      <c r="S588" s="8">
        <v>44981</v>
      </c>
      <c r="T588" s="3" t="s">
        <v>54</v>
      </c>
      <c r="U588" s="3" t="s">
        <v>55</v>
      </c>
      <c r="V588" s="9"/>
      <c r="W588" s="10">
        <v>44988</v>
      </c>
      <c r="X588" s="7">
        <v>4</v>
      </c>
      <c r="Y588" s="7">
        <v>3</v>
      </c>
      <c r="Z588" s="7">
        <v>2</v>
      </c>
      <c r="AA588" s="7">
        <f>INT((S588-DATE(YEAR(S588-WEEKDAY(S588-0)+4),1,4)+WEEKDAY(DATE(YEAR(S588-WEEKDAY(S588-0)+4),1,4))+6)/7)</f>
        <v>8</v>
      </c>
      <c r="AB588" s="3" t="s">
        <v>231</v>
      </c>
      <c r="AC588" s="7">
        <v>61</v>
      </c>
      <c r="AD588" s="7">
        <v>0</v>
      </c>
      <c r="AE588" s="7">
        <v>0</v>
      </c>
      <c r="AF588" s="3" t="s">
        <v>48</v>
      </c>
      <c r="AG588" s="7">
        <v>2023</v>
      </c>
      <c r="AH588" s="3" t="s">
        <v>105</v>
      </c>
      <c r="AI588" s="3" t="s">
        <v>106</v>
      </c>
      <c r="AJ588" s="3" t="s">
        <v>48</v>
      </c>
      <c r="AK588" s="3" t="s">
        <v>232</v>
      </c>
      <c r="AL588" s="3" t="s">
        <v>59</v>
      </c>
      <c r="AM588" s="3" t="s">
        <v>99</v>
      </c>
      <c r="AN588" s="3" t="s">
        <v>61</v>
      </c>
      <c r="AO588" s="3" t="s">
        <v>62</v>
      </c>
      <c r="AP588" s="3" t="s">
        <v>69</v>
      </c>
      <c r="AQ588" s="3" t="s">
        <v>61</v>
      </c>
      <c r="AR588" s="3" t="s">
        <v>48</v>
      </c>
    </row>
    <row r="589" spans="1:44" ht="30" customHeight="1">
      <c r="A589" s="3" t="s">
        <v>44</v>
      </c>
      <c r="B589" s="3" t="s">
        <v>45</v>
      </c>
      <c r="C589" s="3" t="s">
        <v>46</v>
      </c>
      <c r="D589" s="3" t="s">
        <v>70</v>
      </c>
      <c r="E589" s="3" t="s">
        <v>48</v>
      </c>
      <c r="F589" s="3" t="s">
        <v>71</v>
      </c>
      <c r="G589" s="3" t="s">
        <v>308</v>
      </c>
      <c r="H589" s="4">
        <f>IF(DATEDIF(L589,S589,"m")&gt;12,DATEDIF(L589,S589,"y"),(DATEDIF(L589,S589,"m")/12))</f>
        <v>8</v>
      </c>
      <c r="I589" s="7">
        <f>DATEDIF(L589,S589,"M")</f>
        <v>102</v>
      </c>
      <c r="J589" s="7">
        <f>DATEDIF(L589,S589,"D")</f>
        <v>3111</v>
      </c>
      <c r="K589" s="3" t="s">
        <v>51</v>
      </c>
      <c r="L589" s="8">
        <v>41871</v>
      </c>
      <c r="M589" s="3" t="s">
        <v>45</v>
      </c>
      <c r="N589" s="3" t="s">
        <v>90</v>
      </c>
      <c r="O589" s="3" t="s">
        <v>52</v>
      </c>
      <c r="P589" s="3" t="s">
        <v>91</v>
      </c>
      <c r="Q589" s="7">
        <v>1</v>
      </c>
      <c r="R589" s="8">
        <v>44983</v>
      </c>
      <c r="S589" s="8">
        <v>44982</v>
      </c>
      <c r="T589" s="3" t="s">
        <v>54</v>
      </c>
      <c r="U589" s="3" t="s">
        <v>55</v>
      </c>
      <c r="V589" s="9"/>
      <c r="W589" s="10">
        <v>44988</v>
      </c>
      <c r="X589" s="7">
        <v>5</v>
      </c>
      <c r="Y589" s="7">
        <v>1</v>
      </c>
      <c r="Z589" s="7">
        <v>2</v>
      </c>
      <c r="AA589" s="7">
        <f>INT((S589-DATE(YEAR(S589-WEEKDAY(S589-0)+4),1,4)+WEEKDAY(DATE(YEAR(S589-WEEKDAY(S589-0)+4),1,4))+6)/7)</f>
        <v>8</v>
      </c>
      <c r="AB589" s="3" t="s">
        <v>309</v>
      </c>
      <c r="AC589" s="7">
        <v>691</v>
      </c>
      <c r="AD589" s="7">
        <v>0</v>
      </c>
      <c r="AE589" s="7">
        <v>1</v>
      </c>
      <c r="AF589" s="3" t="s">
        <v>48</v>
      </c>
      <c r="AG589" s="7">
        <v>2023</v>
      </c>
      <c r="AH589" s="3" t="s">
        <v>76</v>
      </c>
      <c r="AI589" s="3" t="s">
        <v>166</v>
      </c>
      <c r="AJ589" s="3" t="s">
        <v>78</v>
      </c>
      <c r="AK589" s="3" t="s">
        <v>310</v>
      </c>
      <c r="AL589" s="3" t="s">
        <v>59</v>
      </c>
      <c r="AM589" s="3" t="s">
        <v>60</v>
      </c>
      <c r="AN589" s="3" t="s">
        <v>61</v>
      </c>
      <c r="AO589" s="3" t="s">
        <v>62</v>
      </c>
      <c r="AP589" s="3" t="s">
        <v>69</v>
      </c>
      <c r="AQ589" s="3" t="s">
        <v>61</v>
      </c>
      <c r="AR589" s="3" t="s">
        <v>48</v>
      </c>
    </row>
    <row r="590" spans="1:44" ht="30" customHeight="1">
      <c r="A590" s="3" t="s">
        <v>44</v>
      </c>
      <c r="B590" s="3" t="s">
        <v>45</v>
      </c>
      <c r="C590" s="3" t="s">
        <v>80</v>
      </c>
      <c r="D590" s="3" t="s">
        <v>81</v>
      </c>
      <c r="E590" s="3" t="s">
        <v>48</v>
      </c>
      <c r="F590" s="3" t="s">
        <v>81</v>
      </c>
      <c r="G590" s="3" t="s">
        <v>319</v>
      </c>
      <c r="H590" s="11">
        <f>IF(DATEDIF(L590,S590,"m")&gt;12,DATEDIF(L590,S590,"y"),(DATEDIF(L590,S590,"m")/12))</f>
        <v>0</v>
      </c>
      <c r="I590" s="7">
        <f>DATEDIF(L590,S590,"M")</f>
        <v>0</v>
      </c>
      <c r="J590" s="7">
        <f>DATEDIF(L590,S590,"D")</f>
        <v>30</v>
      </c>
      <c r="K590" s="3" t="s">
        <v>51</v>
      </c>
      <c r="L590" s="8">
        <v>44952</v>
      </c>
      <c r="M590" s="3" t="s">
        <v>45</v>
      </c>
      <c r="N590" s="3" t="s">
        <v>187</v>
      </c>
      <c r="O590" s="3" t="s">
        <v>52</v>
      </c>
      <c r="P590" s="3" t="s">
        <v>258</v>
      </c>
      <c r="Q590" s="7">
        <v>1</v>
      </c>
      <c r="R590" s="8">
        <v>44987</v>
      </c>
      <c r="S590" s="8">
        <v>44982</v>
      </c>
      <c r="T590" s="3" t="s">
        <v>54</v>
      </c>
      <c r="U590" s="3" t="s">
        <v>55</v>
      </c>
      <c r="V590" s="9"/>
      <c r="W590" s="10">
        <v>44988</v>
      </c>
      <c r="X590" s="7">
        <v>1</v>
      </c>
      <c r="Y590" s="7">
        <v>5</v>
      </c>
      <c r="Z590" s="7">
        <v>2</v>
      </c>
      <c r="AA590" s="7">
        <f>INT((S590-DATE(YEAR(S590-WEEKDAY(S590-0)+4),1,4)+WEEKDAY(DATE(YEAR(S590-WEEKDAY(S590-0)+4),1,4))+6)/7)</f>
        <v>8</v>
      </c>
      <c r="AB590" s="3" t="s">
        <v>320</v>
      </c>
      <c r="AC590" s="7">
        <v>14022</v>
      </c>
      <c r="AD590" s="7">
        <v>0</v>
      </c>
      <c r="AE590" s="7">
        <v>0</v>
      </c>
      <c r="AF590" s="3" t="s">
        <v>48</v>
      </c>
      <c r="AG590" s="7">
        <v>2023</v>
      </c>
      <c r="AH590" s="3" t="s">
        <v>86</v>
      </c>
      <c r="AI590" s="3" t="s">
        <v>48</v>
      </c>
      <c r="AJ590" s="3" t="s">
        <v>48</v>
      </c>
      <c r="AK590" s="3" t="s">
        <v>260</v>
      </c>
      <c r="AL590" s="3" t="s">
        <v>59</v>
      </c>
      <c r="AM590" s="3" t="s">
        <v>60</v>
      </c>
      <c r="AN590" s="3" t="s">
        <v>61</v>
      </c>
      <c r="AO590" s="3" t="s">
        <v>62</v>
      </c>
      <c r="AP590" s="3" t="s">
        <v>69</v>
      </c>
      <c r="AQ590" s="3" t="s">
        <v>61</v>
      </c>
      <c r="AR590" s="3" t="s">
        <v>48</v>
      </c>
    </row>
    <row r="591" spans="1:44" ht="30" customHeight="1">
      <c r="A591" s="3" t="s">
        <v>44</v>
      </c>
      <c r="B591" s="3" t="s">
        <v>45</v>
      </c>
      <c r="C591" s="3" t="s">
        <v>46</v>
      </c>
      <c r="D591" s="3" t="s">
        <v>47</v>
      </c>
      <c r="E591" s="3" t="s">
        <v>48</v>
      </c>
      <c r="F591" s="3" t="s">
        <v>49</v>
      </c>
      <c r="G591" s="3" t="s">
        <v>388</v>
      </c>
      <c r="H591" s="4">
        <f>IF(DATEDIF(L591,S591,"m")&gt;12,DATEDIF(L591,S591,"y"),(DATEDIF(L591,S591,"m")/12))</f>
        <v>1</v>
      </c>
      <c r="I591" s="7">
        <f>DATEDIF(L591,S591,"M")</f>
        <v>15</v>
      </c>
      <c r="J591" s="7">
        <f>DATEDIF(L591,S591,"D")</f>
        <v>468</v>
      </c>
      <c r="K591" s="3" t="s">
        <v>51</v>
      </c>
      <c r="L591" s="8">
        <v>44511</v>
      </c>
      <c r="M591" s="3" t="s">
        <v>45</v>
      </c>
      <c r="N591" s="3" t="s">
        <v>49</v>
      </c>
      <c r="O591" s="3" t="s">
        <v>52</v>
      </c>
      <c r="P591" s="3" t="s">
        <v>389</v>
      </c>
      <c r="Q591" s="7">
        <v>0</v>
      </c>
      <c r="R591" s="8">
        <v>44986</v>
      </c>
      <c r="S591" s="8">
        <v>44979</v>
      </c>
      <c r="T591" s="3" t="s">
        <v>54</v>
      </c>
      <c r="U591" s="3" t="s">
        <v>55</v>
      </c>
      <c r="V591" s="9"/>
      <c r="W591" s="10">
        <v>44988</v>
      </c>
      <c r="X591" s="7">
        <v>2</v>
      </c>
      <c r="Y591" s="7">
        <v>7</v>
      </c>
      <c r="Z591" s="7">
        <v>2</v>
      </c>
      <c r="AA591" s="7">
        <f>INT((S591-DATE(YEAR(S591-WEEKDAY(S591-0)+4),1,4)+WEEKDAY(DATE(YEAR(S591-WEEKDAY(S591-0)+4),1,4))+6)/7)</f>
        <v>8</v>
      </c>
      <c r="AB591" s="3" t="s">
        <v>390</v>
      </c>
      <c r="AC591" s="7">
        <v>77</v>
      </c>
      <c r="AD591" s="7">
        <v>0</v>
      </c>
      <c r="AE591" s="7">
        <v>0</v>
      </c>
      <c r="AF591" s="3" t="s">
        <v>48</v>
      </c>
      <c r="AG591" s="7">
        <v>2023</v>
      </c>
      <c r="AH591" s="3" t="s">
        <v>57</v>
      </c>
      <c r="AI591" s="3" t="s">
        <v>48</v>
      </c>
      <c r="AJ591" s="3" t="s">
        <v>48</v>
      </c>
      <c r="AK591" s="18" t="s">
        <v>58</v>
      </c>
      <c r="AL591" s="3" t="s">
        <v>59</v>
      </c>
      <c r="AM591" s="3" t="s">
        <v>60</v>
      </c>
      <c r="AN591" s="3" t="s">
        <v>61</v>
      </c>
      <c r="AO591" s="3" t="s">
        <v>62</v>
      </c>
      <c r="AP591" s="3" t="s">
        <v>69</v>
      </c>
      <c r="AQ591" s="3" t="s">
        <v>61</v>
      </c>
      <c r="AR591" s="3" t="s">
        <v>48</v>
      </c>
    </row>
    <row r="592" spans="1:44" ht="30" customHeight="1">
      <c r="A592" s="3" t="s">
        <v>44</v>
      </c>
      <c r="B592" s="3" t="s">
        <v>45</v>
      </c>
      <c r="C592" s="3" t="s">
        <v>46</v>
      </c>
      <c r="D592" s="3" t="s">
        <v>100</v>
      </c>
      <c r="E592" s="3" t="s">
        <v>48</v>
      </c>
      <c r="F592" s="3" t="s">
        <v>101</v>
      </c>
      <c r="G592" s="3" t="s">
        <v>405</v>
      </c>
      <c r="H592" s="4">
        <f>IF(DATEDIF(L592,S592,"m")&gt;12,DATEDIF(L592,S592,"y"),(DATEDIF(L592,S592,"m")/12))</f>
        <v>78</v>
      </c>
      <c r="I592" s="7">
        <f>DATEDIF(L592,S592,"M")</f>
        <v>937</v>
      </c>
      <c r="J592" s="7">
        <f>DATEDIF(L592,S592,"D")</f>
        <v>28537</v>
      </c>
      <c r="K592" s="3" t="s">
        <v>64</v>
      </c>
      <c r="L592" s="8">
        <v>16426</v>
      </c>
      <c r="M592" s="3" t="s">
        <v>45</v>
      </c>
      <c r="N592" s="3" t="s">
        <v>101</v>
      </c>
      <c r="O592" s="3" t="s">
        <v>52</v>
      </c>
      <c r="P592" s="3" t="s">
        <v>406</v>
      </c>
      <c r="Q592" s="7">
        <v>0</v>
      </c>
      <c r="R592" s="8">
        <v>44984</v>
      </c>
      <c r="S592" s="8">
        <v>44963</v>
      </c>
      <c r="T592" s="3" t="s">
        <v>54</v>
      </c>
      <c r="U592" s="3" t="s">
        <v>55</v>
      </c>
      <c r="V592" s="9"/>
      <c r="W592" s="10">
        <v>44988</v>
      </c>
      <c r="X592" s="7">
        <v>4</v>
      </c>
      <c r="Y592" s="7">
        <v>21</v>
      </c>
      <c r="Z592" s="7">
        <v>2</v>
      </c>
      <c r="AA592" s="7">
        <f>INT((S592-DATE(YEAR(S592-WEEKDAY(S592-0)+4),1,4)+WEEKDAY(DATE(YEAR(S592-WEEKDAY(S592-0)+4),1,4))+6)/7)</f>
        <v>6</v>
      </c>
      <c r="AB592" s="3" t="s">
        <v>407</v>
      </c>
      <c r="AC592" s="7">
        <v>65</v>
      </c>
      <c r="AD592" s="7">
        <v>0</v>
      </c>
      <c r="AE592" s="7">
        <v>0</v>
      </c>
      <c r="AF592" s="3" t="s">
        <v>48</v>
      </c>
      <c r="AG592" s="7">
        <v>2023</v>
      </c>
      <c r="AH592" s="3" t="s">
        <v>105</v>
      </c>
      <c r="AI592" s="3" t="s">
        <v>106</v>
      </c>
      <c r="AJ592" s="3" t="s">
        <v>48</v>
      </c>
      <c r="AK592" s="3" t="s">
        <v>162</v>
      </c>
      <c r="AL592" s="3" t="s">
        <v>59</v>
      </c>
      <c r="AM592" s="3" t="s">
        <v>99</v>
      </c>
      <c r="AN592" s="3" t="s">
        <v>61</v>
      </c>
      <c r="AO592" s="3" t="s">
        <v>62</v>
      </c>
      <c r="AP592" s="3" t="s">
        <v>69</v>
      </c>
      <c r="AQ592" s="3" t="s">
        <v>61</v>
      </c>
      <c r="AR592" s="3" t="s">
        <v>48</v>
      </c>
    </row>
    <row r="593" spans="1:44" ht="30" customHeight="1">
      <c r="A593" s="3" t="s">
        <v>44</v>
      </c>
      <c r="B593" s="3" t="s">
        <v>45</v>
      </c>
      <c r="C593" s="3" t="s">
        <v>46</v>
      </c>
      <c r="D593" s="3" t="s">
        <v>100</v>
      </c>
      <c r="E593" s="3" t="s">
        <v>48</v>
      </c>
      <c r="F593" s="3" t="s">
        <v>101</v>
      </c>
      <c r="G593" s="3" t="s">
        <v>428</v>
      </c>
      <c r="H593" s="4">
        <f>IF(DATEDIF(L593,S593,"m")&gt;12,DATEDIF(L593,S593,"y"),(DATEDIF(L593,S593,"m")/12))</f>
        <v>1</v>
      </c>
      <c r="I593" s="7">
        <f>DATEDIF(L593,S593,"M")</f>
        <v>15</v>
      </c>
      <c r="J593" s="7">
        <f>DATEDIF(L593,S593,"D")</f>
        <v>473</v>
      </c>
      <c r="K593" s="3" t="s">
        <v>64</v>
      </c>
      <c r="L593" s="8">
        <v>44507</v>
      </c>
      <c r="M593" s="3" t="s">
        <v>45</v>
      </c>
      <c r="N593" s="3" t="s">
        <v>65</v>
      </c>
      <c r="O593" s="3" t="s">
        <v>52</v>
      </c>
      <c r="P593" s="3" t="s">
        <v>169</v>
      </c>
      <c r="Q593" s="7">
        <v>0</v>
      </c>
      <c r="R593" s="8">
        <v>44984</v>
      </c>
      <c r="S593" s="8">
        <v>44980</v>
      </c>
      <c r="T593" s="3" t="s">
        <v>54</v>
      </c>
      <c r="U593" s="3" t="s">
        <v>55</v>
      </c>
      <c r="V593" s="9"/>
      <c r="W593" s="10">
        <v>44988</v>
      </c>
      <c r="X593" s="7">
        <v>4</v>
      </c>
      <c r="Y593" s="7">
        <v>4</v>
      </c>
      <c r="Z593" s="7">
        <v>2</v>
      </c>
      <c r="AA593" s="7">
        <f>INT((S593-DATE(YEAR(S593-WEEKDAY(S593-0)+4),1,4)+WEEKDAY(DATE(YEAR(S593-WEEKDAY(S593-0)+4),1,4))+6)/7)</f>
        <v>8</v>
      </c>
      <c r="AB593" s="3" t="s">
        <v>429</v>
      </c>
      <c r="AC593" s="7">
        <v>62</v>
      </c>
      <c r="AD593" s="7">
        <v>0</v>
      </c>
      <c r="AE593" s="7">
        <v>0</v>
      </c>
      <c r="AF593" s="3" t="s">
        <v>48</v>
      </c>
      <c r="AG593" s="7">
        <v>2023</v>
      </c>
      <c r="AH593" s="3" t="s">
        <v>105</v>
      </c>
      <c r="AI593" s="3" t="s">
        <v>106</v>
      </c>
      <c r="AJ593" s="3" t="s">
        <v>48</v>
      </c>
      <c r="AK593" s="3" t="s">
        <v>430</v>
      </c>
      <c r="AL593" s="3" t="s">
        <v>59</v>
      </c>
      <c r="AM593" s="3" t="s">
        <v>99</v>
      </c>
      <c r="AN593" s="3" t="s">
        <v>61</v>
      </c>
      <c r="AO593" s="3" t="s">
        <v>62</v>
      </c>
      <c r="AP593" s="3" t="s">
        <v>69</v>
      </c>
      <c r="AQ593" s="3" t="s">
        <v>61</v>
      </c>
      <c r="AR593" s="3" t="s">
        <v>48</v>
      </c>
    </row>
    <row r="594" spans="1:44" ht="30" customHeight="1">
      <c r="A594" s="3" t="s">
        <v>44</v>
      </c>
      <c r="B594" s="3" t="s">
        <v>45</v>
      </c>
      <c r="C594" s="3" t="s">
        <v>46</v>
      </c>
      <c r="D594" s="3" t="s">
        <v>130</v>
      </c>
      <c r="E594" s="3" t="s">
        <v>48</v>
      </c>
      <c r="F594" s="3" t="s">
        <v>135</v>
      </c>
      <c r="G594" s="3" t="s">
        <v>517</v>
      </c>
      <c r="H594" s="4">
        <f>IF(DATEDIF(L594,S594,"m")&gt;12,DATEDIF(L594,S594,"y"),(DATEDIF(L594,S594,"m")/12))</f>
        <v>3</v>
      </c>
      <c r="I594" s="7">
        <f>DATEDIF(L594,S594,"M")</f>
        <v>46</v>
      </c>
      <c r="J594" s="7">
        <f>DATEDIF(L594,S594,"D")</f>
        <v>1410</v>
      </c>
      <c r="K594" s="3" t="s">
        <v>51</v>
      </c>
      <c r="L594" s="8">
        <v>43576</v>
      </c>
      <c r="M594" s="3" t="s">
        <v>45</v>
      </c>
      <c r="N594" s="3" t="s">
        <v>83</v>
      </c>
      <c r="O594" s="3" t="s">
        <v>52</v>
      </c>
      <c r="P594" s="3" t="s">
        <v>169</v>
      </c>
      <c r="Q594" s="7">
        <v>1</v>
      </c>
      <c r="R594" s="8">
        <v>44988</v>
      </c>
      <c r="S594" s="8">
        <v>44986</v>
      </c>
      <c r="T594" s="3" t="s">
        <v>54</v>
      </c>
      <c r="U594" s="3" t="s">
        <v>55</v>
      </c>
      <c r="V594" s="9"/>
      <c r="W594" s="10">
        <v>44988</v>
      </c>
      <c r="X594" s="7">
        <v>0</v>
      </c>
      <c r="Y594" s="7">
        <v>2</v>
      </c>
      <c r="Z594" s="7">
        <v>3</v>
      </c>
      <c r="AA594" s="7">
        <f>INT((S594-DATE(YEAR(S594-WEEKDAY(S594-0)+4),1,4)+WEEKDAY(DATE(YEAR(S594-WEEKDAY(S594-0)+4),1,4))+6)/7)</f>
        <v>9</v>
      </c>
      <c r="AB594" s="3" t="s">
        <v>518</v>
      </c>
      <c r="AC594" s="7">
        <v>102</v>
      </c>
      <c r="AD594" s="7">
        <v>0</v>
      </c>
      <c r="AE594" s="7">
        <v>0</v>
      </c>
      <c r="AF594" s="3" t="s">
        <v>48</v>
      </c>
      <c r="AG594" s="7">
        <v>2023</v>
      </c>
      <c r="AH594" s="3" t="s">
        <v>139</v>
      </c>
      <c r="AI594" s="3" t="s">
        <v>113</v>
      </c>
      <c r="AJ594" s="3" t="s">
        <v>48</v>
      </c>
      <c r="AK594" s="3" t="s">
        <v>87</v>
      </c>
      <c r="AL594" s="3" t="s">
        <v>59</v>
      </c>
      <c r="AM594" s="3" t="s">
        <v>60</v>
      </c>
      <c r="AN594" s="3" t="s">
        <v>61</v>
      </c>
      <c r="AO594" s="3" t="s">
        <v>62</v>
      </c>
      <c r="AP594" s="3" t="s">
        <v>69</v>
      </c>
      <c r="AQ594" s="3" t="s">
        <v>69</v>
      </c>
      <c r="AR594" s="3" t="s">
        <v>519</v>
      </c>
    </row>
    <row r="595" spans="1:44" ht="30" customHeight="1">
      <c r="A595" s="3" t="s">
        <v>44</v>
      </c>
      <c r="B595" s="3" t="s">
        <v>45</v>
      </c>
      <c r="C595" s="3" t="s">
        <v>80</v>
      </c>
      <c r="D595" s="3" t="s">
        <v>81</v>
      </c>
      <c r="E595" s="3" t="s">
        <v>48</v>
      </c>
      <c r="F595" s="3" t="s">
        <v>81</v>
      </c>
      <c r="G595" s="3" t="s">
        <v>528</v>
      </c>
      <c r="H595" s="4">
        <f>IF(DATEDIF(L595,S595,"m")&gt;12,DATEDIF(L595,S595,"y"),(DATEDIF(L595,S595,"m")/12))</f>
        <v>3</v>
      </c>
      <c r="I595" s="7">
        <f>DATEDIF(L595,S595,"M")</f>
        <v>38</v>
      </c>
      <c r="J595" s="7">
        <f>DATEDIF(L595,S595,"D")</f>
        <v>1183</v>
      </c>
      <c r="K595" s="3" t="s">
        <v>51</v>
      </c>
      <c r="L595" s="8">
        <v>43798</v>
      </c>
      <c r="M595" s="3" t="s">
        <v>45</v>
      </c>
      <c r="N595" s="3" t="s">
        <v>49</v>
      </c>
      <c r="O595" s="3" t="s">
        <v>52</v>
      </c>
      <c r="P595" s="3" t="s">
        <v>84</v>
      </c>
      <c r="Q595" s="7">
        <v>1</v>
      </c>
      <c r="R595" s="8">
        <v>44983</v>
      </c>
      <c r="S595" s="8">
        <v>44981</v>
      </c>
      <c r="T595" s="3" t="s">
        <v>54</v>
      </c>
      <c r="U595" s="3" t="s">
        <v>55</v>
      </c>
      <c r="V595" s="9"/>
      <c r="W595" s="10">
        <v>44988</v>
      </c>
      <c r="X595" s="7">
        <v>5</v>
      </c>
      <c r="Y595" s="7">
        <v>2</v>
      </c>
      <c r="Z595" s="7">
        <v>2</v>
      </c>
      <c r="AA595" s="7">
        <f>INT((S595-DATE(YEAR(S595-WEEKDAY(S595-0)+4),1,4)+WEEKDAY(DATE(YEAR(S595-WEEKDAY(S595-0)+4),1,4))+6)/7)</f>
        <v>8</v>
      </c>
      <c r="AB595" s="3" t="s">
        <v>529</v>
      </c>
      <c r="AC595" s="7">
        <v>14028</v>
      </c>
      <c r="AD595" s="7">
        <v>0</v>
      </c>
      <c r="AE595" s="7">
        <v>0</v>
      </c>
      <c r="AF595" s="3" t="s">
        <v>48</v>
      </c>
      <c r="AG595" s="7">
        <v>2023</v>
      </c>
      <c r="AH595" s="3" t="s">
        <v>86</v>
      </c>
      <c r="AI595" s="3" t="s">
        <v>48</v>
      </c>
      <c r="AJ595" s="3" t="s">
        <v>48</v>
      </c>
      <c r="AK595" s="3" t="s">
        <v>362</v>
      </c>
      <c r="AL595" s="3" t="s">
        <v>59</v>
      </c>
      <c r="AM595" s="3" t="s">
        <v>60</v>
      </c>
      <c r="AN595" s="3" t="s">
        <v>61</v>
      </c>
      <c r="AO595" s="3" t="s">
        <v>62</v>
      </c>
      <c r="AP595" s="3" t="s">
        <v>69</v>
      </c>
      <c r="AQ595" s="3" t="s">
        <v>69</v>
      </c>
      <c r="AR595" s="3" t="s">
        <v>48</v>
      </c>
    </row>
    <row r="596" spans="1:44" ht="30" customHeight="1">
      <c r="A596" s="3" t="s">
        <v>44</v>
      </c>
      <c r="B596" s="3" t="s">
        <v>45</v>
      </c>
      <c r="C596" s="3" t="s">
        <v>80</v>
      </c>
      <c r="D596" s="3" t="s">
        <v>81</v>
      </c>
      <c r="E596" s="3" t="s">
        <v>48</v>
      </c>
      <c r="F596" s="3" t="s">
        <v>81</v>
      </c>
      <c r="G596" s="3" t="s">
        <v>536</v>
      </c>
      <c r="H596" s="4">
        <f>IF(DATEDIF(L596,S596,"m")&gt;12,DATEDIF(L596,S596,"y"),(DATEDIF(L596,S596,"m")/12))</f>
        <v>63</v>
      </c>
      <c r="I596" s="7">
        <f>DATEDIF(L596,S596,"M")</f>
        <v>765</v>
      </c>
      <c r="J596" s="7">
        <f>DATEDIF(L596,S596,"D")</f>
        <v>23302</v>
      </c>
      <c r="K596" s="3" t="s">
        <v>51</v>
      </c>
      <c r="L596" s="8">
        <v>21682</v>
      </c>
      <c r="M596" s="3" t="s">
        <v>45</v>
      </c>
      <c r="N596" s="3" t="s">
        <v>101</v>
      </c>
      <c r="O596" s="3" t="s">
        <v>52</v>
      </c>
      <c r="P596" s="3" t="s">
        <v>537</v>
      </c>
      <c r="Q596" s="7">
        <v>1</v>
      </c>
      <c r="R596" s="8">
        <v>44984</v>
      </c>
      <c r="S596" s="8">
        <v>44984</v>
      </c>
      <c r="T596" s="3" t="s">
        <v>54</v>
      </c>
      <c r="U596" s="3" t="s">
        <v>55</v>
      </c>
      <c r="V596" s="9"/>
      <c r="W596" s="10">
        <v>44988</v>
      </c>
      <c r="X596" s="7">
        <v>4</v>
      </c>
      <c r="Y596" s="7">
        <v>0</v>
      </c>
      <c r="Z596" s="7">
        <v>2</v>
      </c>
      <c r="AA596" s="7">
        <f>INT((S596-DATE(YEAR(S596-WEEKDAY(S596-0)+4),1,4)+WEEKDAY(DATE(YEAR(S596-WEEKDAY(S596-0)+4),1,4))+6)/7)</f>
        <v>9</v>
      </c>
      <c r="AB596" s="3" t="s">
        <v>538</v>
      </c>
      <c r="AC596" s="7">
        <v>14042</v>
      </c>
      <c r="AD596" s="7">
        <v>0</v>
      </c>
      <c r="AE596" s="7">
        <v>0</v>
      </c>
      <c r="AF596" s="3" t="s">
        <v>48</v>
      </c>
      <c r="AG596" s="7">
        <v>2023</v>
      </c>
      <c r="AH596" s="3" t="s">
        <v>86</v>
      </c>
      <c r="AI596" s="3" t="s">
        <v>48</v>
      </c>
      <c r="AJ596" s="3" t="s">
        <v>48</v>
      </c>
      <c r="AK596" s="3" t="s">
        <v>162</v>
      </c>
      <c r="AL596" s="3" t="s">
        <v>59</v>
      </c>
      <c r="AM596" s="3" t="s">
        <v>60</v>
      </c>
      <c r="AN596" s="3" t="s">
        <v>69</v>
      </c>
      <c r="AO596" s="3" t="s">
        <v>62</v>
      </c>
      <c r="AP596" s="3" t="s">
        <v>69</v>
      </c>
      <c r="AQ596" s="3" t="s">
        <v>61</v>
      </c>
      <c r="AR596" s="3" t="s">
        <v>48</v>
      </c>
    </row>
    <row r="597" spans="1:44" ht="30" customHeight="1">
      <c r="A597" s="3" t="s">
        <v>44</v>
      </c>
      <c r="B597" s="3" t="s">
        <v>45</v>
      </c>
      <c r="C597" s="3" t="s">
        <v>46</v>
      </c>
      <c r="D597" s="3" t="s">
        <v>47</v>
      </c>
      <c r="E597" s="3" t="s">
        <v>48</v>
      </c>
      <c r="F597" s="3" t="s">
        <v>49</v>
      </c>
      <c r="G597" s="3" t="s">
        <v>594</v>
      </c>
      <c r="H597" s="4">
        <f>IF(DATEDIF(L597,S597,"m")&gt;12,DATEDIF(L597,S597,"y"),(DATEDIF(L597,S597,"m")/12))</f>
        <v>1</v>
      </c>
      <c r="I597" s="7">
        <f>DATEDIF(L597,S597,"M")</f>
        <v>20</v>
      </c>
      <c r="J597" s="7">
        <f>DATEDIF(L597,S597,"D")</f>
        <v>619</v>
      </c>
      <c r="K597" s="3" t="s">
        <v>51</v>
      </c>
      <c r="L597" s="8">
        <v>44364</v>
      </c>
      <c r="M597" s="3" t="s">
        <v>45</v>
      </c>
      <c r="N597" s="3" t="s">
        <v>49</v>
      </c>
      <c r="O597" s="3" t="s">
        <v>52</v>
      </c>
      <c r="P597" s="3" t="s">
        <v>595</v>
      </c>
      <c r="Q597" s="7">
        <v>0</v>
      </c>
      <c r="R597" s="8">
        <v>44986</v>
      </c>
      <c r="S597" s="8">
        <v>44983</v>
      </c>
      <c r="T597" s="3" t="s">
        <v>54</v>
      </c>
      <c r="U597" s="3" t="s">
        <v>55</v>
      </c>
      <c r="V597" s="9"/>
      <c r="W597" s="10">
        <v>44988</v>
      </c>
      <c r="X597" s="7">
        <v>2</v>
      </c>
      <c r="Y597" s="7">
        <v>3</v>
      </c>
      <c r="Z597" s="7">
        <v>2</v>
      </c>
      <c r="AA597" s="7">
        <f>INT((S597-DATE(YEAR(S597-WEEKDAY(S597-0)+4),1,4)+WEEKDAY(DATE(YEAR(S597-WEEKDAY(S597-0)+4),1,4))+6)/7)</f>
        <v>9</v>
      </c>
      <c r="AB597" s="3" t="s">
        <v>596</v>
      </c>
      <c r="AC597" s="7">
        <v>76</v>
      </c>
      <c r="AD597" s="7">
        <v>0</v>
      </c>
      <c r="AE597" s="7">
        <v>0</v>
      </c>
      <c r="AF597" s="3" t="s">
        <v>48</v>
      </c>
      <c r="AG597" s="7">
        <v>2023</v>
      </c>
      <c r="AH597" s="3" t="s">
        <v>57</v>
      </c>
      <c r="AI597" s="3" t="s">
        <v>48</v>
      </c>
      <c r="AJ597" s="3" t="s">
        <v>48</v>
      </c>
      <c r="AK597" s="3" t="s">
        <v>58</v>
      </c>
      <c r="AL597" s="3" t="s">
        <v>59</v>
      </c>
      <c r="AM597" s="3" t="s">
        <v>60</v>
      </c>
      <c r="AN597" s="3" t="s">
        <v>61</v>
      </c>
      <c r="AO597" s="3" t="s">
        <v>62</v>
      </c>
      <c r="AP597" s="3" t="s">
        <v>69</v>
      </c>
      <c r="AQ597" s="3" t="s">
        <v>61</v>
      </c>
      <c r="AR597" s="3" t="s">
        <v>48</v>
      </c>
    </row>
    <row r="598" spans="1:44" ht="30" customHeight="1">
      <c r="A598" s="3" t="s">
        <v>44</v>
      </c>
      <c r="B598" s="3" t="s">
        <v>45</v>
      </c>
      <c r="C598" s="3" t="s">
        <v>46</v>
      </c>
      <c r="D598" s="3" t="s">
        <v>70</v>
      </c>
      <c r="E598" s="3" t="s">
        <v>48</v>
      </c>
      <c r="F598" s="3" t="s">
        <v>71</v>
      </c>
      <c r="G598" s="3" t="s">
        <v>700</v>
      </c>
      <c r="H598" s="4">
        <f>IF(DATEDIF(L598,S598,"m")&gt;12,DATEDIF(L598,S598,"y"),(DATEDIF(L598,S598,"m")/12))</f>
        <v>16</v>
      </c>
      <c r="I598" s="7">
        <f>DATEDIF(L598,S598,"M")</f>
        <v>201</v>
      </c>
      <c r="J598" s="7">
        <f>DATEDIF(L598,S598,"D")</f>
        <v>6140</v>
      </c>
      <c r="K598" s="3" t="s">
        <v>51</v>
      </c>
      <c r="L598" s="8">
        <v>38848</v>
      </c>
      <c r="M598" s="3" t="s">
        <v>45</v>
      </c>
      <c r="N598" s="3" t="s">
        <v>83</v>
      </c>
      <c r="O598" s="3" t="s">
        <v>52</v>
      </c>
      <c r="P598" s="3" t="s">
        <v>91</v>
      </c>
      <c r="Q598" s="7">
        <v>1</v>
      </c>
      <c r="R598" s="8">
        <v>44988</v>
      </c>
      <c r="S598" s="8">
        <v>44988</v>
      </c>
      <c r="T598" s="3" t="s">
        <v>54</v>
      </c>
      <c r="U598" s="3" t="s">
        <v>55</v>
      </c>
      <c r="V598" s="9"/>
      <c r="W598" s="10">
        <v>44988</v>
      </c>
      <c r="X598" s="7">
        <v>0</v>
      </c>
      <c r="Y598" s="7">
        <v>0</v>
      </c>
      <c r="Z598" s="7">
        <v>3</v>
      </c>
      <c r="AA598" s="7">
        <f>INT((S598-DATE(YEAR(S598-WEEKDAY(S598-0)+4),1,4)+WEEKDAY(DATE(YEAR(S598-WEEKDAY(S598-0)+4),1,4))+6)/7)</f>
        <v>9</v>
      </c>
      <c r="AB598" s="3" t="s">
        <v>701</v>
      </c>
      <c r="AC598" s="7">
        <v>707</v>
      </c>
      <c r="AD598" s="7">
        <v>0</v>
      </c>
      <c r="AE598" s="7">
        <v>1</v>
      </c>
      <c r="AF598" s="3" t="s">
        <v>48</v>
      </c>
      <c r="AG598" s="7">
        <v>2023</v>
      </c>
      <c r="AH598" s="3" t="s">
        <v>76</v>
      </c>
      <c r="AI598" s="3" t="s">
        <v>77</v>
      </c>
      <c r="AJ598" s="3" t="s">
        <v>78</v>
      </c>
      <c r="AK598" s="3" t="s">
        <v>87</v>
      </c>
      <c r="AL598" s="3" t="s">
        <v>59</v>
      </c>
      <c r="AM598" s="3" t="s">
        <v>60</v>
      </c>
      <c r="AN598" s="3" t="s">
        <v>61</v>
      </c>
      <c r="AO598" s="3" t="s">
        <v>62</v>
      </c>
      <c r="AP598" s="3" t="s">
        <v>69</v>
      </c>
      <c r="AQ598" s="3" t="s">
        <v>61</v>
      </c>
      <c r="AR598" s="3" t="s">
        <v>48</v>
      </c>
    </row>
    <row r="599" spans="1:44" ht="30" customHeight="1">
      <c r="A599" s="3" t="s">
        <v>44</v>
      </c>
      <c r="B599" s="3" t="s">
        <v>45</v>
      </c>
      <c r="C599" s="3" t="s">
        <v>46</v>
      </c>
      <c r="D599" s="3" t="s">
        <v>70</v>
      </c>
      <c r="E599" s="3" t="s">
        <v>48</v>
      </c>
      <c r="F599" s="3" t="s">
        <v>71</v>
      </c>
      <c r="G599" s="3" t="s">
        <v>733</v>
      </c>
      <c r="H599" s="4">
        <f>IF(DATEDIF(L599,S599,"m")&gt;12,DATEDIF(L599,S599,"y"),(DATEDIF(L599,S599,"m")/12))</f>
        <v>57</v>
      </c>
      <c r="I599" s="7">
        <f>DATEDIF(L599,S599,"M")</f>
        <v>689</v>
      </c>
      <c r="J599" s="7">
        <f>DATEDIF(L599,S599,"D")</f>
        <v>20993</v>
      </c>
      <c r="K599" s="3" t="s">
        <v>51</v>
      </c>
      <c r="L599" s="8">
        <v>23991</v>
      </c>
      <c r="M599" s="3" t="s">
        <v>45</v>
      </c>
      <c r="N599" s="3" t="s">
        <v>329</v>
      </c>
      <c r="O599" s="3" t="s">
        <v>52</v>
      </c>
      <c r="P599" s="3" t="s">
        <v>84</v>
      </c>
      <c r="Q599" s="7">
        <v>1</v>
      </c>
      <c r="R599" s="8">
        <v>44985</v>
      </c>
      <c r="S599" s="8">
        <v>44984</v>
      </c>
      <c r="T599" s="3" t="s">
        <v>54</v>
      </c>
      <c r="U599" s="3" t="s">
        <v>55</v>
      </c>
      <c r="V599" s="9"/>
      <c r="W599" s="10">
        <v>44988</v>
      </c>
      <c r="X599" s="7">
        <v>3</v>
      </c>
      <c r="Y599" s="7">
        <v>1</v>
      </c>
      <c r="Z599" s="7">
        <v>2</v>
      </c>
      <c r="AA599" s="7">
        <f>INT((S599-DATE(YEAR(S599-WEEKDAY(S599-0)+4),1,4)+WEEKDAY(DATE(YEAR(S599-WEEKDAY(S599-0)+4),1,4))+6)/7)</f>
        <v>9</v>
      </c>
      <c r="AB599" s="3" t="s">
        <v>734</v>
      </c>
      <c r="AC599" s="7">
        <v>703</v>
      </c>
      <c r="AD599" s="7">
        <v>0</v>
      </c>
      <c r="AE599" s="7">
        <v>1</v>
      </c>
      <c r="AF599" s="3" t="s">
        <v>48</v>
      </c>
      <c r="AG599" s="7">
        <v>2023</v>
      </c>
      <c r="AH599" s="3" t="s">
        <v>76</v>
      </c>
      <c r="AI599" s="3" t="s">
        <v>166</v>
      </c>
      <c r="AJ599" s="3" t="s">
        <v>78</v>
      </c>
      <c r="AK599" s="3" t="s">
        <v>735</v>
      </c>
      <c r="AL599" s="3" t="s">
        <v>59</v>
      </c>
      <c r="AM599" s="3" t="s">
        <v>60</v>
      </c>
      <c r="AN599" s="3" t="s">
        <v>61</v>
      </c>
      <c r="AO599" s="3" t="s">
        <v>62</v>
      </c>
      <c r="AP599" s="3" t="s">
        <v>69</v>
      </c>
      <c r="AQ599" s="3" t="s">
        <v>61</v>
      </c>
      <c r="AR599" s="3" t="s">
        <v>48</v>
      </c>
    </row>
    <row r="600" spans="1:44" ht="30" customHeight="1">
      <c r="A600" s="3" t="s">
        <v>44</v>
      </c>
      <c r="B600" s="3" t="s">
        <v>45</v>
      </c>
      <c r="C600" s="3" t="s">
        <v>46</v>
      </c>
      <c r="D600" s="3" t="s">
        <v>47</v>
      </c>
      <c r="E600" s="3" t="s">
        <v>48</v>
      </c>
      <c r="F600" s="3" t="s">
        <v>49</v>
      </c>
      <c r="G600" s="3" t="s">
        <v>789</v>
      </c>
      <c r="H600" s="4">
        <f>IF(DATEDIF(L600,S600,"m")&gt;12,DATEDIF(L600,S600,"y"),(DATEDIF(L600,S600,"m")/12))</f>
        <v>2</v>
      </c>
      <c r="I600" s="7">
        <f>DATEDIF(L600,S600,"M")</f>
        <v>26</v>
      </c>
      <c r="J600" s="7">
        <f>DATEDIF(L600,S600,"D")</f>
        <v>797</v>
      </c>
      <c r="K600" s="3" t="s">
        <v>64</v>
      </c>
      <c r="L600" s="8">
        <v>44188</v>
      </c>
      <c r="M600" s="3" t="s">
        <v>45</v>
      </c>
      <c r="N600" s="3" t="s">
        <v>49</v>
      </c>
      <c r="O600" s="3" t="s">
        <v>52</v>
      </c>
      <c r="P600" s="3" t="s">
        <v>790</v>
      </c>
      <c r="Q600" s="7">
        <v>0</v>
      </c>
      <c r="R600" s="8">
        <v>44986</v>
      </c>
      <c r="S600" s="8">
        <v>44985</v>
      </c>
      <c r="T600" s="3" t="s">
        <v>54</v>
      </c>
      <c r="U600" s="3" t="s">
        <v>55</v>
      </c>
      <c r="V600" s="9"/>
      <c r="W600" s="10">
        <v>44988</v>
      </c>
      <c r="X600" s="7">
        <v>2</v>
      </c>
      <c r="Y600" s="7">
        <v>1</v>
      </c>
      <c r="Z600" s="7">
        <v>2</v>
      </c>
      <c r="AA600" s="7">
        <f>INT((S600-DATE(YEAR(S600-WEEKDAY(S600-0)+4),1,4)+WEEKDAY(DATE(YEAR(S600-WEEKDAY(S600-0)+4),1,4))+6)/7)</f>
        <v>9</v>
      </c>
      <c r="AB600" s="3" t="s">
        <v>791</v>
      </c>
      <c r="AC600" s="7">
        <v>75</v>
      </c>
      <c r="AD600" s="7">
        <v>0</v>
      </c>
      <c r="AE600" s="7">
        <v>0</v>
      </c>
      <c r="AF600" s="3" t="s">
        <v>48</v>
      </c>
      <c r="AG600" s="7">
        <v>2023</v>
      </c>
      <c r="AH600" s="3" t="s">
        <v>57</v>
      </c>
      <c r="AI600" s="3" t="s">
        <v>48</v>
      </c>
      <c r="AJ600" s="3" t="s">
        <v>48</v>
      </c>
      <c r="AK600" s="3" t="s">
        <v>362</v>
      </c>
      <c r="AL600" s="3" t="s">
        <v>59</v>
      </c>
      <c r="AM600" s="3" t="s">
        <v>60</v>
      </c>
      <c r="AN600" s="3" t="s">
        <v>61</v>
      </c>
      <c r="AO600" s="3" t="s">
        <v>62</v>
      </c>
      <c r="AP600" s="3" t="s">
        <v>69</v>
      </c>
      <c r="AQ600" s="3" t="s">
        <v>61</v>
      </c>
      <c r="AR600" s="3" t="s">
        <v>48</v>
      </c>
    </row>
    <row r="601" spans="1:44" ht="30" customHeight="1">
      <c r="A601" s="3" t="s">
        <v>44</v>
      </c>
      <c r="B601" s="3" t="s">
        <v>45</v>
      </c>
      <c r="C601" s="3" t="s">
        <v>46</v>
      </c>
      <c r="D601" s="3" t="s">
        <v>100</v>
      </c>
      <c r="E601" s="3" t="s">
        <v>48</v>
      </c>
      <c r="F601" s="3" t="s">
        <v>101</v>
      </c>
      <c r="G601" s="3" t="s">
        <v>890</v>
      </c>
      <c r="H601" s="4">
        <f>IF(DATEDIF(L601,S601,"m")&gt;12,DATEDIF(L601,S601,"y"),(DATEDIF(L601,S601,"m")/12))</f>
        <v>2</v>
      </c>
      <c r="I601" s="7">
        <f>DATEDIF(L601,S601,"M")</f>
        <v>35</v>
      </c>
      <c r="J601" s="7">
        <f>DATEDIF(L601,S601,"D")</f>
        <v>1071</v>
      </c>
      <c r="K601" s="3" t="s">
        <v>64</v>
      </c>
      <c r="L601" s="8">
        <v>43913</v>
      </c>
      <c r="M601" s="3" t="s">
        <v>45</v>
      </c>
      <c r="N601" s="3" t="s">
        <v>101</v>
      </c>
      <c r="O601" s="3" t="s">
        <v>52</v>
      </c>
      <c r="P601" s="3" t="s">
        <v>103</v>
      </c>
      <c r="Q601" s="7">
        <v>0</v>
      </c>
      <c r="R601" s="8">
        <v>44984</v>
      </c>
      <c r="S601" s="8">
        <v>44984</v>
      </c>
      <c r="T601" s="3" t="s">
        <v>54</v>
      </c>
      <c r="U601" s="3" t="s">
        <v>55</v>
      </c>
      <c r="V601" s="9"/>
      <c r="W601" s="10">
        <v>44988</v>
      </c>
      <c r="X601" s="7">
        <v>4</v>
      </c>
      <c r="Y601" s="7">
        <v>0</v>
      </c>
      <c r="Z601" s="7">
        <v>2</v>
      </c>
      <c r="AA601" s="7">
        <f>INT((S601-DATE(YEAR(S601-WEEKDAY(S601-0)+4),1,4)+WEEKDAY(DATE(YEAR(S601-WEEKDAY(S601-0)+4),1,4))+6)/7)</f>
        <v>9</v>
      </c>
      <c r="AB601" s="3" t="s">
        <v>891</v>
      </c>
      <c r="AC601" s="7">
        <v>64</v>
      </c>
      <c r="AD601" s="7">
        <v>0</v>
      </c>
      <c r="AE601" s="7">
        <v>0</v>
      </c>
      <c r="AF601" s="3" t="s">
        <v>48</v>
      </c>
      <c r="AG601" s="7">
        <v>2023</v>
      </c>
      <c r="AH601" s="3" t="s">
        <v>105</v>
      </c>
      <c r="AI601" s="3" t="s">
        <v>106</v>
      </c>
      <c r="AJ601" s="3" t="s">
        <v>48</v>
      </c>
      <c r="AK601" s="3" t="s">
        <v>420</v>
      </c>
      <c r="AL601" s="3" t="s">
        <v>59</v>
      </c>
      <c r="AM601" s="3" t="s">
        <v>99</v>
      </c>
      <c r="AN601" s="3" t="s">
        <v>61</v>
      </c>
      <c r="AO601" s="3" t="s">
        <v>62</v>
      </c>
      <c r="AP601" s="3" t="s">
        <v>69</v>
      </c>
      <c r="AQ601" s="3" t="s">
        <v>61</v>
      </c>
      <c r="AR601" s="3" t="s">
        <v>48</v>
      </c>
    </row>
    <row r="602" spans="1:44" ht="30" customHeight="1">
      <c r="A602" s="3" t="s">
        <v>44</v>
      </c>
      <c r="B602" s="3" t="s">
        <v>45</v>
      </c>
      <c r="C602" s="3" t="s">
        <v>46</v>
      </c>
      <c r="D602" s="3" t="s">
        <v>70</v>
      </c>
      <c r="E602" s="3" t="s">
        <v>48</v>
      </c>
      <c r="F602" s="3" t="s">
        <v>71</v>
      </c>
      <c r="G602" s="3" t="s">
        <v>1049</v>
      </c>
      <c r="H602" s="4">
        <f>IF(DATEDIF(L602,S602,"m")&gt;12,DATEDIF(L602,S602,"y"),(DATEDIF(L602,S602,"m")/12))</f>
        <v>30</v>
      </c>
      <c r="I602" s="7">
        <f>DATEDIF(L602,S602,"M")</f>
        <v>371</v>
      </c>
      <c r="J602" s="7">
        <f>DATEDIF(L602,S602,"D")</f>
        <v>11322</v>
      </c>
      <c r="K602" s="3" t="s">
        <v>64</v>
      </c>
      <c r="L602" s="8">
        <v>33660</v>
      </c>
      <c r="M602" s="3" t="s">
        <v>45</v>
      </c>
      <c r="N602" s="3" t="s">
        <v>164</v>
      </c>
      <c r="O602" s="3" t="s">
        <v>52</v>
      </c>
      <c r="P602" s="3" t="s">
        <v>84</v>
      </c>
      <c r="Q602" s="7">
        <v>1</v>
      </c>
      <c r="R602" s="8">
        <v>44983</v>
      </c>
      <c r="S602" s="8">
        <v>44982</v>
      </c>
      <c r="T602" s="3" t="s">
        <v>54</v>
      </c>
      <c r="U602" s="3" t="s">
        <v>55</v>
      </c>
      <c r="V602" s="9"/>
      <c r="W602" s="10">
        <v>44988</v>
      </c>
      <c r="X602" s="7">
        <v>5</v>
      </c>
      <c r="Y602" s="7">
        <v>1</v>
      </c>
      <c r="Z602" s="7">
        <v>2</v>
      </c>
      <c r="AA602" s="7">
        <f>INT((S602-DATE(YEAR(S602-WEEKDAY(S602-0)+4),1,4)+WEEKDAY(DATE(YEAR(S602-WEEKDAY(S602-0)+4),1,4))+6)/7)</f>
        <v>8</v>
      </c>
      <c r="AB602" s="3" t="s">
        <v>1050</v>
      </c>
      <c r="AC602" s="7">
        <v>690</v>
      </c>
      <c r="AD602" s="7">
        <v>0</v>
      </c>
      <c r="AE602" s="7">
        <v>1</v>
      </c>
      <c r="AF602" s="3" t="s">
        <v>48</v>
      </c>
      <c r="AG602" s="7">
        <v>2023</v>
      </c>
      <c r="AH602" s="3" t="s">
        <v>76</v>
      </c>
      <c r="AI602" s="3" t="s">
        <v>166</v>
      </c>
      <c r="AJ602" s="3" t="s">
        <v>78</v>
      </c>
      <c r="AK602" s="3" t="s">
        <v>1051</v>
      </c>
      <c r="AL602" s="3" t="s">
        <v>59</v>
      </c>
      <c r="AM602" s="3" t="s">
        <v>60</v>
      </c>
      <c r="AN602" s="3" t="s">
        <v>61</v>
      </c>
      <c r="AO602" s="3" t="s">
        <v>62</v>
      </c>
      <c r="AP602" s="3" t="s">
        <v>69</v>
      </c>
      <c r="AQ602" s="3" t="s">
        <v>61</v>
      </c>
      <c r="AR602" s="3" t="s">
        <v>48</v>
      </c>
    </row>
    <row r="603" spans="1:44" ht="30" customHeight="1">
      <c r="A603" s="3" t="s">
        <v>44</v>
      </c>
      <c r="B603" s="3" t="s">
        <v>45</v>
      </c>
      <c r="C603" s="3" t="s">
        <v>46</v>
      </c>
      <c r="D603" s="3" t="s">
        <v>47</v>
      </c>
      <c r="E603" s="3" t="s">
        <v>48</v>
      </c>
      <c r="F603" s="3" t="s">
        <v>49</v>
      </c>
      <c r="G603" s="3" t="s">
        <v>1060</v>
      </c>
      <c r="H603" s="4">
        <f>IF(DATEDIF(L603,S603,"m")&gt;12,DATEDIF(L603,S603,"y"),(DATEDIF(L603,S603,"m")/12))</f>
        <v>4</v>
      </c>
      <c r="I603" s="7">
        <f>DATEDIF(L603,S603,"M")</f>
        <v>50</v>
      </c>
      <c r="J603" s="7">
        <f>DATEDIF(L603,S603,"D")</f>
        <v>1528</v>
      </c>
      <c r="K603" s="3" t="s">
        <v>51</v>
      </c>
      <c r="L603" s="8">
        <v>43457</v>
      </c>
      <c r="M603" s="3" t="s">
        <v>45</v>
      </c>
      <c r="N603" s="3" t="s">
        <v>49</v>
      </c>
      <c r="O603" s="3" t="s">
        <v>52</v>
      </c>
      <c r="P603" s="3" t="s">
        <v>761</v>
      </c>
      <c r="Q603" s="7">
        <v>0</v>
      </c>
      <c r="R603" s="8">
        <v>44987</v>
      </c>
      <c r="S603" s="8">
        <v>44985</v>
      </c>
      <c r="T603" s="3" t="s">
        <v>54</v>
      </c>
      <c r="U603" s="3" t="s">
        <v>55</v>
      </c>
      <c r="V603" s="9"/>
      <c r="W603" s="10">
        <v>44988</v>
      </c>
      <c r="X603" s="7">
        <v>1</v>
      </c>
      <c r="Y603" s="7">
        <v>2</v>
      </c>
      <c r="Z603" s="7">
        <v>2</v>
      </c>
      <c r="AA603" s="7">
        <f>INT((S603-DATE(YEAR(S603-WEEKDAY(S603-0)+4),1,4)+WEEKDAY(DATE(YEAR(S603-WEEKDAY(S603-0)+4),1,4))+6)/7)</f>
        <v>9</v>
      </c>
      <c r="AB603" s="3" t="s">
        <v>1061</v>
      </c>
      <c r="AC603" s="7">
        <v>80</v>
      </c>
      <c r="AD603" s="7">
        <v>0</v>
      </c>
      <c r="AE603" s="7">
        <v>0</v>
      </c>
      <c r="AF603" s="3" t="s">
        <v>48</v>
      </c>
      <c r="AG603" s="7">
        <v>2023</v>
      </c>
      <c r="AH603" s="3" t="s">
        <v>57</v>
      </c>
      <c r="AI603" s="3" t="s">
        <v>48</v>
      </c>
      <c r="AJ603" s="3" t="s">
        <v>48</v>
      </c>
      <c r="AK603" s="3" t="s">
        <v>58</v>
      </c>
      <c r="AL603" s="3" t="s">
        <v>59</v>
      </c>
      <c r="AM603" s="3" t="s">
        <v>60</v>
      </c>
      <c r="AN603" s="3" t="s">
        <v>61</v>
      </c>
      <c r="AO603" s="3" t="s">
        <v>62</v>
      </c>
      <c r="AP603" s="3" t="s">
        <v>69</v>
      </c>
      <c r="AQ603" s="3" t="s">
        <v>61</v>
      </c>
      <c r="AR603" s="3" t="s">
        <v>48</v>
      </c>
    </row>
    <row r="604" spans="1:44" ht="30" customHeight="1">
      <c r="A604" s="3" t="s">
        <v>44</v>
      </c>
      <c r="B604" s="3" t="s">
        <v>45</v>
      </c>
      <c r="C604" s="3" t="s">
        <v>46</v>
      </c>
      <c r="D604" s="3" t="s">
        <v>70</v>
      </c>
      <c r="E604" s="3" t="s">
        <v>48</v>
      </c>
      <c r="F604" s="3" t="s">
        <v>71</v>
      </c>
      <c r="G604" s="3" t="s">
        <v>1134</v>
      </c>
      <c r="H604" s="5">
        <f>IF(DATEDIF(L604,S604,"m")&gt;12,DATEDIF(L604,S604,"y"),(DATEDIF(L604,S604,"m")/12))</f>
        <v>0.91666666666666663</v>
      </c>
      <c r="I604" s="7">
        <f>DATEDIF(L604,S604,"M")</f>
        <v>11</v>
      </c>
      <c r="J604" s="7">
        <f>DATEDIF(L604,S604,"D")</f>
        <v>352</v>
      </c>
      <c r="K604" s="3" t="s">
        <v>51</v>
      </c>
      <c r="L604" s="8">
        <v>44632</v>
      </c>
      <c r="M604" s="3" t="s">
        <v>45</v>
      </c>
      <c r="N604" s="3" t="s">
        <v>101</v>
      </c>
      <c r="O604" s="3" t="s">
        <v>52</v>
      </c>
      <c r="P604" s="3" t="s">
        <v>156</v>
      </c>
      <c r="Q604" s="7">
        <v>1</v>
      </c>
      <c r="R604" s="8">
        <v>44985</v>
      </c>
      <c r="S604" s="8">
        <v>44984</v>
      </c>
      <c r="T604" s="3" t="s">
        <v>54</v>
      </c>
      <c r="U604" s="3" t="s">
        <v>55</v>
      </c>
      <c r="V604" s="9"/>
      <c r="W604" s="10">
        <v>44988</v>
      </c>
      <c r="X604" s="7">
        <v>3</v>
      </c>
      <c r="Y604" s="7">
        <v>1</v>
      </c>
      <c r="Z604" s="7">
        <v>2</v>
      </c>
      <c r="AA604" s="7">
        <f>INT((S604-DATE(YEAR(S604-WEEKDAY(S604-0)+4),1,4)+WEEKDAY(DATE(YEAR(S604-WEEKDAY(S604-0)+4),1,4))+6)/7)</f>
        <v>9</v>
      </c>
      <c r="AB604" s="3" t="s">
        <v>1135</v>
      </c>
      <c r="AC604" s="7">
        <v>697</v>
      </c>
      <c r="AD604" s="7">
        <v>0</v>
      </c>
      <c r="AE604" s="7">
        <v>1</v>
      </c>
      <c r="AF604" s="3" t="s">
        <v>48</v>
      </c>
      <c r="AG604" s="7">
        <v>2023</v>
      </c>
      <c r="AH604" s="3" t="s">
        <v>76</v>
      </c>
      <c r="AI604" s="3" t="s">
        <v>77</v>
      </c>
      <c r="AJ604" s="3" t="s">
        <v>78</v>
      </c>
      <c r="AK604" s="18" t="s">
        <v>865</v>
      </c>
      <c r="AL604" s="3" t="s">
        <v>59</v>
      </c>
      <c r="AM604" s="3" t="s">
        <v>60</v>
      </c>
      <c r="AN604" s="3" t="s">
        <v>61</v>
      </c>
      <c r="AO604" s="3" t="s">
        <v>62</v>
      </c>
      <c r="AP604" s="3" t="s">
        <v>69</v>
      </c>
      <c r="AQ604" s="3" t="s">
        <v>69</v>
      </c>
      <c r="AR604" s="3" t="s">
        <v>48</v>
      </c>
    </row>
    <row r="605" spans="1:44" ht="30" customHeight="1">
      <c r="A605" s="3" t="s">
        <v>44</v>
      </c>
      <c r="B605" s="3" t="s">
        <v>45</v>
      </c>
      <c r="C605" s="3" t="s">
        <v>46</v>
      </c>
      <c r="D605" s="3" t="s">
        <v>70</v>
      </c>
      <c r="E605" s="3" t="s">
        <v>48</v>
      </c>
      <c r="F605" s="3" t="s">
        <v>71</v>
      </c>
      <c r="G605" s="3" t="s">
        <v>1140</v>
      </c>
      <c r="H605" s="4">
        <f>IF(DATEDIF(L605,S605,"m")&gt;12,DATEDIF(L605,S605,"y"),(DATEDIF(L605,S605,"m")/12))</f>
        <v>7</v>
      </c>
      <c r="I605" s="7">
        <f>DATEDIF(L605,S605,"M")</f>
        <v>94</v>
      </c>
      <c r="J605" s="7">
        <f>DATEDIF(L605,S605,"D")</f>
        <v>2873</v>
      </c>
      <c r="K605" s="3" t="s">
        <v>51</v>
      </c>
      <c r="L605" s="8">
        <v>42112</v>
      </c>
      <c r="M605" s="3" t="s">
        <v>45</v>
      </c>
      <c r="N605" s="3" t="s">
        <v>159</v>
      </c>
      <c r="O605" s="3" t="s">
        <v>52</v>
      </c>
      <c r="P605" s="3" t="s">
        <v>255</v>
      </c>
      <c r="Q605" s="7">
        <v>1</v>
      </c>
      <c r="R605" s="8">
        <v>44986</v>
      </c>
      <c r="S605" s="8">
        <v>44985</v>
      </c>
      <c r="T605" s="3" t="s">
        <v>54</v>
      </c>
      <c r="U605" s="3" t="s">
        <v>55</v>
      </c>
      <c r="V605" s="9"/>
      <c r="W605" s="10">
        <v>44988</v>
      </c>
      <c r="X605" s="7">
        <v>2</v>
      </c>
      <c r="Y605" s="7">
        <v>1</v>
      </c>
      <c r="Z605" s="7">
        <v>2</v>
      </c>
      <c r="AA605" s="7">
        <f>INT((S605-DATE(YEAR(S605-WEEKDAY(S605-0)+4),1,4)+WEEKDAY(DATE(YEAR(S605-WEEKDAY(S605-0)+4),1,4))+6)/7)</f>
        <v>9</v>
      </c>
      <c r="AB605" s="3" t="s">
        <v>1141</v>
      </c>
      <c r="AC605" s="7">
        <v>705</v>
      </c>
      <c r="AD605" s="7">
        <v>0</v>
      </c>
      <c r="AE605" s="7">
        <v>1</v>
      </c>
      <c r="AF605" s="3" t="s">
        <v>48</v>
      </c>
      <c r="AG605" s="7">
        <v>2023</v>
      </c>
      <c r="AH605" s="3" t="s">
        <v>76</v>
      </c>
      <c r="AI605" s="3" t="s">
        <v>77</v>
      </c>
      <c r="AJ605" s="3" t="s">
        <v>78</v>
      </c>
      <c r="AK605" s="3" t="s">
        <v>162</v>
      </c>
      <c r="AL605" s="3" t="s">
        <v>59</v>
      </c>
      <c r="AM605" s="3" t="s">
        <v>60</v>
      </c>
      <c r="AN605" s="3" t="s">
        <v>61</v>
      </c>
      <c r="AO605" s="3" t="s">
        <v>62</v>
      </c>
      <c r="AP605" s="3" t="s">
        <v>69</v>
      </c>
      <c r="AQ605" s="3" t="s">
        <v>61</v>
      </c>
      <c r="AR605" s="3" t="s">
        <v>48</v>
      </c>
    </row>
    <row r="606" spans="1:44" ht="30" customHeight="1">
      <c r="A606" s="3" t="s">
        <v>44</v>
      </c>
      <c r="B606" s="3" t="s">
        <v>45</v>
      </c>
      <c r="C606" s="3" t="s">
        <v>80</v>
      </c>
      <c r="D606" s="3" t="s">
        <v>81</v>
      </c>
      <c r="E606" s="3" t="s">
        <v>48</v>
      </c>
      <c r="F606" s="3" t="s">
        <v>81</v>
      </c>
      <c r="G606" s="3" t="s">
        <v>1160</v>
      </c>
      <c r="H606" s="4">
        <f>IF(DATEDIF(L606,S606,"m")&gt;12,DATEDIF(L606,S606,"y"),(DATEDIF(L606,S606,"m")/12))</f>
        <v>46</v>
      </c>
      <c r="I606" s="7">
        <f>DATEDIF(L606,S606,"M")</f>
        <v>559</v>
      </c>
      <c r="J606" s="7">
        <f>DATEDIF(L606,S606,"D")</f>
        <v>17035</v>
      </c>
      <c r="K606" s="3" t="s">
        <v>64</v>
      </c>
      <c r="L606" s="8">
        <v>27948</v>
      </c>
      <c r="M606" s="3" t="s">
        <v>45</v>
      </c>
      <c r="N606" s="3" t="s">
        <v>159</v>
      </c>
      <c r="O606" s="3" t="s">
        <v>52</v>
      </c>
      <c r="P606" s="3" t="s">
        <v>169</v>
      </c>
      <c r="Q606" s="7">
        <v>1</v>
      </c>
      <c r="R606" s="8">
        <v>44985</v>
      </c>
      <c r="S606" s="8">
        <v>44983</v>
      </c>
      <c r="T606" s="3" t="s">
        <v>54</v>
      </c>
      <c r="U606" s="3" t="s">
        <v>55</v>
      </c>
      <c r="V606" s="9"/>
      <c r="W606" s="10">
        <v>44988</v>
      </c>
      <c r="X606" s="7">
        <v>3</v>
      </c>
      <c r="Y606" s="7">
        <v>2</v>
      </c>
      <c r="Z606" s="7">
        <v>2</v>
      </c>
      <c r="AA606" s="7">
        <f>INT((S606-DATE(YEAR(S606-WEEKDAY(S606-0)+4),1,4)+WEEKDAY(DATE(YEAR(S606-WEEKDAY(S606-0)+4),1,4))+6)/7)</f>
        <v>9</v>
      </c>
      <c r="AB606" s="3" t="s">
        <v>1161</v>
      </c>
      <c r="AC606" s="7">
        <v>14024</v>
      </c>
      <c r="AD606" s="7">
        <v>0</v>
      </c>
      <c r="AE606" s="7">
        <v>0</v>
      </c>
      <c r="AF606" s="3" t="s">
        <v>48</v>
      </c>
      <c r="AG606" s="7">
        <v>2023</v>
      </c>
      <c r="AH606" s="3" t="s">
        <v>86</v>
      </c>
      <c r="AI606" s="3" t="s">
        <v>48</v>
      </c>
      <c r="AJ606" s="3" t="s">
        <v>48</v>
      </c>
      <c r="AK606" s="3" t="s">
        <v>1026</v>
      </c>
      <c r="AL606" s="3" t="s">
        <v>59</v>
      </c>
      <c r="AM606" s="3" t="s">
        <v>60</v>
      </c>
      <c r="AN606" s="3" t="s">
        <v>61</v>
      </c>
      <c r="AO606" s="3" t="s">
        <v>62</v>
      </c>
      <c r="AP606" s="3" t="s">
        <v>69</v>
      </c>
      <c r="AQ606" s="3" t="s">
        <v>69</v>
      </c>
      <c r="AR606" s="3" t="s">
        <v>48</v>
      </c>
    </row>
    <row r="607" spans="1:44" ht="30" customHeight="1">
      <c r="A607" s="3" t="s">
        <v>44</v>
      </c>
      <c r="B607" s="3" t="s">
        <v>45</v>
      </c>
      <c r="C607" s="3" t="s">
        <v>46</v>
      </c>
      <c r="D607" s="3" t="s">
        <v>70</v>
      </c>
      <c r="E607" s="3" t="s">
        <v>48</v>
      </c>
      <c r="F607" s="3" t="s">
        <v>71</v>
      </c>
      <c r="G607" s="3" t="s">
        <v>1300</v>
      </c>
      <c r="H607" s="4">
        <f>IF(DATEDIF(L607,S607,"m")&gt;12,DATEDIF(L607,S607,"y"),(DATEDIF(L607,S607,"m")/12))</f>
        <v>22</v>
      </c>
      <c r="I607" s="7">
        <f>DATEDIF(L607,S607,"M")</f>
        <v>273</v>
      </c>
      <c r="J607" s="7">
        <f>DATEDIF(L607,S607,"D")</f>
        <v>8315</v>
      </c>
      <c r="K607" s="3" t="s">
        <v>64</v>
      </c>
      <c r="L607" s="8">
        <v>36668</v>
      </c>
      <c r="M607" s="3" t="s">
        <v>45</v>
      </c>
      <c r="N607" s="3" t="s">
        <v>90</v>
      </c>
      <c r="O607" s="3" t="s">
        <v>52</v>
      </c>
      <c r="P607" s="3" t="s">
        <v>84</v>
      </c>
      <c r="Q607" s="7">
        <v>1</v>
      </c>
      <c r="R607" s="8">
        <v>44984</v>
      </c>
      <c r="S607" s="8">
        <v>44983</v>
      </c>
      <c r="T607" s="3" t="s">
        <v>54</v>
      </c>
      <c r="U607" s="3" t="s">
        <v>55</v>
      </c>
      <c r="V607" s="9"/>
      <c r="W607" s="10">
        <v>44988</v>
      </c>
      <c r="X607" s="7">
        <v>4</v>
      </c>
      <c r="Y607" s="7">
        <v>1</v>
      </c>
      <c r="Z607" s="7">
        <v>2</v>
      </c>
      <c r="AA607" s="7">
        <f>INT((S607-DATE(YEAR(S607-WEEKDAY(S607-0)+4),1,4)+WEEKDAY(DATE(YEAR(S607-WEEKDAY(S607-0)+4),1,4))+6)/7)</f>
        <v>9</v>
      </c>
      <c r="AB607" s="3" t="s">
        <v>1301</v>
      </c>
      <c r="AC607" s="7">
        <v>694</v>
      </c>
      <c r="AD607" s="7">
        <v>0</v>
      </c>
      <c r="AE607" s="7">
        <v>1</v>
      </c>
      <c r="AF607" s="3" t="s">
        <v>48</v>
      </c>
      <c r="AG607" s="7">
        <v>2023</v>
      </c>
      <c r="AH607" s="3" t="s">
        <v>76</v>
      </c>
      <c r="AI607" s="3" t="s">
        <v>166</v>
      </c>
      <c r="AJ607" s="3" t="s">
        <v>78</v>
      </c>
      <c r="AK607" s="3" t="s">
        <v>346</v>
      </c>
      <c r="AL607" s="3" t="s">
        <v>59</v>
      </c>
      <c r="AM607" s="3" t="s">
        <v>60</v>
      </c>
      <c r="AN607" s="3" t="s">
        <v>61</v>
      </c>
      <c r="AO607" s="3" t="s">
        <v>62</v>
      </c>
      <c r="AP607" s="3" t="s">
        <v>69</v>
      </c>
      <c r="AQ607" s="3" t="s">
        <v>61</v>
      </c>
      <c r="AR607" s="3" t="s">
        <v>48</v>
      </c>
    </row>
    <row r="608" spans="1:44" ht="30" customHeight="1">
      <c r="A608" s="3" t="s">
        <v>44</v>
      </c>
      <c r="B608" s="3" t="s">
        <v>45</v>
      </c>
      <c r="C608" s="3" t="s">
        <v>46</v>
      </c>
      <c r="D608" s="3" t="s">
        <v>70</v>
      </c>
      <c r="E608" s="3" t="s">
        <v>48</v>
      </c>
      <c r="F608" s="3" t="s">
        <v>71</v>
      </c>
      <c r="G608" s="3" t="s">
        <v>1389</v>
      </c>
      <c r="H608" s="4">
        <f>IF(DATEDIF(L608,S608,"m")&gt;12,DATEDIF(L608,S608,"y"),(DATEDIF(L608,S608,"m")/12))</f>
        <v>55</v>
      </c>
      <c r="I608" s="7">
        <f>DATEDIF(L608,S608,"M")</f>
        <v>669</v>
      </c>
      <c r="J608" s="7">
        <f>DATEDIF(L608,S608,"D")</f>
        <v>20382</v>
      </c>
      <c r="K608" s="3" t="s">
        <v>64</v>
      </c>
      <c r="L608" s="8">
        <v>24600</v>
      </c>
      <c r="M608" s="3" t="s">
        <v>45</v>
      </c>
      <c r="N608" s="3" t="s">
        <v>159</v>
      </c>
      <c r="O608" s="3" t="s">
        <v>52</v>
      </c>
      <c r="P608" s="3" t="s">
        <v>84</v>
      </c>
      <c r="Q608" s="7">
        <v>1</v>
      </c>
      <c r="R608" s="8">
        <v>44983</v>
      </c>
      <c r="S608" s="8">
        <v>44982</v>
      </c>
      <c r="T608" s="3" t="s">
        <v>54</v>
      </c>
      <c r="U608" s="3" t="s">
        <v>55</v>
      </c>
      <c r="V608" s="9"/>
      <c r="W608" s="10">
        <v>44988</v>
      </c>
      <c r="X608" s="7">
        <v>5</v>
      </c>
      <c r="Y608" s="7">
        <v>1</v>
      </c>
      <c r="Z608" s="7">
        <v>2</v>
      </c>
      <c r="AA608" s="7">
        <f>INT((S608-DATE(YEAR(S608-WEEKDAY(S608-0)+4),1,4)+WEEKDAY(DATE(YEAR(S608-WEEKDAY(S608-0)+4),1,4))+6)/7)</f>
        <v>8</v>
      </c>
      <c r="AB608" s="3" t="s">
        <v>1390</v>
      </c>
      <c r="AC608" s="7">
        <v>692</v>
      </c>
      <c r="AD608" s="7">
        <v>0</v>
      </c>
      <c r="AE608" s="7">
        <v>1</v>
      </c>
      <c r="AF608" s="3" t="s">
        <v>48</v>
      </c>
      <c r="AG608" s="7">
        <v>2023</v>
      </c>
      <c r="AH608" s="3" t="s">
        <v>76</v>
      </c>
      <c r="AI608" s="3" t="s">
        <v>77</v>
      </c>
      <c r="AJ608" s="3" t="s">
        <v>78</v>
      </c>
      <c r="AK608" s="3" t="s">
        <v>619</v>
      </c>
      <c r="AL608" s="3" t="s">
        <v>59</v>
      </c>
      <c r="AM608" s="3" t="s">
        <v>60</v>
      </c>
      <c r="AN608" s="3" t="s">
        <v>61</v>
      </c>
      <c r="AO608" s="3" t="s">
        <v>62</v>
      </c>
      <c r="AP608" s="3" t="s">
        <v>69</v>
      </c>
      <c r="AQ608" s="3" t="s">
        <v>61</v>
      </c>
      <c r="AR608" s="3" t="s">
        <v>48</v>
      </c>
    </row>
    <row r="609" spans="1:44" ht="30" customHeight="1">
      <c r="A609" s="3" t="s">
        <v>44</v>
      </c>
      <c r="B609" s="3" t="s">
        <v>45</v>
      </c>
      <c r="C609" s="3" t="s">
        <v>46</v>
      </c>
      <c r="D609" s="3" t="s">
        <v>100</v>
      </c>
      <c r="E609" s="3" t="s">
        <v>48</v>
      </c>
      <c r="F609" s="3" t="s">
        <v>101</v>
      </c>
      <c r="G609" s="3" t="s">
        <v>1514</v>
      </c>
      <c r="H609" s="4">
        <f>IF(DATEDIF(L609,S609,"m")&gt;12,DATEDIF(L609,S609,"y"),(DATEDIF(L609,S609,"m")/12))</f>
        <v>2</v>
      </c>
      <c r="I609" s="7">
        <f>DATEDIF(L609,S609,"M")</f>
        <v>32</v>
      </c>
      <c r="J609" s="7">
        <f>DATEDIF(L609,S609,"D")</f>
        <v>976</v>
      </c>
      <c r="K609" s="3" t="s">
        <v>51</v>
      </c>
      <c r="L609" s="8">
        <v>44001</v>
      </c>
      <c r="M609" s="3" t="s">
        <v>45</v>
      </c>
      <c r="N609" s="3" t="s">
        <v>65</v>
      </c>
      <c r="O609" s="3" t="s">
        <v>52</v>
      </c>
      <c r="P609" s="3" t="s">
        <v>91</v>
      </c>
      <c r="Q609" s="7">
        <v>0</v>
      </c>
      <c r="R609" s="8">
        <v>44984</v>
      </c>
      <c r="S609" s="8">
        <v>44977</v>
      </c>
      <c r="T609" s="3" t="s">
        <v>54</v>
      </c>
      <c r="U609" s="3" t="s">
        <v>55</v>
      </c>
      <c r="V609" s="9"/>
      <c r="W609" s="10">
        <v>44988</v>
      </c>
      <c r="X609" s="7">
        <v>4</v>
      </c>
      <c r="Y609" s="7">
        <v>7</v>
      </c>
      <c r="Z609" s="7">
        <v>2</v>
      </c>
      <c r="AA609" s="7">
        <f>INT((S609-DATE(YEAR(S609-WEEKDAY(S609-0)+4),1,4)+WEEKDAY(DATE(YEAR(S609-WEEKDAY(S609-0)+4),1,4))+6)/7)</f>
        <v>8</v>
      </c>
      <c r="AB609" s="3" t="s">
        <v>1515</v>
      </c>
      <c r="AC609" s="7">
        <v>63</v>
      </c>
      <c r="AD609" s="7">
        <v>0</v>
      </c>
      <c r="AE609" s="7">
        <v>0</v>
      </c>
      <c r="AF609" s="3" t="s">
        <v>48</v>
      </c>
      <c r="AG609" s="7">
        <v>2023</v>
      </c>
      <c r="AH609" s="3" t="s">
        <v>105</v>
      </c>
      <c r="AI609" s="3" t="s">
        <v>106</v>
      </c>
      <c r="AJ609" s="3" t="s">
        <v>48</v>
      </c>
      <c r="AK609" s="3" t="s">
        <v>590</v>
      </c>
      <c r="AL609" s="3" t="s">
        <v>59</v>
      </c>
      <c r="AM609" s="3" t="s">
        <v>99</v>
      </c>
      <c r="AN609" s="3" t="s">
        <v>61</v>
      </c>
      <c r="AO609" s="3" t="s">
        <v>62</v>
      </c>
      <c r="AP609" s="3" t="s">
        <v>69</v>
      </c>
      <c r="AQ609" s="3" t="s">
        <v>61</v>
      </c>
      <c r="AR609" s="3" t="s">
        <v>48</v>
      </c>
    </row>
    <row r="610" spans="1:44" ht="30" customHeight="1">
      <c r="A610" s="3" t="s">
        <v>44</v>
      </c>
      <c r="B610" s="3" t="s">
        <v>45</v>
      </c>
      <c r="C610" s="3" t="s">
        <v>46</v>
      </c>
      <c r="D610" s="3" t="s">
        <v>47</v>
      </c>
      <c r="E610" s="3" t="s">
        <v>48</v>
      </c>
      <c r="F610" s="3" t="s">
        <v>49</v>
      </c>
      <c r="G610" s="3" t="s">
        <v>1522</v>
      </c>
      <c r="H610" s="4">
        <f>IF(DATEDIF(L610,S610,"m")&gt;12,DATEDIF(L610,S610,"y"),(DATEDIF(L610,S610,"m")/12))</f>
        <v>24</v>
      </c>
      <c r="I610" s="7">
        <f>DATEDIF(L610,S610,"M")</f>
        <v>290</v>
      </c>
      <c r="J610" s="7">
        <f>DATEDIF(L610,S610,"D")</f>
        <v>8836</v>
      </c>
      <c r="K610" s="3" t="s">
        <v>51</v>
      </c>
      <c r="L610" s="8">
        <v>36147</v>
      </c>
      <c r="M610" s="3" t="s">
        <v>45</v>
      </c>
      <c r="N610" s="3" t="s">
        <v>49</v>
      </c>
      <c r="O610" s="3" t="s">
        <v>52</v>
      </c>
      <c r="P610" s="3" t="s">
        <v>1523</v>
      </c>
      <c r="Q610" s="7">
        <v>0</v>
      </c>
      <c r="R610" s="8">
        <v>44985</v>
      </c>
      <c r="S610" s="8">
        <v>44983</v>
      </c>
      <c r="T610" s="3" t="s">
        <v>54</v>
      </c>
      <c r="U610" s="3" t="s">
        <v>55</v>
      </c>
      <c r="V610" s="9"/>
      <c r="W610" s="10">
        <v>44988</v>
      </c>
      <c r="X610" s="7">
        <v>3</v>
      </c>
      <c r="Y610" s="7">
        <v>2</v>
      </c>
      <c r="Z610" s="7">
        <v>2</v>
      </c>
      <c r="AA610" s="7">
        <f>INT((S610-DATE(YEAR(S610-WEEKDAY(S610-0)+4),1,4)+WEEKDAY(DATE(YEAR(S610-WEEKDAY(S610-0)+4),1,4))+6)/7)</f>
        <v>9</v>
      </c>
      <c r="AB610" s="3" t="s">
        <v>1524</v>
      </c>
      <c r="AC610" s="7">
        <v>72</v>
      </c>
      <c r="AD610" s="7">
        <v>0</v>
      </c>
      <c r="AE610" s="7">
        <v>0</v>
      </c>
      <c r="AF610" s="3" t="s">
        <v>48</v>
      </c>
      <c r="AG610" s="7">
        <v>2023</v>
      </c>
      <c r="AH610" s="3" t="s">
        <v>57</v>
      </c>
      <c r="AI610" s="3" t="s">
        <v>48</v>
      </c>
      <c r="AJ610" s="3" t="s">
        <v>48</v>
      </c>
      <c r="AK610" s="3" t="s">
        <v>362</v>
      </c>
      <c r="AL610" s="3" t="s">
        <v>59</v>
      </c>
      <c r="AM610" s="3" t="s">
        <v>60</v>
      </c>
      <c r="AN610" s="3" t="s">
        <v>61</v>
      </c>
      <c r="AO610" s="3" t="s">
        <v>62</v>
      </c>
      <c r="AP610" s="3" t="s">
        <v>69</v>
      </c>
      <c r="AQ610" s="3" t="s">
        <v>61</v>
      </c>
      <c r="AR610" s="3" t="s">
        <v>48</v>
      </c>
    </row>
    <row r="611" spans="1:44" ht="30" customHeight="1">
      <c r="A611" s="3" t="s">
        <v>44</v>
      </c>
      <c r="B611" s="3" t="s">
        <v>45</v>
      </c>
      <c r="C611" s="3" t="s">
        <v>46</v>
      </c>
      <c r="D611" s="3" t="s">
        <v>70</v>
      </c>
      <c r="E611" s="3" t="s">
        <v>48</v>
      </c>
      <c r="F611" s="3" t="s">
        <v>71</v>
      </c>
      <c r="G611" s="3" t="s">
        <v>1599</v>
      </c>
      <c r="H611" s="4">
        <f>IF(DATEDIF(L611,S611,"m")&gt;12,DATEDIF(L611,S611,"y"),(DATEDIF(L611,S611,"m")/12))</f>
        <v>1</v>
      </c>
      <c r="I611" s="7">
        <f>DATEDIF(L611,S611,"M")</f>
        <v>18</v>
      </c>
      <c r="J611" s="7">
        <f>DATEDIF(L611,S611,"D")</f>
        <v>557</v>
      </c>
      <c r="K611" s="3" t="s">
        <v>64</v>
      </c>
      <c r="L611" s="8">
        <v>44426</v>
      </c>
      <c r="M611" s="3" t="s">
        <v>45</v>
      </c>
      <c r="N611" s="3" t="s">
        <v>65</v>
      </c>
      <c r="O611" s="3" t="s">
        <v>52</v>
      </c>
      <c r="P611" s="3" t="s">
        <v>255</v>
      </c>
      <c r="Q611" s="7">
        <v>1</v>
      </c>
      <c r="R611" s="8">
        <v>44984</v>
      </c>
      <c r="S611" s="8">
        <v>44983</v>
      </c>
      <c r="T611" s="3" t="s">
        <v>54</v>
      </c>
      <c r="U611" s="3" t="s">
        <v>55</v>
      </c>
      <c r="V611" s="9"/>
      <c r="W611" s="10">
        <v>44988</v>
      </c>
      <c r="X611" s="7">
        <v>4</v>
      </c>
      <c r="Y611" s="7">
        <v>1</v>
      </c>
      <c r="Z611" s="7">
        <v>2</v>
      </c>
      <c r="AA611" s="7">
        <f>INT((S611-DATE(YEAR(S611-WEEKDAY(S611-0)+4),1,4)+WEEKDAY(DATE(YEAR(S611-WEEKDAY(S611-0)+4),1,4))+6)/7)</f>
        <v>9</v>
      </c>
      <c r="AB611" s="3" t="s">
        <v>1600</v>
      </c>
      <c r="AC611" s="7">
        <v>693</v>
      </c>
      <c r="AD611" s="7">
        <v>0</v>
      </c>
      <c r="AE611" s="7">
        <v>1</v>
      </c>
      <c r="AF611" s="3" t="s">
        <v>48</v>
      </c>
      <c r="AG611" s="7">
        <v>2023</v>
      </c>
      <c r="AH611" s="3" t="s">
        <v>76</v>
      </c>
      <c r="AI611" s="3" t="s">
        <v>166</v>
      </c>
      <c r="AJ611" s="3" t="s">
        <v>78</v>
      </c>
      <c r="AK611" s="3" t="s">
        <v>253</v>
      </c>
      <c r="AL611" s="3" t="s">
        <v>59</v>
      </c>
      <c r="AM611" s="3" t="s">
        <v>60</v>
      </c>
      <c r="AN611" s="3" t="s">
        <v>61</v>
      </c>
      <c r="AO611" s="3" t="s">
        <v>62</v>
      </c>
      <c r="AP611" s="3" t="s">
        <v>69</v>
      </c>
      <c r="AQ611" s="3" t="s">
        <v>61</v>
      </c>
      <c r="AR611" s="3" t="s">
        <v>48</v>
      </c>
    </row>
    <row r="612" spans="1:44" ht="30" customHeight="1">
      <c r="A612" s="3" t="s">
        <v>44</v>
      </c>
      <c r="B612" s="3" t="s">
        <v>45</v>
      </c>
      <c r="C612" s="3" t="s">
        <v>46</v>
      </c>
      <c r="D612" s="3" t="s">
        <v>47</v>
      </c>
      <c r="E612" s="3" t="s">
        <v>48</v>
      </c>
      <c r="F612" s="3" t="s">
        <v>49</v>
      </c>
      <c r="G612" s="3" t="s">
        <v>1601</v>
      </c>
      <c r="H612" s="4">
        <f>IF(DATEDIF(L612,S612,"m")&gt;12,DATEDIF(L612,S612,"y"),(DATEDIF(L612,S612,"m")/12))</f>
        <v>1</v>
      </c>
      <c r="I612" s="7">
        <f>DATEDIF(L612,S612,"M")</f>
        <v>14</v>
      </c>
      <c r="J612" s="7">
        <f>DATEDIF(L612,S612,"D")</f>
        <v>428</v>
      </c>
      <c r="K612" s="3" t="s">
        <v>64</v>
      </c>
      <c r="L612" s="8">
        <v>44557</v>
      </c>
      <c r="M612" s="3" t="s">
        <v>45</v>
      </c>
      <c r="N612" s="3" t="s">
        <v>49</v>
      </c>
      <c r="O612" s="3" t="s">
        <v>52</v>
      </c>
      <c r="P612" s="3" t="s">
        <v>1273</v>
      </c>
      <c r="Q612" s="7">
        <v>0</v>
      </c>
      <c r="R612" s="8">
        <v>44987</v>
      </c>
      <c r="S612" s="8">
        <v>44985</v>
      </c>
      <c r="T612" s="3" t="s">
        <v>54</v>
      </c>
      <c r="U612" s="3" t="s">
        <v>55</v>
      </c>
      <c r="V612" s="9"/>
      <c r="W612" s="10">
        <v>44988</v>
      </c>
      <c r="X612" s="7">
        <v>1</v>
      </c>
      <c r="Y612" s="7">
        <v>2</v>
      </c>
      <c r="Z612" s="7">
        <v>2</v>
      </c>
      <c r="AA612" s="7">
        <f>INT((S612-DATE(YEAR(S612-WEEKDAY(S612-0)+4),1,4)+WEEKDAY(DATE(YEAR(S612-WEEKDAY(S612-0)+4),1,4))+6)/7)</f>
        <v>9</v>
      </c>
      <c r="AB612" s="3" t="s">
        <v>1602</v>
      </c>
      <c r="AC612" s="7">
        <v>81</v>
      </c>
      <c r="AD612" s="7">
        <v>0</v>
      </c>
      <c r="AE612" s="7">
        <v>0</v>
      </c>
      <c r="AF612" s="3" t="s">
        <v>48</v>
      </c>
      <c r="AG612" s="7">
        <v>2023</v>
      </c>
      <c r="AH612" s="3" t="s">
        <v>57</v>
      </c>
      <c r="AI612" s="3" t="s">
        <v>48</v>
      </c>
      <c r="AJ612" s="3" t="s">
        <v>48</v>
      </c>
      <c r="AK612" s="3" t="s">
        <v>58</v>
      </c>
      <c r="AL612" s="3" t="s">
        <v>59</v>
      </c>
      <c r="AM612" s="3" t="s">
        <v>60</v>
      </c>
      <c r="AN612" s="3" t="s">
        <v>61</v>
      </c>
      <c r="AO612" s="3" t="s">
        <v>62</v>
      </c>
      <c r="AP612" s="3" t="s">
        <v>69</v>
      </c>
      <c r="AQ612" s="3" t="s">
        <v>61</v>
      </c>
      <c r="AR612" s="3" t="s">
        <v>48</v>
      </c>
    </row>
    <row r="613" spans="1:44" ht="30" customHeight="1">
      <c r="A613" s="3" t="s">
        <v>44</v>
      </c>
      <c r="B613" s="3" t="s">
        <v>45</v>
      </c>
      <c r="C613" s="3" t="s">
        <v>46</v>
      </c>
      <c r="D613" s="3" t="s">
        <v>70</v>
      </c>
      <c r="E613" s="3" t="s">
        <v>48</v>
      </c>
      <c r="F613" s="3" t="s">
        <v>71</v>
      </c>
      <c r="G613" s="3" t="s">
        <v>1693</v>
      </c>
      <c r="H613" s="4">
        <f>IF(DATEDIF(L613,S613,"m")&gt;12,DATEDIF(L613,S613,"y"),(DATEDIF(L613,S613,"m")/12))</f>
        <v>5</v>
      </c>
      <c r="I613" s="7">
        <f>DATEDIF(L613,S613,"M")</f>
        <v>71</v>
      </c>
      <c r="J613" s="7">
        <f>DATEDIF(L613,S613,"D")</f>
        <v>2179</v>
      </c>
      <c r="K613" s="3" t="s">
        <v>64</v>
      </c>
      <c r="L613" s="8">
        <v>42805</v>
      </c>
      <c r="M613" s="3" t="s">
        <v>45</v>
      </c>
      <c r="N613" s="3" t="s">
        <v>159</v>
      </c>
      <c r="O613" s="3" t="s">
        <v>52</v>
      </c>
      <c r="P613" s="3" t="s">
        <v>156</v>
      </c>
      <c r="Q613" s="7">
        <v>1</v>
      </c>
      <c r="R613" s="8">
        <v>44985</v>
      </c>
      <c r="S613" s="8">
        <v>44984</v>
      </c>
      <c r="T613" s="3" t="s">
        <v>54</v>
      </c>
      <c r="U613" s="3" t="s">
        <v>55</v>
      </c>
      <c r="V613" s="9"/>
      <c r="W613" s="10">
        <v>44988</v>
      </c>
      <c r="X613" s="7">
        <v>3</v>
      </c>
      <c r="Y613" s="7">
        <v>1</v>
      </c>
      <c r="Z613" s="7">
        <v>2</v>
      </c>
      <c r="AA613" s="7">
        <f>INT((S613-DATE(YEAR(S613-WEEKDAY(S613-0)+4),1,4)+WEEKDAY(DATE(YEAR(S613-WEEKDAY(S613-0)+4),1,4))+6)/7)</f>
        <v>9</v>
      </c>
      <c r="AB613" s="3" t="s">
        <v>1694</v>
      </c>
      <c r="AC613" s="7">
        <v>701</v>
      </c>
      <c r="AD613" s="7">
        <v>0</v>
      </c>
      <c r="AE613" s="7">
        <v>1</v>
      </c>
      <c r="AF613" s="3" t="s">
        <v>48</v>
      </c>
      <c r="AG613" s="7">
        <v>2023</v>
      </c>
      <c r="AH613" s="3" t="s">
        <v>76</v>
      </c>
      <c r="AI613" s="3" t="s">
        <v>166</v>
      </c>
      <c r="AJ613" s="3" t="s">
        <v>78</v>
      </c>
      <c r="AK613" s="3" t="s">
        <v>1553</v>
      </c>
      <c r="AL613" s="3" t="s">
        <v>59</v>
      </c>
      <c r="AM613" s="3" t="s">
        <v>60</v>
      </c>
      <c r="AN613" s="3" t="s">
        <v>61</v>
      </c>
      <c r="AO613" s="3" t="s">
        <v>62</v>
      </c>
      <c r="AP613" s="3" t="s">
        <v>69</v>
      </c>
      <c r="AQ613" s="3" t="s">
        <v>61</v>
      </c>
      <c r="AR613" s="3" t="s">
        <v>48</v>
      </c>
    </row>
    <row r="614" spans="1:44" ht="30" customHeight="1">
      <c r="A614" s="3" t="s">
        <v>44</v>
      </c>
      <c r="B614" s="3" t="s">
        <v>45</v>
      </c>
      <c r="C614" s="3" t="s">
        <v>46</v>
      </c>
      <c r="D614" s="3" t="s">
        <v>70</v>
      </c>
      <c r="E614" s="3" t="s">
        <v>48</v>
      </c>
      <c r="F614" s="3" t="s">
        <v>71</v>
      </c>
      <c r="G614" s="3" t="s">
        <v>1837</v>
      </c>
      <c r="H614" s="4">
        <f>IF(DATEDIF(L614,S614,"m")&gt;12,DATEDIF(L614,S614,"y"),(DATEDIF(L614,S614,"m")/12))</f>
        <v>2</v>
      </c>
      <c r="I614" s="7">
        <f>DATEDIF(L614,S614,"M")</f>
        <v>26</v>
      </c>
      <c r="J614" s="7">
        <f>DATEDIF(L614,S614,"D")</f>
        <v>807</v>
      </c>
      <c r="K614" s="3" t="s">
        <v>51</v>
      </c>
      <c r="L614" s="8">
        <v>44179</v>
      </c>
      <c r="M614" s="3" t="s">
        <v>45</v>
      </c>
      <c r="N614" s="3" t="s">
        <v>159</v>
      </c>
      <c r="O614" s="3" t="s">
        <v>52</v>
      </c>
      <c r="P614" s="3" t="s">
        <v>84</v>
      </c>
      <c r="Q614" s="7">
        <v>1</v>
      </c>
      <c r="R614" s="8">
        <v>44987</v>
      </c>
      <c r="S614" s="8">
        <v>44986</v>
      </c>
      <c r="T614" s="3" t="s">
        <v>54</v>
      </c>
      <c r="U614" s="3" t="s">
        <v>55</v>
      </c>
      <c r="V614" s="9"/>
      <c r="W614" s="10">
        <v>44988</v>
      </c>
      <c r="X614" s="7">
        <v>1</v>
      </c>
      <c r="Y614" s="7">
        <v>1</v>
      </c>
      <c r="Z614" s="7">
        <v>3</v>
      </c>
      <c r="AA614" s="7">
        <f>INT((S614-DATE(YEAR(S614-WEEKDAY(S614-0)+4),1,4)+WEEKDAY(DATE(YEAR(S614-WEEKDAY(S614-0)+4),1,4))+6)/7)</f>
        <v>9</v>
      </c>
      <c r="AB614" s="3" t="s">
        <v>1838</v>
      </c>
      <c r="AC614" s="7">
        <v>706</v>
      </c>
      <c r="AD614" s="7">
        <v>0</v>
      </c>
      <c r="AE614" s="7">
        <v>1</v>
      </c>
      <c r="AF614" s="3" t="s">
        <v>48</v>
      </c>
      <c r="AG614" s="7">
        <v>2023</v>
      </c>
      <c r="AH614" s="3" t="s">
        <v>76</v>
      </c>
      <c r="AI614" s="3" t="s">
        <v>77</v>
      </c>
      <c r="AJ614" s="3" t="s">
        <v>78</v>
      </c>
      <c r="AK614" s="3" t="s">
        <v>1839</v>
      </c>
      <c r="AL614" s="3" t="s">
        <v>59</v>
      </c>
      <c r="AM614" s="3" t="s">
        <v>60</v>
      </c>
      <c r="AN614" s="3" t="s">
        <v>61</v>
      </c>
      <c r="AO614" s="3" t="s">
        <v>62</v>
      </c>
      <c r="AP614" s="3" t="s">
        <v>69</v>
      </c>
      <c r="AQ614" s="3" t="s">
        <v>69</v>
      </c>
      <c r="AR614" s="3" t="s">
        <v>48</v>
      </c>
    </row>
    <row r="615" spans="1:44" ht="30" customHeight="1">
      <c r="A615" s="3" t="s">
        <v>44</v>
      </c>
      <c r="B615" s="3" t="s">
        <v>45</v>
      </c>
      <c r="C615" s="3" t="s">
        <v>46</v>
      </c>
      <c r="D615" s="3" t="s">
        <v>47</v>
      </c>
      <c r="E615" s="3" t="s">
        <v>48</v>
      </c>
      <c r="F615" s="3" t="s">
        <v>49</v>
      </c>
      <c r="G615" s="3" t="s">
        <v>1868</v>
      </c>
      <c r="H615" s="4">
        <f>IF(DATEDIF(L615,S615,"m")&gt;12,DATEDIF(L615,S615,"y"),(DATEDIF(L615,S615,"m")/12))</f>
        <v>8</v>
      </c>
      <c r="I615" s="7">
        <f>DATEDIF(L615,S615,"M")</f>
        <v>98</v>
      </c>
      <c r="J615" s="7">
        <f>DATEDIF(L615,S615,"D")</f>
        <v>2990</v>
      </c>
      <c r="K615" s="3" t="s">
        <v>64</v>
      </c>
      <c r="L615" s="8">
        <v>41990</v>
      </c>
      <c r="M615" s="3" t="s">
        <v>45</v>
      </c>
      <c r="N615" s="3" t="s">
        <v>49</v>
      </c>
      <c r="O615" s="3" t="s">
        <v>52</v>
      </c>
      <c r="P615" s="3" t="s">
        <v>1869</v>
      </c>
      <c r="Q615" s="7">
        <v>0</v>
      </c>
      <c r="R615" s="8">
        <v>44987</v>
      </c>
      <c r="S615" s="8">
        <v>44980</v>
      </c>
      <c r="T615" s="3" t="s">
        <v>54</v>
      </c>
      <c r="U615" s="3" t="s">
        <v>55</v>
      </c>
      <c r="V615" s="9"/>
      <c r="W615" s="10">
        <v>44988</v>
      </c>
      <c r="X615" s="7">
        <v>1</v>
      </c>
      <c r="Y615" s="7">
        <v>7</v>
      </c>
      <c r="Z615" s="7">
        <v>2</v>
      </c>
      <c r="AA615" s="7">
        <f>INT((S615-DATE(YEAR(S615-WEEKDAY(S615-0)+4),1,4)+WEEKDAY(DATE(YEAR(S615-WEEKDAY(S615-0)+4),1,4))+6)/7)</f>
        <v>8</v>
      </c>
      <c r="AB615" s="3" t="s">
        <v>1870</v>
      </c>
      <c r="AC615" s="7">
        <v>79</v>
      </c>
      <c r="AD615" s="7">
        <v>0</v>
      </c>
      <c r="AE615" s="7">
        <v>0</v>
      </c>
      <c r="AF615" s="3" t="s">
        <v>48</v>
      </c>
      <c r="AG615" s="7">
        <v>2023</v>
      </c>
      <c r="AH615" s="3" t="s">
        <v>57</v>
      </c>
      <c r="AI615" s="3" t="s">
        <v>48</v>
      </c>
      <c r="AJ615" s="3" t="s">
        <v>48</v>
      </c>
      <c r="AK615" s="3" t="s">
        <v>58</v>
      </c>
      <c r="AL615" s="3" t="s">
        <v>59</v>
      </c>
      <c r="AM615" s="3" t="s">
        <v>60</v>
      </c>
      <c r="AN615" s="3" t="s">
        <v>61</v>
      </c>
      <c r="AO615" s="3" t="s">
        <v>62</v>
      </c>
      <c r="AP615" s="3" t="s">
        <v>69</v>
      </c>
      <c r="AQ615" s="3" t="s">
        <v>61</v>
      </c>
      <c r="AR615" s="3" t="s">
        <v>48</v>
      </c>
    </row>
    <row r="616" spans="1:44" ht="30" customHeight="1">
      <c r="A616" s="3" t="s">
        <v>44</v>
      </c>
      <c r="B616" s="3" t="s">
        <v>45</v>
      </c>
      <c r="C616" s="3" t="s">
        <v>46</v>
      </c>
      <c r="D616" s="3" t="s">
        <v>70</v>
      </c>
      <c r="E616" s="3" t="s">
        <v>48</v>
      </c>
      <c r="F616" s="3" t="s">
        <v>71</v>
      </c>
      <c r="G616" s="3" t="s">
        <v>1986</v>
      </c>
      <c r="H616" s="4">
        <f>IF(DATEDIF(L616,S616,"m")&gt;12,DATEDIF(L616,S616,"y"),(DATEDIF(L616,S616,"m")/12))</f>
        <v>5</v>
      </c>
      <c r="I616" s="7">
        <f>DATEDIF(L616,S616,"M")</f>
        <v>71</v>
      </c>
      <c r="J616" s="7">
        <f>DATEDIF(L616,S616,"D")</f>
        <v>2179</v>
      </c>
      <c r="K616" s="3" t="s">
        <v>64</v>
      </c>
      <c r="L616" s="8">
        <v>42805</v>
      </c>
      <c r="M616" s="3" t="s">
        <v>45</v>
      </c>
      <c r="N616" s="3" t="s">
        <v>65</v>
      </c>
      <c r="O616" s="3" t="s">
        <v>52</v>
      </c>
      <c r="P616" s="3" t="s">
        <v>1987</v>
      </c>
      <c r="Q616" s="7">
        <v>1</v>
      </c>
      <c r="R616" s="8">
        <v>44985</v>
      </c>
      <c r="S616" s="8">
        <v>44984</v>
      </c>
      <c r="T616" s="3" t="s">
        <v>54</v>
      </c>
      <c r="U616" s="3" t="s">
        <v>55</v>
      </c>
      <c r="V616" s="9"/>
      <c r="W616" s="10">
        <v>44988</v>
      </c>
      <c r="X616" s="7">
        <v>3</v>
      </c>
      <c r="Y616" s="7">
        <v>1</v>
      </c>
      <c r="Z616" s="7">
        <v>2</v>
      </c>
      <c r="AA616" s="7">
        <f>INT((S616-DATE(YEAR(S616-WEEKDAY(S616-0)+4),1,4)+WEEKDAY(DATE(YEAR(S616-WEEKDAY(S616-0)+4),1,4))+6)/7)</f>
        <v>9</v>
      </c>
      <c r="AB616" s="3" t="s">
        <v>1988</v>
      </c>
      <c r="AC616" s="7">
        <v>700</v>
      </c>
      <c r="AD616" s="7">
        <v>0</v>
      </c>
      <c r="AE616" s="7">
        <v>1</v>
      </c>
      <c r="AF616" s="3" t="s">
        <v>48</v>
      </c>
      <c r="AG616" s="7">
        <v>2023</v>
      </c>
      <c r="AH616" s="3" t="s">
        <v>76</v>
      </c>
      <c r="AI616" s="3" t="s">
        <v>77</v>
      </c>
      <c r="AJ616" s="3" t="s">
        <v>78</v>
      </c>
      <c r="AK616" s="3" t="s">
        <v>704</v>
      </c>
      <c r="AL616" s="3" t="s">
        <v>59</v>
      </c>
      <c r="AM616" s="3" t="s">
        <v>60</v>
      </c>
      <c r="AN616" s="3" t="s">
        <v>61</v>
      </c>
      <c r="AO616" s="3" t="s">
        <v>62</v>
      </c>
      <c r="AP616" s="3" t="s">
        <v>69</v>
      </c>
      <c r="AQ616" s="3" t="s">
        <v>61</v>
      </c>
      <c r="AR616" s="3" t="s">
        <v>48</v>
      </c>
    </row>
    <row r="617" spans="1:44" ht="30" customHeight="1">
      <c r="A617" s="3" t="s">
        <v>44</v>
      </c>
      <c r="B617" s="3" t="s">
        <v>45</v>
      </c>
      <c r="C617" s="3" t="s">
        <v>46</v>
      </c>
      <c r="D617" s="3" t="s">
        <v>100</v>
      </c>
      <c r="E617" s="3" t="s">
        <v>48</v>
      </c>
      <c r="F617" s="3" t="s">
        <v>101</v>
      </c>
      <c r="G617" s="3" t="s">
        <v>2003</v>
      </c>
      <c r="H617" s="5">
        <f>IF(DATEDIF(L617,S617,"m")&gt;12,DATEDIF(L617,S617,"y"),(DATEDIF(L617,S617,"m")/12))</f>
        <v>0.41666666666666669</v>
      </c>
      <c r="I617" s="7">
        <f>DATEDIF(L617,S617,"M")</f>
        <v>5</v>
      </c>
      <c r="J617" s="7">
        <f>DATEDIF(L617,S617,"D")</f>
        <v>174</v>
      </c>
      <c r="K617" s="3" t="s">
        <v>64</v>
      </c>
      <c r="L617" s="8">
        <v>44808</v>
      </c>
      <c r="M617" s="3" t="s">
        <v>45</v>
      </c>
      <c r="N617" s="3" t="s">
        <v>101</v>
      </c>
      <c r="O617" s="3" t="s">
        <v>52</v>
      </c>
      <c r="P617" s="3" t="s">
        <v>137</v>
      </c>
      <c r="Q617" s="7">
        <v>0</v>
      </c>
      <c r="R617" s="8">
        <v>44984</v>
      </c>
      <c r="S617" s="8">
        <v>44982</v>
      </c>
      <c r="T617" s="3" t="s">
        <v>54</v>
      </c>
      <c r="U617" s="3" t="s">
        <v>55</v>
      </c>
      <c r="V617" s="9"/>
      <c r="W617" s="10">
        <v>44988</v>
      </c>
      <c r="X617" s="7">
        <v>4</v>
      </c>
      <c r="Y617" s="7">
        <v>2</v>
      </c>
      <c r="Z617" s="7">
        <v>2</v>
      </c>
      <c r="AA617" s="7">
        <f>INT((S617-DATE(YEAR(S617-WEEKDAY(S617-0)+4),1,4)+WEEKDAY(DATE(YEAR(S617-WEEKDAY(S617-0)+4),1,4))+6)/7)</f>
        <v>8</v>
      </c>
      <c r="AB617" s="3" t="s">
        <v>2004</v>
      </c>
      <c r="AC617" s="7">
        <v>68</v>
      </c>
      <c r="AD617" s="7">
        <v>0</v>
      </c>
      <c r="AE617" s="7">
        <v>0</v>
      </c>
      <c r="AF617" s="3" t="s">
        <v>48</v>
      </c>
      <c r="AG617" s="7">
        <v>2023</v>
      </c>
      <c r="AH617" s="3" t="s">
        <v>105</v>
      </c>
      <c r="AI617" s="3" t="s">
        <v>106</v>
      </c>
      <c r="AJ617" s="3" t="s">
        <v>48</v>
      </c>
      <c r="AK617" s="3" t="s">
        <v>107</v>
      </c>
      <c r="AL617" s="3" t="s">
        <v>59</v>
      </c>
      <c r="AM617" s="3" t="s">
        <v>99</v>
      </c>
      <c r="AN617" s="3" t="s">
        <v>61</v>
      </c>
      <c r="AO617" s="3" t="s">
        <v>62</v>
      </c>
      <c r="AP617" s="3" t="s">
        <v>69</v>
      </c>
      <c r="AQ617" s="3" t="s">
        <v>61</v>
      </c>
      <c r="AR617" s="3" t="s">
        <v>48</v>
      </c>
    </row>
    <row r="618" spans="1:44" ht="30" customHeight="1">
      <c r="A618" s="3" t="s">
        <v>44</v>
      </c>
      <c r="B618" s="3" t="s">
        <v>45</v>
      </c>
      <c r="C618" s="3" t="s">
        <v>80</v>
      </c>
      <c r="D618" s="3" t="s">
        <v>81</v>
      </c>
      <c r="E618" s="3" t="s">
        <v>48</v>
      </c>
      <c r="F618" s="3" t="s">
        <v>81</v>
      </c>
      <c r="G618" s="3" t="s">
        <v>2041</v>
      </c>
      <c r="H618" s="4">
        <f>IF(DATEDIF(L618,S618,"m")&gt;12,DATEDIF(L618,S618,"y"),(DATEDIF(L618,S618,"m")/12))</f>
        <v>30</v>
      </c>
      <c r="I618" s="7">
        <f>DATEDIF(L618,S618,"M")</f>
        <v>361</v>
      </c>
      <c r="J618" s="7">
        <f>DATEDIF(L618,S618,"D")</f>
        <v>11015</v>
      </c>
      <c r="K618" s="3" t="s">
        <v>64</v>
      </c>
      <c r="L618" s="8">
        <v>33967</v>
      </c>
      <c r="M618" s="3" t="s">
        <v>45</v>
      </c>
      <c r="N618" s="3" t="s">
        <v>65</v>
      </c>
      <c r="O618" s="3" t="s">
        <v>52</v>
      </c>
      <c r="P618" s="3" t="s">
        <v>237</v>
      </c>
      <c r="Q618" s="7">
        <v>1</v>
      </c>
      <c r="R618" s="8">
        <v>44986</v>
      </c>
      <c r="S618" s="8">
        <v>44982</v>
      </c>
      <c r="T618" s="3" t="s">
        <v>54</v>
      </c>
      <c r="U618" s="3" t="s">
        <v>55</v>
      </c>
      <c r="V618" s="9"/>
      <c r="W618" s="10">
        <v>44988</v>
      </c>
      <c r="X618" s="7">
        <v>2</v>
      </c>
      <c r="Y618" s="7">
        <v>4</v>
      </c>
      <c r="Z618" s="7">
        <v>2</v>
      </c>
      <c r="AA618" s="7">
        <f>INT((S618-DATE(YEAR(S618-WEEKDAY(S618-0)+4),1,4)+WEEKDAY(DATE(YEAR(S618-WEEKDAY(S618-0)+4),1,4))+6)/7)</f>
        <v>8</v>
      </c>
      <c r="AB618" s="3" t="s">
        <v>2042</v>
      </c>
      <c r="AC618" s="7">
        <v>14043</v>
      </c>
      <c r="AD618" s="7">
        <v>0</v>
      </c>
      <c r="AE618" s="7">
        <v>0</v>
      </c>
      <c r="AF618" s="3" t="s">
        <v>48</v>
      </c>
      <c r="AG618" s="7">
        <v>2023</v>
      </c>
      <c r="AH618" s="3" t="s">
        <v>86</v>
      </c>
      <c r="AI618" s="3" t="s">
        <v>48</v>
      </c>
      <c r="AJ618" s="3" t="s">
        <v>48</v>
      </c>
      <c r="AK618" s="3" t="s">
        <v>300</v>
      </c>
      <c r="AL618" s="3" t="s">
        <v>59</v>
      </c>
      <c r="AM618" s="3" t="s">
        <v>60</v>
      </c>
      <c r="AN618" s="3" t="s">
        <v>69</v>
      </c>
      <c r="AO618" s="3" t="s">
        <v>62</v>
      </c>
      <c r="AP618" s="3" t="s">
        <v>69</v>
      </c>
      <c r="AQ618" s="3" t="s">
        <v>61</v>
      </c>
      <c r="AR618" s="3" t="s">
        <v>48</v>
      </c>
    </row>
    <row r="619" spans="1:44" ht="30" customHeight="1">
      <c r="A619" s="3" t="s">
        <v>44</v>
      </c>
      <c r="B619" s="3" t="s">
        <v>45</v>
      </c>
      <c r="C619" s="3" t="s">
        <v>46</v>
      </c>
      <c r="D619" s="3" t="s">
        <v>100</v>
      </c>
      <c r="E619" s="3" t="s">
        <v>48</v>
      </c>
      <c r="F619" s="3" t="s">
        <v>101</v>
      </c>
      <c r="G619" s="3" t="s">
        <v>2065</v>
      </c>
      <c r="H619" s="4">
        <f>IF(DATEDIF(L619,S619,"m")&gt;12,DATEDIF(L619,S619,"y"),(DATEDIF(L619,S619,"m")/12))</f>
        <v>1</v>
      </c>
      <c r="I619" s="7">
        <f>DATEDIF(L619,S619,"M")</f>
        <v>17</v>
      </c>
      <c r="J619" s="7">
        <f>DATEDIF(L619,S619,"D")</f>
        <v>534</v>
      </c>
      <c r="K619" s="3" t="s">
        <v>51</v>
      </c>
      <c r="L619" s="8">
        <v>44447</v>
      </c>
      <c r="M619" s="3" t="s">
        <v>45</v>
      </c>
      <c r="N619" s="3" t="s">
        <v>101</v>
      </c>
      <c r="O619" s="3" t="s">
        <v>52</v>
      </c>
      <c r="P619" s="3" t="s">
        <v>685</v>
      </c>
      <c r="Q619" s="7">
        <v>0</v>
      </c>
      <c r="R619" s="8">
        <v>44984</v>
      </c>
      <c r="S619" s="8">
        <v>44981</v>
      </c>
      <c r="T619" s="3" t="s">
        <v>54</v>
      </c>
      <c r="U619" s="3" t="s">
        <v>55</v>
      </c>
      <c r="V619" s="9"/>
      <c r="W619" s="10">
        <v>44988</v>
      </c>
      <c r="X619" s="7">
        <v>4</v>
      </c>
      <c r="Y619" s="7">
        <v>3</v>
      </c>
      <c r="Z619" s="7">
        <v>2</v>
      </c>
      <c r="AA619" s="7">
        <f>INT((S619-DATE(YEAR(S619-WEEKDAY(S619-0)+4),1,4)+WEEKDAY(DATE(YEAR(S619-WEEKDAY(S619-0)+4),1,4))+6)/7)</f>
        <v>8</v>
      </c>
      <c r="AB619" s="3" t="s">
        <v>2066</v>
      </c>
      <c r="AC619" s="7">
        <v>67</v>
      </c>
      <c r="AD619" s="7">
        <v>0</v>
      </c>
      <c r="AE619" s="7">
        <v>0</v>
      </c>
      <c r="AF619" s="3" t="s">
        <v>48</v>
      </c>
      <c r="AG619" s="7">
        <v>2023</v>
      </c>
      <c r="AH619" s="3" t="s">
        <v>105</v>
      </c>
      <c r="AI619" s="3" t="s">
        <v>106</v>
      </c>
      <c r="AJ619" s="3" t="s">
        <v>48</v>
      </c>
      <c r="AK619" s="3" t="s">
        <v>162</v>
      </c>
      <c r="AL619" s="3" t="s">
        <v>59</v>
      </c>
      <c r="AM619" s="3" t="s">
        <v>99</v>
      </c>
      <c r="AN619" s="3" t="s">
        <v>61</v>
      </c>
      <c r="AO619" s="3" t="s">
        <v>62</v>
      </c>
      <c r="AP619" s="3" t="s">
        <v>69</v>
      </c>
      <c r="AQ619" s="3" t="s">
        <v>61</v>
      </c>
      <c r="AR619" s="3" t="s">
        <v>48</v>
      </c>
    </row>
    <row r="620" spans="1:44" ht="30" customHeight="1">
      <c r="A620" s="3" t="s">
        <v>44</v>
      </c>
      <c r="B620" s="3" t="s">
        <v>45</v>
      </c>
      <c r="C620" s="3" t="s">
        <v>46</v>
      </c>
      <c r="D620" s="3" t="s">
        <v>70</v>
      </c>
      <c r="E620" s="3" t="s">
        <v>48</v>
      </c>
      <c r="F620" s="3" t="s">
        <v>71</v>
      </c>
      <c r="G620" s="3" t="s">
        <v>2095</v>
      </c>
      <c r="H620" s="4">
        <f>IF(DATEDIF(L620,S620,"m")&gt;12,DATEDIF(L620,S620,"y"),(DATEDIF(L620,S620,"m")/12))</f>
        <v>68</v>
      </c>
      <c r="I620" s="7">
        <f>DATEDIF(L620,S620,"M")</f>
        <v>824</v>
      </c>
      <c r="J620" s="7">
        <f>DATEDIF(L620,S620,"D")</f>
        <v>25111</v>
      </c>
      <c r="K620" s="3" t="s">
        <v>64</v>
      </c>
      <c r="L620" s="8">
        <v>19873</v>
      </c>
      <c r="M620" s="3" t="s">
        <v>45</v>
      </c>
      <c r="N620" s="3" t="s">
        <v>90</v>
      </c>
      <c r="O620" s="3" t="s">
        <v>52</v>
      </c>
      <c r="P620" s="3" t="s">
        <v>137</v>
      </c>
      <c r="Q620" s="7">
        <v>1</v>
      </c>
      <c r="R620" s="8">
        <v>44985</v>
      </c>
      <c r="S620" s="8">
        <v>44984</v>
      </c>
      <c r="T620" s="3" t="s">
        <v>54</v>
      </c>
      <c r="U620" s="3" t="s">
        <v>55</v>
      </c>
      <c r="V620" s="9"/>
      <c r="W620" s="10">
        <v>44988</v>
      </c>
      <c r="X620" s="7">
        <v>3</v>
      </c>
      <c r="Y620" s="7">
        <v>1</v>
      </c>
      <c r="Z620" s="7">
        <v>2</v>
      </c>
      <c r="AA620" s="7">
        <f>INT((S620-DATE(YEAR(S620-WEEKDAY(S620-0)+4),1,4)+WEEKDAY(DATE(YEAR(S620-WEEKDAY(S620-0)+4),1,4))+6)/7)</f>
        <v>9</v>
      </c>
      <c r="AB620" s="3" t="s">
        <v>2096</v>
      </c>
      <c r="AC620" s="7">
        <v>699</v>
      </c>
      <c r="AD620" s="7">
        <v>0</v>
      </c>
      <c r="AE620" s="7">
        <v>1</v>
      </c>
      <c r="AF620" s="3" t="s">
        <v>48</v>
      </c>
      <c r="AG620" s="7">
        <v>2023</v>
      </c>
      <c r="AH620" s="3" t="s">
        <v>76</v>
      </c>
      <c r="AI620" s="3" t="s">
        <v>166</v>
      </c>
      <c r="AJ620" s="3" t="s">
        <v>78</v>
      </c>
      <c r="AK620" s="3" t="s">
        <v>162</v>
      </c>
      <c r="AL620" s="3" t="s">
        <v>59</v>
      </c>
      <c r="AM620" s="3" t="s">
        <v>60</v>
      </c>
      <c r="AN620" s="3" t="s">
        <v>61</v>
      </c>
      <c r="AO620" s="3" t="s">
        <v>62</v>
      </c>
      <c r="AP620" s="3" t="s">
        <v>69</v>
      </c>
      <c r="AQ620" s="3" t="s">
        <v>61</v>
      </c>
      <c r="AR620" s="3" t="s">
        <v>48</v>
      </c>
    </row>
    <row r="621" spans="1:44" ht="30" customHeight="1">
      <c r="A621" s="3" t="s">
        <v>44</v>
      </c>
      <c r="B621" s="3" t="s">
        <v>45</v>
      </c>
      <c r="C621" s="3" t="s">
        <v>46</v>
      </c>
      <c r="D621" s="3" t="s">
        <v>47</v>
      </c>
      <c r="E621" s="3" t="s">
        <v>48</v>
      </c>
      <c r="F621" s="3" t="s">
        <v>49</v>
      </c>
      <c r="G621" s="3" t="s">
        <v>2097</v>
      </c>
      <c r="H621" s="4">
        <f>IF(DATEDIF(L621,S621,"m")&gt;12,DATEDIF(L621,S621,"y"),(DATEDIF(L621,S621,"m")/12))</f>
        <v>1</v>
      </c>
      <c r="I621" s="7">
        <f>DATEDIF(L621,S621,"M")</f>
        <v>17</v>
      </c>
      <c r="J621" s="7">
        <f>DATEDIF(L621,S621,"D")</f>
        <v>541</v>
      </c>
      <c r="K621" s="3" t="s">
        <v>51</v>
      </c>
      <c r="L621" s="8">
        <v>44437</v>
      </c>
      <c r="M621" s="3" t="s">
        <v>45</v>
      </c>
      <c r="N621" s="3" t="s">
        <v>49</v>
      </c>
      <c r="O621" s="3" t="s">
        <v>52</v>
      </c>
      <c r="P621" s="3" t="s">
        <v>1005</v>
      </c>
      <c r="Q621" s="7">
        <v>0</v>
      </c>
      <c r="R621" s="8">
        <v>44985</v>
      </c>
      <c r="S621" s="8">
        <v>44978</v>
      </c>
      <c r="T621" s="3" t="s">
        <v>54</v>
      </c>
      <c r="U621" s="3" t="s">
        <v>55</v>
      </c>
      <c r="V621" s="9"/>
      <c r="W621" s="10">
        <v>44988</v>
      </c>
      <c r="X621" s="7">
        <v>3</v>
      </c>
      <c r="Y621" s="7">
        <v>7</v>
      </c>
      <c r="Z621" s="7">
        <v>2</v>
      </c>
      <c r="AA621" s="7">
        <f>INT((S621-DATE(YEAR(S621-WEEKDAY(S621-0)+4),1,4)+WEEKDAY(DATE(YEAR(S621-WEEKDAY(S621-0)+4),1,4))+6)/7)</f>
        <v>8</v>
      </c>
      <c r="AB621" s="3" t="s">
        <v>2098</v>
      </c>
      <c r="AC621" s="7">
        <v>73</v>
      </c>
      <c r="AD621" s="7">
        <v>0</v>
      </c>
      <c r="AE621" s="7">
        <v>0</v>
      </c>
      <c r="AF621" s="3" t="s">
        <v>48</v>
      </c>
      <c r="AG621" s="7">
        <v>2023</v>
      </c>
      <c r="AH621" s="3" t="s">
        <v>57</v>
      </c>
      <c r="AI621" s="3" t="s">
        <v>48</v>
      </c>
      <c r="AJ621" s="3" t="s">
        <v>48</v>
      </c>
      <c r="AK621" s="3" t="s">
        <v>58</v>
      </c>
      <c r="AL621" s="3" t="s">
        <v>59</v>
      </c>
      <c r="AM621" s="3" t="s">
        <v>60</v>
      </c>
      <c r="AN621" s="3" t="s">
        <v>61</v>
      </c>
      <c r="AO621" s="3" t="s">
        <v>62</v>
      </c>
      <c r="AP621" s="3" t="s">
        <v>69</v>
      </c>
      <c r="AQ621" s="3" t="s">
        <v>61</v>
      </c>
      <c r="AR621" s="3" t="s">
        <v>48</v>
      </c>
    </row>
    <row r="622" spans="1:44" ht="30" customHeight="1">
      <c r="A622" s="3" t="s">
        <v>44</v>
      </c>
      <c r="B622" s="3" t="s">
        <v>45</v>
      </c>
      <c r="C622" s="3" t="s">
        <v>46</v>
      </c>
      <c r="D622" s="3" t="s">
        <v>47</v>
      </c>
      <c r="E622" s="3" t="s">
        <v>48</v>
      </c>
      <c r="F622" s="3" t="s">
        <v>49</v>
      </c>
      <c r="G622" s="3" t="s">
        <v>2099</v>
      </c>
      <c r="H622" s="4">
        <f>IF(DATEDIF(L622,S622,"m")&gt;12,DATEDIF(L622,S622,"y"),(DATEDIF(L622,S622,"m")/12))</f>
        <v>5</v>
      </c>
      <c r="I622" s="7">
        <f>DATEDIF(L622,S622,"M")</f>
        <v>68</v>
      </c>
      <c r="J622" s="7">
        <f>DATEDIF(L622,S622,"D")</f>
        <v>2078</v>
      </c>
      <c r="K622" s="3" t="s">
        <v>51</v>
      </c>
      <c r="L622" s="8">
        <v>42900</v>
      </c>
      <c r="M622" s="3" t="s">
        <v>45</v>
      </c>
      <c r="N622" s="3" t="s">
        <v>49</v>
      </c>
      <c r="O622" s="3" t="s">
        <v>52</v>
      </c>
      <c r="P622" s="3" t="s">
        <v>1005</v>
      </c>
      <c r="Q622" s="7">
        <v>0</v>
      </c>
      <c r="R622" s="8">
        <v>44985</v>
      </c>
      <c r="S622" s="8">
        <v>44978</v>
      </c>
      <c r="T622" s="3" t="s">
        <v>54</v>
      </c>
      <c r="U622" s="3" t="s">
        <v>55</v>
      </c>
      <c r="V622" s="9"/>
      <c r="W622" s="10">
        <v>44988</v>
      </c>
      <c r="X622" s="7">
        <v>3</v>
      </c>
      <c r="Y622" s="7">
        <v>7</v>
      </c>
      <c r="Z622" s="7">
        <v>2</v>
      </c>
      <c r="AA622" s="7">
        <f>INT((S622-DATE(YEAR(S622-WEEKDAY(S622-0)+4),1,4)+WEEKDAY(DATE(YEAR(S622-WEEKDAY(S622-0)+4),1,4))+6)/7)</f>
        <v>8</v>
      </c>
      <c r="AB622" s="3" t="s">
        <v>2100</v>
      </c>
      <c r="AC622" s="7">
        <v>74</v>
      </c>
      <c r="AD622" s="7">
        <v>0</v>
      </c>
      <c r="AE622" s="7">
        <v>0</v>
      </c>
      <c r="AF622" s="3" t="s">
        <v>48</v>
      </c>
      <c r="AG622" s="7">
        <v>2023</v>
      </c>
      <c r="AH622" s="3" t="s">
        <v>57</v>
      </c>
      <c r="AI622" s="3" t="s">
        <v>48</v>
      </c>
      <c r="AJ622" s="3" t="s">
        <v>48</v>
      </c>
      <c r="AK622" s="3" t="s">
        <v>58</v>
      </c>
      <c r="AL622" s="3" t="s">
        <v>59</v>
      </c>
      <c r="AM622" s="3" t="s">
        <v>60</v>
      </c>
      <c r="AN622" s="3" t="s">
        <v>61</v>
      </c>
      <c r="AO622" s="3" t="s">
        <v>62</v>
      </c>
      <c r="AP622" s="3" t="s">
        <v>69</v>
      </c>
      <c r="AQ622" s="3" t="s">
        <v>61</v>
      </c>
      <c r="AR622" s="3" t="s">
        <v>48</v>
      </c>
    </row>
    <row r="623" spans="1:44" ht="30" customHeight="1">
      <c r="A623" s="3" t="s">
        <v>44</v>
      </c>
      <c r="B623" s="3" t="s">
        <v>45</v>
      </c>
      <c r="C623" s="3" t="s">
        <v>80</v>
      </c>
      <c r="D623" s="3" t="s">
        <v>81</v>
      </c>
      <c r="E623" s="3" t="s">
        <v>48</v>
      </c>
      <c r="F623" s="3" t="s">
        <v>81</v>
      </c>
      <c r="G623" s="3" t="s">
        <v>2188</v>
      </c>
      <c r="H623" s="4">
        <f>IF(DATEDIF(L623,S623,"m")&gt;12,DATEDIF(L623,S623,"y"),(DATEDIF(L623,S623,"m")/12))</f>
        <v>12</v>
      </c>
      <c r="I623" s="7">
        <f>DATEDIF(L623,S623,"M")</f>
        <v>147</v>
      </c>
      <c r="J623" s="7">
        <f>DATEDIF(L623,S623,"D")</f>
        <v>4486</v>
      </c>
      <c r="K623" s="3" t="s">
        <v>64</v>
      </c>
      <c r="L623" s="8">
        <v>40494</v>
      </c>
      <c r="M623" s="3" t="s">
        <v>45</v>
      </c>
      <c r="N623" s="3" t="s">
        <v>65</v>
      </c>
      <c r="O623" s="3" t="s">
        <v>52</v>
      </c>
      <c r="P623" s="3" t="s">
        <v>169</v>
      </c>
      <c r="Q623" s="7">
        <v>1</v>
      </c>
      <c r="R623" s="8">
        <v>44986</v>
      </c>
      <c r="S623" s="8">
        <v>44980</v>
      </c>
      <c r="T623" s="3" t="s">
        <v>54</v>
      </c>
      <c r="U623" s="3" t="s">
        <v>55</v>
      </c>
      <c r="V623" s="9"/>
      <c r="W623" s="10">
        <v>44988</v>
      </c>
      <c r="X623" s="7">
        <v>2</v>
      </c>
      <c r="Y623" s="7">
        <v>6</v>
      </c>
      <c r="Z623" s="7">
        <v>2</v>
      </c>
      <c r="AA623" s="7">
        <f>INT((S623-DATE(YEAR(S623-WEEKDAY(S623-0)+4),1,4)+WEEKDAY(DATE(YEAR(S623-WEEKDAY(S623-0)+4),1,4))+6)/7)</f>
        <v>8</v>
      </c>
      <c r="AB623" s="3" t="s">
        <v>2189</v>
      </c>
      <c r="AC623" s="7">
        <v>14021</v>
      </c>
      <c r="AD623" s="7">
        <v>0</v>
      </c>
      <c r="AE623" s="7">
        <v>0</v>
      </c>
      <c r="AF623" s="3" t="s">
        <v>48</v>
      </c>
      <c r="AG623" s="7">
        <v>2023</v>
      </c>
      <c r="AH623" s="3" t="s">
        <v>86</v>
      </c>
      <c r="AI623" s="3" t="s">
        <v>48</v>
      </c>
      <c r="AJ623" s="3" t="s">
        <v>48</v>
      </c>
      <c r="AK623" s="3" t="s">
        <v>751</v>
      </c>
      <c r="AL623" s="3" t="s">
        <v>59</v>
      </c>
      <c r="AM623" s="3" t="s">
        <v>60</v>
      </c>
      <c r="AN623" s="3" t="s">
        <v>61</v>
      </c>
      <c r="AO623" s="3" t="s">
        <v>62</v>
      </c>
      <c r="AP623" s="3" t="s">
        <v>69</v>
      </c>
      <c r="AQ623" s="3" t="s">
        <v>61</v>
      </c>
      <c r="AR623" s="3" t="s">
        <v>48</v>
      </c>
    </row>
    <row r="624" spans="1:44" ht="30" customHeight="1">
      <c r="A624" s="3" t="s">
        <v>44</v>
      </c>
      <c r="B624" s="3" t="s">
        <v>45</v>
      </c>
      <c r="C624" s="3" t="s">
        <v>46</v>
      </c>
      <c r="D624" s="3" t="s">
        <v>70</v>
      </c>
      <c r="E624" s="3" t="s">
        <v>48</v>
      </c>
      <c r="F624" s="3" t="s">
        <v>71</v>
      </c>
      <c r="G624" s="3" t="s">
        <v>2246</v>
      </c>
      <c r="H624" s="4">
        <f>IF(DATEDIF(L624,S624,"m")&gt;12,DATEDIF(L624,S624,"y"),(DATEDIF(L624,S624,"m")/12))</f>
        <v>68</v>
      </c>
      <c r="I624" s="7">
        <f>DATEDIF(L624,S624,"M")</f>
        <v>824</v>
      </c>
      <c r="J624" s="7">
        <f>DATEDIF(L624,S624,"D")</f>
        <v>25111</v>
      </c>
      <c r="K624" s="3" t="s">
        <v>64</v>
      </c>
      <c r="L624" s="8">
        <v>19873</v>
      </c>
      <c r="M624" s="3" t="s">
        <v>45</v>
      </c>
      <c r="N624" s="3" t="s">
        <v>90</v>
      </c>
      <c r="O624" s="3" t="s">
        <v>52</v>
      </c>
      <c r="P624" s="3" t="s">
        <v>137</v>
      </c>
      <c r="Q624" s="7">
        <v>1</v>
      </c>
      <c r="R624" s="8">
        <v>44985</v>
      </c>
      <c r="S624" s="8">
        <v>44984</v>
      </c>
      <c r="T624" s="3" t="s">
        <v>54</v>
      </c>
      <c r="U624" s="3" t="s">
        <v>55</v>
      </c>
      <c r="V624" s="9"/>
      <c r="W624" s="10">
        <v>44988</v>
      </c>
      <c r="X624" s="7">
        <v>3</v>
      </c>
      <c r="Y624" s="7">
        <v>1</v>
      </c>
      <c r="Z624" s="7">
        <v>2</v>
      </c>
      <c r="AA624" s="7">
        <f>INT((S624-DATE(YEAR(S624-WEEKDAY(S624-0)+4),1,4)+WEEKDAY(DATE(YEAR(S624-WEEKDAY(S624-0)+4),1,4))+6)/7)</f>
        <v>9</v>
      </c>
      <c r="AB624" s="3" t="s">
        <v>2247</v>
      </c>
      <c r="AC624" s="7">
        <v>698</v>
      </c>
      <c r="AD624" s="7">
        <v>0</v>
      </c>
      <c r="AE624" s="7">
        <v>1</v>
      </c>
      <c r="AF624" s="3" t="s">
        <v>48</v>
      </c>
      <c r="AG624" s="7">
        <v>2023</v>
      </c>
      <c r="AH624" s="3" t="s">
        <v>76</v>
      </c>
      <c r="AI624" s="3" t="s">
        <v>166</v>
      </c>
      <c r="AJ624" s="3" t="s">
        <v>78</v>
      </c>
      <c r="AK624" s="3" t="s">
        <v>162</v>
      </c>
      <c r="AL624" s="3" t="s">
        <v>59</v>
      </c>
      <c r="AM624" s="3" t="s">
        <v>60</v>
      </c>
      <c r="AN624" s="3" t="s">
        <v>61</v>
      </c>
      <c r="AO624" s="3" t="s">
        <v>62</v>
      </c>
      <c r="AP624" s="3" t="s">
        <v>69</v>
      </c>
      <c r="AQ624" s="3" t="s">
        <v>61</v>
      </c>
      <c r="AR624" s="3" t="s">
        <v>48</v>
      </c>
    </row>
    <row r="625" spans="1:44" ht="30" customHeight="1">
      <c r="A625" s="3" t="s">
        <v>44</v>
      </c>
      <c r="B625" s="3" t="s">
        <v>45</v>
      </c>
      <c r="C625" s="3" t="s">
        <v>46</v>
      </c>
      <c r="D625" s="3" t="s">
        <v>70</v>
      </c>
      <c r="E625" s="3" t="s">
        <v>48</v>
      </c>
      <c r="F625" s="3" t="s">
        <v>71</v>
      </c>
      <c r="G625" s="3" t="s">
        <v>2359</v>
      </c>
      <c r="H625" s="5">
        <f>IF(DATEDIF(L625,S625,"m")&gt;12,DATEDIF(L625,S625,"y"),(DATEDIF(L625,S625,"m")/12))</f>
        <v>0.91666666666666663</v>
      </c>
      <c r="I625" s="7">
        <f>DATEDIF(L625,S625,"M")</f>
        <v>11</v>
      </c>
      <c r="J625" s="7">
        <f>DATEDIF(L625,S625,"D")</f>
        <v>345</v>
      </c>
      <c r="K625" s="3" t="s">
        <v>51</v>
      </c>
      <c r="L625" s="8">
        <v>44639</v>
      </c>
      <c r="M625" s="3" t="s">
        <v>45</v>
      </c>
      <c r="N625" s="3" t="s">
        <v>164</v>
      </c>
      <c r="O625" s="3" t="s">
        <v>52</v>
      </c>
      <c r="P625" s="3" t="s">
        <v>103</v>
      </c>
      <c r="Q625" s="7">
        <v>1</v>
      </c>
      <c r="R625" s="8">
        <v>44985</v>
      </c>
      <c r="S625" s="8">
        <v>44984</v>
      </c>
      <c r="T625" s="3" t="s">
        <v>54</v>
      </c>
      <c r="U625" s="3" t="s">
        <v>55</v>
      </c>
      <c r="V625" s="9"/>
      <c r="W625" s="10">
        <v>44988</v>
      </c>
      <c r="X625" s="7">
        <v>3</v>
      </c>
      <c r="Y625" s="7">
        <v>1</v>
      </c>
      <c r="Z625" s="7">
        <v>2</v>
      </c>
      <c r="AA625" s="7">
        <f>INT((S625-DATE(YEAR(S625-WEEKDAY(S625-0)+4),1,4)+WEEKDAY(DATE(YEAR(S625-WEEKDAY(S625-0)+4),1,4))+6)/7)</f>
        <v>9</v>
      </c>
      <c r="AB625" s="3" t="s">
        <v>2360</v>
      </c>
      <c r="AC625" s="7">
        <v>702</v>
      </c>
      <c r="AD625" s="7">
        <v>0</v>
      </c>
      <c r="AE625" s="7">
        <v>1</v>
      </c>
      <c r="AF625" s="3" t="s">
        <v>48</v>
      </c>
      <c r="AG625" s="7">
        <v>2023</v>
      </c>
      <c r="AH625" s="3" t="s">
        <v>76</v>
      </c>
      <c r="AI625" s="3" t="s">
        <v>166</v>
      </c>
      <c r="AJ625" s="3" t="s">
        <v>78</v>
      </c>
      <c r="AK625" s="3" t="s">
        <v>870</v>
      </c>
      <c r="AL625" s="3" t="s">
        <v>59</v>
      </c>
      <c r="AM625" s="3" t="s">
        <v>60</v>
      </c>
      <c r="AN625" s="3" t="s">
        <v>61</v>
      </c>
      <c r="AO625" s="3" t="s">
        <v>62</v>
      </c>
      <c r="AP625" s="3" t="s">
        <v>69</v>
      </c>
      <c r="AQ625" s="3" t="s">
        <v>69</v>
      </c>
      <c r="AR625" s="3" t="s">
        <v>48</v>
      </c>
    </row>
    <row r="626" spans="1:44" ht="30" customHeight="1">
      <c r="A626" s="3" t="s">
        <v>44</v>
      </c>
      <c r="B626" s="3" t="s">
        <v>45</v>
      </c>
      <c r="C626" s="3" t="s">
        <v>46</v>
      </c>
      <c r="D626" s="3" t="s">
        <v>100</v>
      </c>
      <c r="E626" s="3" t="s">
        <v>48</v>
      </c>
      <c r="F626" s="3" t="s">
        <v>101</v>
      </c>
      <c r="G626" s="3" t="s">
        <v>2375</v>
      </c>
      <c r="H626" s="5">
        <f>IF(DATEDIF(L626,S626,"m")&gt;12,DATEDIF(L626,S626,"y"),(DATEDIF(L626,S626,"m")/12))</f>
        <v>0.75</v>
      </c>
      <c r="I626" s="7">
        <f>DATEDIF(L626,S626,"M")</f>
        <v>9</v>
      </c>
      <c r="J626" s="7">
        <f>DATEDIF(L626,S626,"D")</f>
        <v>288</v>
      </c>
      <c r="K626" s="3" t="s">
        <v>51</v>
      </c>
      <c r="L626" s="8">
        <v>44693</v>
      </c>
      <c r="M626" s="3" t="s">
        <v>45</v>
      </c>
      <c r="N626" s="3" t="s">
        <v>101</v>
      </c>
      <c r="O626" s="3" t="s">
        <v>52</v>
      </c>
      <c r="P626" s="3" t="s">
        <v>103</v>
      </c>
      <c r="Q626" s="7">
        <v>0</v>
      </c>
      <c r="R626" s="8">
        <v>44984</v>
      </c>
      <c r="S626" s="8">
        <v>44981</v>
      </c>
      <c r="T626" s="3" t="s">
        <v>54</v>
      </c>
      <c r="U626" s="3" t="s">
        <v>55</v>
      </c>
      <c r="V626" s="9"/>
      <c r="W626" s="10">
        <v>44988</v>
      </c>
      <c r="X626" s="7">
        <v>4</v>
      </c>
      <c r="Y626" s="7">
        <v>3</v>
      </c>
      <c r="Z626" s="7">
        <v>2</v>
      </c>
      <c r="AA626" s="7">
        <f>INT((S626-DATE(YEAR(S626-WEEKDAY(S626-0)+4),1,4)+WEEKDAY(DATE(YEAR(S626-WEEKDAY(S626-0)+4),1,4))+6)/7)</f>
        <v>8</v>
      </c>
      <c r="AB626" s="3" t="s">
        <v>2376</v>
      </c>
      <c r="AC626" s="7">
        <v>66</v>
      </c>
      <c r="AD626" s="7">
        <v>0</v>
      </c>
      <c r="AE626" s="7">
        <v>0</v>
      </c>
      <c r="AF626" s="3" t="s">
        <v>48</v>
      </c>
      <c r="AG626" s="7">
        <v>2023</v>
      </c>
      <c r="AH626" s="3" t="s">
        <v>105</v>
      </c>
      <c r="AI626" s="3" t="s">
        <v>106</v>
      </c>
      <c r="AJ626" s="3" t="s">
        <v>48</v>
      </c>
      <c r="AK626" s="3" t="s">
        <v>420</v>
      </c>
      <c r="AL626" s="3" t="s">
        <v>59</v>
      </c>
      <c r="AM626" s="3" t="s">
        <v>99</v>
      </c>
      <c r="AN626" s="3" t="s">
        <v>61</v>
      </c>
      <c r="AO626" s="3" t="s">
        <v>62</v>
      </c>
      <c r="AP626" s="3" t="s">
        <v>69</v>
      </c>
      <c r="AQ626" s="3" t="s">
        <v>61</v>
      </c>
      <c r="AR626" s="3" t="s">
        <v>48</v>
      </c>
    </row>
    <row r="627" spans="1:44" ht="30" customHeight="1">
      <c r="A627" s="3" t="s">
        <v>44</v>
      </c>
      <c r="B627" s="3" t="s">
        <v>45</v>
      </c>
      <c r="C627" s="3" t="s">
        <v>46</v>
      </c>
      <c r="D627" s="3" t="s">
        <v>70</v>
      </c>
      <c r="E627" s="3" t="s">
        <v>48</v>
      </c>
      <c r="F627" s="3" t="s">
        <v>71</v>
      </c>
      <c r="G627" s="3" t="s">
        <v>2429</v>
      </c>
      <c r="H627" s="4">
        <f>IF(DATEDIF(L627,S627,"m")&gt;12,DATEDIF(L627,S627,"y"),(DATEDIF(L627,S627,"m")/12))</f>
        <v>2</v>
      </c>
      <c r="I627" s="7">
        <f>DATEDIF(L627,S627,"M")</f>
        <v>29</v>
      </c>
      <c r="J627" s="7">
        <f>DATEDIF(L627,S627,"D")</f>
        <v>885</v>
      </c>
      <c r="K627" s="3" t="s">
        <v>64</v>
      </c>
      <c r="L627" s="8">
        <v>44100</v>
      </c>
      <c r="M627" s="3" t="s">
        <v>45</v>
      </c>
      <c r="N627" s="3" t="s">
        <v>159</v>
      </c>
      <c r="O627" s="3" t="s">
        <v>52</v>
      </c>
      <c r="P627" s="3" t="s">
        <v>156</v>
      </c>
      <c r="Q627" s="7">
        <v>1</v>
      </c>
      <c r="R627" s="8">
        <v>44986</v>
      </c>
      <c r="S627" s="8">
        <v>44985</v>
      </c>
      <c r="T627" s="3" t="s">
        <v>54</v>
      </c>
      <c r="U627" s="3" t="s">
        <v>55</v>
      </c>
      <c r="V627" s="9"/>
      <c r="W627" s="10">
        <v>44988</v>
      </c>
      <c r="X627" s="7">
        <v>2</v>
      </c>
      <c r="Y627" s="7">
        <v>1</v>
      </c>
      <c r="Z627" s="7">
        <v>2</v>
      </c>
      <c r="AA627" s="7">
        <f>INT((S627-DATE(YEAR(S627-WEEKDAY(S627-0)+4),1,4)+WEEKDAY(DATE(YEAR(S627-WEEKDAY(S627-0)+4),1,4))+6)/7)</f>
        <v>9</v>
      </c>
      <c r="AB627" s="3" t="s">
        <v>2430</v>
      </c>
      <c r="AC627" s="7">
        <v>704</v>
      </c>
      <c r="AD627" s="7">
        <v>0</v>
      </c>
      <c r="AE627" s="7">
        <v>1</v>
      </c>
      <c r="AF627" s="3" t="s">
        <v>48</v>
      </c>
      <c r="AG627" s="7">
        <v>2023</v>
      </c>
      <c r="AH627" s="3" t="s">
        <v>76</v>
      </c>
      <c r="AI627" s="3" t="s">
        <v>77</v>
      </c>
      <c r="AJ627" s="3" t="s">
        <v>78</v>
      </c>
      <c r="AK627" s="3" t="s">
        <v>619</v>
      </c>
      <c r="AL627" s="3" t="s">
        <v>59</v>
      </c>
      <c r="AM627" s="3" t="s">
        <v>60</v>
      </c>
      <c r="AN627" s="3" t="s">
        <v>61</v>
      </c>
      <c r="AO627" s="3" t="s">
        <v>62</v>
      </c>
      <c r="AP627" s="3" t="s">
        <v>69</v>
      </c>
      <c r="AQ627" s="3" t="s">
        <v>61</v>
      </c>
      <c r="AR627" s="3" t="s">
        <v>48</v>
      </c>
    </row>
    <row r="628" spans="1:44" ht="30" customHeight="1">
      <c r="A628" s="3" t="s">
        <v>44</v>
      </c>
      <c r="B628" s="3" t="s">
        <v>45</v>
      </c>
      <c r="C628" s="3" t="s">
        <v>120</v>
      </c>
      <c r="D628" s="3" t="s">
        <v>121</v>
      </c>
      <c r="E628" s="3" t="s">
        <v>48</v>
      </c>
      <c r="F628" s="3" t="s">
        <v>122</v>
      </c>
      <c r="G628" s="3" t="s">
        <v>123</v>
      </c>
      <c r="H628" s="4">
        <f>IF(DATEDIF(L628,S628,"m")&gt;12,DATEDIF(L628,S628,"y"),(DATEDIF(L628,S628,"m")/12))</f>
        <v>74</v>
      </c>
      <c r="I628" s="7">
        <f>DATEDIF(L628,S628,"M")</f>
        <v>895</v>
      </c>
      <c r="J628" s="7">
        <f>DATEDIF(L628,S628,"D")</f>
        <v>27255</v>
      </c>
      <c r="K628" s="3" t="s">
        <v>64</v>
      </c>
      <c r="L628" s="8">
        <v>17728</v>
      </c>
      <c r="M628" s="3" t="s">
        <v>45</v>
      </c>
      <c r="N628" s="3" t="s">
        <v>49</v>
      </c>
      <c r="O628" s="3" t="s">
        <v>52</v>
      </c>
      <c r="P628" s="3" t="s">
        <v>124</v>
      </c>
      <c r="Q628" s="7">
        <v>1</v>
      </c>
      <c r="R628" s="8">
        <v>44986</v>
      </c>
      <c r="S628" s="8">
        <v>44983</v>
      </c>
      <c r="T628" s="3" t="s">
        <v>54</v>
      </c>
      <c r="U628" s="3" t="s">
        <v>55</v>
      </c>
      <c r="V628" s="9"/>
      <c r="W628" s="10">
        <v>44991</v>
      </c>
      <c r="X628" s="7">
        <v>5</v>
      </c>
      <c r="Y628" s="7">
        <v>3</v>
      </c>
      <c r="Z628" s="7">
        <v>2</v>
      </c>
      <c r="AA628" s="7">
        <f>INT((S628-DATE(YEAR(S628-WEEKDAY(S628-0)+4),1,4)+WEEKDAY(DATE(YEAR(S628-WEEKDAY(S628-0)+4),1,4))+6)/7)</f>
        <v>9</v>
      </c>
      <c r="AB628" s="3" t="s">
        <v>125</v>
      </c>
      <c r="AC628" s="7">
        <v>39513</v>
      </c>
      <c r="AD628" s="25"/>
      <c r="AE628" s="7">
        <v>1</v>
      </c>
      <c r="AF628" s="3" t="s">
        <v>48</v>
      </c>
      <c r="AG628" s="7">
        <v>2023</v>
      </c>
      <c r="AH628" s="12" t="s">
        <v>126</v>
      </c>
      <c r="AI628" s="3" t="s">
        <v>48</v>
      </c>
      <c r="AJ628" s="3" t="s">
        <v>48</v>
      </c>
      <c r="AK628" s="18" t="s">
        <v>58</v>
      </c>
      <c r="AL628" s="3" t="s">
        <v>59</v>
      </c>
      <c r="AM628" s="3" t="s">
        <v>99</v>
      </c>
      <c r="AN628" s="3" t="s">
        <v>61</v>
      </c>
      <c r="AO628" s="3" t="s">
        <v>62</v>
      </c>
      <c r="AP628" s="3" t="s">
        <v>69</v>
      </c>
      <c r="AQ628" s="3" t="s">
        <v>61</v>
      </c>
      <c r="AR628" s="3" t="s">
        <v>48</v>
      </c>
    </row>
    <row r="629" spans="1:44" ht="30" customHeight="1">
      <c r="A629" s="3" t="s">
        <v>44</v>
      </c>
      <c r="B629" s="3" t="s">
        <v>45</v>
      </c>
      <c r="C629" s="3" t="s">
        <v>46</v>
      </c>
      <c r="D629" s="3" t="s">
        <v>47</v>
      </c>
      <c r="E629" s="3" t="s">
        <v>48</v>
      </c>
      <c r="F629" s="3" t="s">
        <v>49</v>
      </c>
      <c r="G629" s="3" t="s">
        <v>1306</v>
      </c>
      <c r="H629" s="4">
        <f>IF(DATEDIF(L629,S629,"m")&gt;12,DATEDIF(L629,S629,"y"),(DATEDIF(L629,S629,"m")/12))</f>
        <v>20</v>
      </c>
      <c r="I629" s="7">
        <f>DATEDIF(L629,S629,"M")</f>
        <v>242</v>
      </c>
      <c r="J629" s="7">
        <f>DATEDIF(L629,S629,"D")</f>
        <v>7381</v>
      </c>
      <c r="K629" s="3" t="s">
        <v>64</v>
      </c>
      <c r="L629" s="8">
        <v>37593</v>
      </c>
      <c r="M629" s="3" t="s">
        <v>45</v>
      </c>
      <c r="N629" s="3" t="s">
        <v>73</v>
      </c>
      <c r="O629" s="3" t="s">
        <v>52</v>
      </c>
      <c r="P629" s="3" t="s">
        <v>298</v>
      </c>
      <c r="Q629" s="7">
        <v>0</v>
      </c>
      <c r="R629" s="8">
        <v>44977</v>
      </c>
      <c r="S629" s="8">
        <v>44974</v>
      </c>
      <c r="T629" s="3" t="s">
        <v>54</v>
      </c>
      <c r="U629" s="3" t="s">
        <v>55</v>
      </c>
      <c r="V629" s="9"/>
      <c r="W629" s="10">
        <v>44978</v>
      </c>
      <c r="X629" s="7">
        <v>1</v>
      </c>
      <c r="Y629" s="7">
        <v>3</v>
      </c>
      <c r="Z629" s="7">
        <v>2</v>
      </c>
      <c r="AA629" s="7">
        <f>INT((S629-DATE(YEAR(S629-WEEKDAY(S629-0)+4),1,4)+WEEKDAY(DATE(YEAR(S629-WEEKDAY(S629-0)+4),1,4))+6)/7)</f>
        <v>7</v>
      </c>
      <c r="AB629" s="3" t="s">
        <v>1307</v>
      </c>
      <c r="AC629" s="7">
        <v>64</v>
      </c>
      <c r="AD629" s="7">
        <v>0</v>
      </c>
      <c r="AE629" s="7">
        <v>0</v>
      </c>
      <c r="AF629" s="3" t="s">
        <v>48</v>
      </c>
      <c r="AG629" s="7">
        <v>2023</v>
      </c>
      <c r="AH629" s="3" t="s">
        <v>57</v>
      </c>
      <c r="AI629" s="3" t="s">
        <v>48</v>
      </c>
      <c r="AJ629" s="3" t="s">
        <v>48</v>
      </c>
      <c r="AK629" s="3" t="s">
        <v>129</v>
      </c>
      <c r="AL629" s="3" t="s">
        <v>59</v>
      </c>
      <c r="AM629" s="3" t="s">
        <v>60</v>
      </c>
      <c r="AN629" s="3" t="s">
        <v>61</v>
      </c>
      <c r="AO629" s="3" t="s">
        <v>62</v>
      </c>
      <c r="AP629" s="3" t="s">
        <v>69</v>
      </c>
      <c r="AQ629" s="3" t="s">
        <v>61</v>
      </c>
      <c r="AR629" s="3" t="s">
        <v>48</v>
      </c>
    </row>
    <row r="630" spans="1:44" ht="30" customHeight="1">
      <c r="A630" s="3" t="s">
        <v>44</v>
      </c>
      <c r="B630" s="3" t="s">
        <v>45</v>
      </c>
      <c r="C630" s="3" t="s">
        <v>46</v>
      </c>
      <c r="D630" s="3" t="s">
        <v>108</v>
      </c>
      <c r="E630" s="3" t="s">
        <v>48</v>
      </c>
      <c r="F630" s="3" t="s">
        <v>108</v>
      </c>
      <c r="G630" s="3" t="s">
        <v>145</v>
      </c>
      <c r="H630" s="4">
        <f>IF(DATEDIF(L630,S630,"m")&gt;12,DATEDIF(L630,S630,"y"),(DATEDIF(L630,S630,"m")/12))</f>
        <v>34</v>
      </c>
      <c r="I630" s="7">
        <f>DATEDIF(L630,S630,"M")</f>
        <v>419</v>
      </c>
      <c r="J630" s="7">
        <f>DATEDIF(L630,S630,"D")</f>
        <v>12770</v>
      </c>
      <c r="K630" s="3" t="s">
        <v>64</v>
      </c>
      <c r="L630" s="8">
        <v>32205</v>
      </c>
      <c r="M630" s="3" t="s">
        <v>45</v>
      </c>
      <c r="N630" s="3" t="s">
        <v>73</v>
      </c>
      <c r="O630" s="3" t="s">
        <v>52</v>
      </c>
      <c r="P630" s="3" t="s">
        <v>103</v>
      </c>
      <c r="Q630" s="7">
        <v>0</v>
      </c>
      <c r="R630" s="8">
        <v>44978</v>
      </c>
      <c r="S630" s="8">
        <v>44975</v>
      </c>
      <c r="T630" s="3" t="s">
        <v>54</v>
      </c>
      <c r="U630" s="3" t="s">
        <v>55</v>
      </c>
      <c r="V630" s="9"/>
      <c r="W630" s="10">
        <v>44984</v>
      </c>
      <c r="X630" s="7">
        <v>6</v>
      </c>
      <c r="Y630" s="7">
        <v>3</v>
      </c>
      <c r="Z630" s="7">
        <v>2</v>
      </c>
      <c r="AA630" s="7">
        <f>INT((S630-DATE(YEAR(S630-WEEKDAY(S630-0)+4),1,4)+WEEKDAY(DATE(YEAR(S630-WEEKDAY(S630-0)+4),1,4))+6)/7)</f>
        <v>7</v>
      </c>
      <c r="AB630" s="3" t="s">
        <v>146</v>
      </c>
      <c r="AC630" s="7">
        <v>287</v>
      </c>
      <c r="AD630" s="7">
        <v>0</v>
      </c>
      <c r="AE630" s="7">
        <v>0</v>
      </c>
      <c r="AF630" s="3" t="s">
        <v>48</v>
      </c>
      <c r="AG630" s="7">
        <v>2023</v>
      </c>
      <c r="AH630" s="3" t="s">
        <v>112</v>
      </c>
      <c r="AI630" s="3" t="s">
        <v>113</v>
      </c>
      <c r="AJ630" s="3" t="s">
        <v>48</v>
      </c>
      <c r="AK630" s="3" t="s">
        <v>129</v>
      </c>
      <c r="AL630" s="3" t="s">
        <v>59</v>
      </c>
      <c r="AM630" s="3" t="s">
        <v>115</v>
      </c>
      <c r="AN630" s="3" t="s">
        <v>61</v>
      </c>
      <c r="AO630" s="3" t="s">
        <v>62</v>
      </c>
      <c r="AP630" s="3" t="s">
        <v>69</v>
      </c>
      <c r="AQ630" s="3" t="s">
        <v>61</v>
      </c>
      <c r="AR630" s="3" t="s">
        <v>48</v>
      </c>
    </row>
    <row r="631" spans="1:44" ht="30" customHeight="1">
      <c r="A631" s="3" t="s">
        <v>44</v>
      </c>
      <c r="B631" s="3" t="s">
        <v>45</v>
      </c>
      <c r="C631" s="3" t="s">
        <v>46</v>
      </c>
      <c r="D631" s="3" t="s">
        <v>108</v>
      </c>
      <c r="E631" s="3" t="s">
        <v>48</v>
      </c>
      <c r="F631" s="3" t="s">
        <v>108</v>
      </c>
      <c r="G631" s="3" t="s">
        <v>641</v>
      </c>
      <c r="H631" s="4">
        <f>IF(DATEDIF(L631,S631,"m")&gt;12,DATEDIF(L631,S631,"y"),(DATEDIF(L631,S631,"m")/12))</f>
        <v>3</v>
      </c>
      <c r="I631" s="7">
        <f>DATEDIF(L631,S631,"M")</f>
        <v>40</v>
      </c>
      <c r="J631" s="7">
        <f>DATEDIF(L631,S631,"D")</f>
        <v>1234</v>
      </c>
      <c r="K631" s="3" t="s">
        <v>51</v>
      </c>
      <c r="L631" s="8">
        <v>43740</v>
      </c>
      <c r="M631" s="3" t="s">
        <v>45</v>
      </c>
      <c r="N631" s="3" t="s">
        <v>73</v>
      </c>
      <c r="O631" s="3" t="s">
        <v>52</v>
      </c>
      <c r="P631" s="3" t="s">
        <v>432</v>
      </c>
      <c r="Q631" s="7">
        <v>0</v>
      </c>
      <c r="R631" s="8">
        <v>44979</v>
      </c>
      <c r="S631" s="8">
        <v>44974</v>
      </c>
      <c r="T631" s="3" t="s">
        <v>54</v>
      </c>
      <c r="U631" s="3" t="s">
        <v>55</v>
      </c>
      <c r="V631" s="9"/>
      <c r="W631" s="10">
        <v>44984</v>
      </c>
      <c r="X631" s="7">
        <v>5</v>
      </c>
      <c r="Y631" s="7">
        <v>5</v>
      </c>
      <c r="Z631" s="7">
        <v>2</v>
      </c>
      <c r="AA631" s="7">
        <f>INT((S631-DATE(YEAR(S631-WEEKDAY(S631-0)+4),1,4)+WEEKDAY(DATE(YEAR(S631-WEEKDAY(S631-0)+4),1,4))+6)/7)</f>
        <v>7</v>
      </c>
      <c r="AB631" s="3" t="s">
        <v>642</v>
      </c>
      <c r="AC631" s="7">
        <v>292</v>
      </c>
      <c r="AD631" s="7">
        <v>0</v>
      </c>
      <c r="AE631" s="7">
        <v>0</v>
      </c>
      <c r="AF631" s="3" t="s">
        <v>48</v>
      </c>
      <c r="AG631" s="7">
        <v>2023</v>
      </c>
      <c r="AH631" s="3" t="s">
        <v>112</v>
      </c>
      <c r="AI631" s="3" t="s">
        <v>113</v>
      </c>
      <c r="AJ631" s="3" t="s">
        <v>48</v>
      </c>
      <c r="AK631" s="3" t="s">
        <v>129</v>
      </c>
      <c r="AL631" s="3" t="s">
        <v>59</v>
      </c>
      <c r="AM631" s="3" t="s">
        <v>115</v>
      </c>
      <c r="AN631" s="3" t="s">
        <v>61</v>
      </c>
      <c r="AO631" s="3" t="s">
        <v>62</v>
      </c>
      <c r="AP631" s="3" t="s">
        <v>69</v>
      </c>
      <c r="AQ631" s="3" t="s">
        <v>61</v>
      </c>
      <c r="AR631" s="3" t="s">
        <v>48</v>
      </c>
    </row>
    <row r="632" spans="1:44" ht="30" customHeight="1">
      <c r="A632" s="3" t="s">
        <v>44</v>
      </c>
      <c r="B632" s="3" t="s">
        <v>45</v>
      </c>
      <c r="C632" s="3" t="s">
        <v>46</v>
      </c>
      <c r="D632" s="3" t="s">
        <v>186</v>
      </c>
      <c r="E632" s="3" t="s">
        <v>48</v>
      </c>
      <c r="F632" s="3" t="s">
        <v>271</v>
      </c>
      <c r="G632" s="3" t="s">
        <v>272</v>
      </c>
      <c r="H632" s="4">
        <f>IF(DATEDIF(L632,S632,"m")&gt;12,DATEDIF(L632,S632,"y"),(DATEDIF(L632,S632,"m")/12))</f>
        <v>66</v>
      </c>
      <c r="I632" s="7">
        <f>DATEDIF(L632,S632,"M")</f>
        <v>797</v>
      </c>
      <c r="J632" s="7">
        <f>DATEDIF(L632,S632,"D")</f>
        <v>24283</v>
      </c>
      <c r="K632" s="3" t="s">
        <v>51</v>
      </c>
      <c r="L632" s="21">
        <v>20671</v>
      </c>
      <c r="M632" s="3" t="s">
        <v>45</v>
      </c>
      <c r="N632" s="3" t="s">
        <v>187</v>
      </c>
      <c r="O632" s="3" t="s">
        <v>52</v>
      </c>
      <c r="P632" s="3" t="s">
        <v>273</v>
      </c>
      <c r="Q632" s="7">
        <v>1</v>
      </c>
      <c r="R632" s="8">
        <v>44985</v>
      </c>
      <c r="S632" s="8">
        <v>44954</v>
      </c>
      <c r="T632" s="3" t="s">
        <v>274</v>
      </c>
      <c r="U632" s="3" t="s">
        <v>55</v>
      </c>
      <c r="V632" s="9"/>
      <c r="W632" s="10">
        <v>44991</v>
      </c>
      <c r="X632" s="7">
        <v>6</v>
      </c>
      <c r="Y632" s="7">
        <v>31</v>
      </c>
      <c r="Z632" s="7">
        <v>1</v>
      </c>
      <c r="AA632" s="7">
        <f>INT((S632-DATE(YEAR(S632-WEEKDAY(S632-0)+4),1,4)+WEEKDAY(DATE(YEAR(S632-WEEKDAY(S632-0)+4),1,4))+6)/7)</f>
        <v>4</v>
      </c>
      <c r="AB632" s="3" t="s">
        <v>275</v>
      </c>
      <c r="AC632" s="7">
        <v>124</v>
      </c>
      <c r="AD632" s="7">
        <v>0</v>
      </c>
      <c r="AE632" s="7">
        <v>0</v>
      </c>
      <c r="AF632" s="3" t="s">
        <v>48</v>
      </c>
      <c r="AG632" s="7">
        <v>2023</v>
      </c>
      <c r="AH632" s="3" t="s">
        <v>276</v>
      </c>
      <c r="AI632" s="3" t="s">
        <v>191</v>
      </c>
      <c r="AJ632" s="3" t="s">
        <v>186</v>
      </c>
      <c r="AK632" s="3" t="s">
        <v>277</v>
      </c>
      <c r="AL632" s="3" t="s">
        <v>278</v>
      </c>
      <c r="AM632" s="3" t="s">
        <v>60</v>
      </c>
      <c r="AN632" s="3" t="s">
        <v>61</v>
      </c>
      <c r="AO632" s="3" t="s">
        <v>279</v>
      </c>
      <c r="AP632" s="3" t="s">
        <v>69</v>
      </c>
      <c r="AQ632" s="3" t="s">
        <v>61</v>
      </c>
      <c r="AR632" s="3" t="s">
        <v>48</v>
      </c>
    </row>
    <row r="633" spans="1:44" ht="30" customHeight="1">
      <c r="A633" s="3" t="s">
        <v>44</v>
      </c>
      <c r="B633" s="3" t="s">
        <v>45</v>
      </c>
      <c r="C633" s="3" t="s">
        <v>46</v>
      </c>
      <c r="D633" s="3" t="s">
        <v>108</v>
      </c>
      <c r="E633" s="3" t="s">
        <v>48</v>
      </c>
      <c r="F633" s="3" t="s">
        <v>108</v>
      </c>
      <c r="G633" s="3" t="s">
        <v>718</v>
      </c>
      <c r="H633" s="5">
        <f>IF(DATEDIF(L633,S633,"m")&gt;12,DATEDIF(L633,S633,"y"),(DATEDIF(L633,S633,"m")/12))</f>
        <v>0.33333333333333331</v>
      </c>
      <c r="I633" s="7">
        <f>DATEDIF(L633,S633,"M")</f>
        <v>4</v>
      </c>
      <c r="J633" s="7">
        <f>DATEDIF(L633,S633,"D")</f>
        <v>147</v>
      </c>
      <c r="K633" s="3" t="s">
        <v>64</v>
      </c>
      <c r="L633" s="8">
        <v>44836</v>
      </c>
      <c r="M633" s="3" t="s">
        <v>45</v>
      </c>
      <c r="N633" s="3" t="s">
        <v>73</v>
      </c>
      <c r="O633" s="3" t="s">
        <v>52</v>
      </c>
      <c r="P633" s="3" t="s">
        <v>137</v>
      </c>
      <c r="Q633" s="7">
        <v>0</v>
      </c>
      <c r="R633" s="8">
        <v>44985</v>
      </c>
      <c r="S633" s="8">
        <v>44983</v>
      </c>
      <c r="T633" s="3" t="s">
        <v>54</v>
      </c>
      <c r="U633" s="3" t="s">
        <v>55</v>
      </c>
      <c r="V633" s="9"/>
      <c r="W633" s="10">
        <v>44991</v>
      </c>
      <c r="X633" s="7">
        <v>6</v>
      </c>
      <c r="Y633" s="7">
        <v>2</v>
      </c>
      <c r="Z633" s="7">
        <v>2</v>
      </c>
      <c r="AA633" s="7">
        <f>INT((S633-DATE(YEAR(S633-WEEKDAY(S633-0)+4),1,4)+WEEKDAY(DATE(YEAR(S633-WEEKDAY(S633-0)+4),1,4))+6)/7)</f>
        <v>9</v>
      </c>
      <c r="AB633" s="3" t="s">
        <v>719</v>
      </c>
      <c r="AC633" s="7">
        <v>314</v>
      </c>
      <c r="AD633" s="7">
        <v>0</v>
      </c>
      <c r="AE633" s="7">
        <v>0</v>
      </c>
      <c r="AF633" s="3" t="s">
        <v>48</v>
      </c>
      <c r="AG633" s="7">
        <v>2023</v>
      </c>
      <c r="AH633" s="3" t="s">
        <v>112</v>
      </c>
      <c r="AI633" s="3" t="s">
        <v>48</v>
      </c>
      <c r="AJ633" s="3" t="s">
        <v>48</v>
      </c>
      <c r="AK633" s="3" t="s">
        <v>129</v>
      </c>
      <c r="AL633" s="3" t="s">
        <v>59</v>
      </c>
      <c r="AM633" s="3" t="s">
        <v>115</v>
      </c>
      <c r="AN633" s="3" t="s">
        <v>61</v>
      </c>
      <c r="AO633" s="3" t="s">
        <v>62</v>
      </c>
      <c r="AP633" s="3" t="s">
        <v>69</v>
      </c>
      <c r="AQ633" s="3" t="s">
        <v>61</v>
      </c>
      <c r="AR633" s="3" t="s">
        <v>48</v>
      </c>
    </row>
    <row r="634" spans="1:44" ht="30" customHeight="1">
      <c r="A634" s="3" t="s">
        <v>44</v>
      </c>
      <c r="B634" s="3" t="s">
        <v>45</v>
      </c>
      <c r="C634" s="3" t="s">
        <v>46</v>
      </c>
      <c r="D634" s="3" t="s">
        <v>186</v>
      </c>
      <c r="E634" s="3" t="s">
        <v>48</v>
      </c>
      <c r="F634" s="3" t="s">
        <v>271</v>
      </c>
      <c r="G634" s="3" t="s">
        <v>591</v>
      </c>
      <c r="H634" s="4">
        <f>IF(DATEDIF(L634,S634,"m")&gt;12,DATEDIF(L634,S634,"y"),(DATEDIF(L634,S634,"m")/12))</f>
        <v>3</v>
      </c>
      <c r="I634" s="7">
        <f>DATEDIF(L634,S634,"M")</f>
        <v>43</v>
      </c>
      <c r="J634" s="7">
        <f>DATEDIF(L634,S634,"D")</f>
        <v>1318</v>
      </c>
      <c r="K634" s="3" t="s">
        <v>51</v>
      </c>
      <c r="L634" s="8">
        <v>43640</v>
      </c>
      <c r="M634" s="3" t="s">
        <v>45</v>
      </c>
      <c r="N634" s="3" t="s">
        <v>329</v>
      </c>
      <c r="O634" s="3" t="s">
        <v>52</v>
      </c>
      <c r="P634" s="3" t="s">
        <v>592</v>
      </c>
      <c r="Q634" s="7">
        <v>1</v>
      </c>
      <c r="R634" s="8">
        <v>44985</v>
      </c>
      <c r="S634" s="8">
        <v>44958</v>
      </c>
      <c r="T634" s="3" t="s">
        <v>274</v>
      </c>
      <c r="U634" s="3" t="s">
        <v>55</v>
      </c>
      <c r="V634" s="9"/>
      <c r="W634" s="10">
        <v>44991</v>
      </c>
      <c r="X634" s="7">
        <v>6</v>
      </c>
      <c r="Y634" s="7">
        <v>27</v>
      </c>
      <c r="Z634" s="7">
        <v>2</v>
      </c>
      <c r="AA634" s="7">
        <f>INT((S634-DATE(YEAR(S634-WEEKDAY(S634-0)+4),1,4)+WEEKDAY(DATE(YEAR(S634-WEEKDAY(S634-0)+4),1,4))+6)/7)</f>
        <v>5</v>
      </c>
      <c r="AB634" s="3" t="s">
        <v>593</v>
      </c>
      <c r="AC634" s="7">
        <v>127</v>
      </c>
      <c r="AD634" s="7">
        <v>0</v>
      </c>
      <c r="AE634" s="7">
        <v>0</v>
      </c>
      <c r="AF634" s="3" t="s">
        <v>48</v>
      </c>
      <c r="AG634" s="7">
        <v>2023</v>
      </c>
      <c r="AH634" s="3" t="s">
        <v>276</v>
      </c>
      <c r="AI634" s="3" t="s">
        <v>106</v>
      </c>
      <c r="AJ634" s="3" t="s">
        <v>186</v>
      </c>
      <c r="AK634" s="3" t="s">
        <v>547</v>
      </c>
      <c r="AL634" s="3" t="s">
        <v>278</v>
      </c>
      <c r="AM634" s="3" t="s">
        <v>60</v>
      </c>
      <c r="AN634" s="3" t="s">
        <v>61</v>
      </c>
      <c r="AO634" s="3" t="s">
        <v>279</v>
      </c>
      <c r="AP634" s="3" t="s">
        <v>69</v>
      </c>
      <c r="AQ634" s="3" t="s">
        <v>61</v>
      </c>
      <c r="AR634" s="3" t="s">
        <v>48</v>
      </c>
    </row>
    <row r="635" spans="1:44" ht="30" customHeight="1">
      <c r="A635" s="3" t="s">
        <v>44</v>
      </c>
      <c r="B635" s="3" t="s">
        <v>45</v>
      </c>
      <c r="C635" s="3" t="s">
        <v>46</v>
      </c>
      <c r="D635" s="3" t="s">
        <v>108</v>
      </c>
      <c r="E635" s="3" t="s">
        <v>48</v>
      </c>
      <c r="F635" s="3" t="s">
        <v>108</v>
      </c>
      <c r="G635" s="3" t="s">
        <v>1903</v>
      </c>
      <c r="H635" s="4">
        <f>IF(DATEDIF(L635,S635,"m")&gt;12,DATEDIF(L635,S635,"y"),(DATEDIF(L635,S635,"m")/12))</f>
        <v>51</v>
      </c>
      <c r="I635" s="7">
        <f>DATEDIF(L635,S635,"M")</f>
        <v>623</v>
      </c>
      <c r="J635" s="7">
        <f>DATEDIF(L635,S635,"D")</f>
        <v>18974</v>
      </c>
      <c r="K635" s="3" t="s">
        <v>51</v>
      </c>
      <c r="L635" s="8">
        <v>26013</v>
      </c>
      <c r="M635" s="3" t="s">
        <v>45</v>
      </c>
      <c r="N635" s="3" t="s">
        <v>73</v>
      </c>
      <c r="O635" s="3" t="s">
        <v>52</v>
      </c>
      <c r="P635" s="3" t="s">
        <v>84</v>
      </c>
      <c r="Q635" s="7">
        <v>0</v>
      </c>
      <c r="R635" s="8">
        <v>44988</v>
      </c>
      <c r="S635" s="8">
        <v>44987</v>
      </c>
      <c r="T635" s="3" t="s">
        <v>54</v>
      </c>
      <c r="U635" s="3" t="s">
        <v>55</v>
      </c>
      <c r="V635" s="9"/>
      <c r="W635" s="10">
        <v>44991</v>
      </c>
      <c r="X635" s="7">
        <v>3</v>
      </c>
      <c r="Y635" s="7">
        <v>1</v>
      </c>
      <c r="Z635" s="7">
        <v>3</v>
      </c>
      <c r="AA635" s="7">
        <f>INT((S635-DATE(YEAR(S635-WEEKDAY(S635-0)+4),1,4)+WEEKDAY(DATE(YEAR(S635-WEEKDAY(S635-0)+4),1,4))+6)/7)</f>
        <v>9</v>
      </c>
      <c r="AB635" s="3" t="s">
        <v>1904</v>
      </c>
      <c r="AC635" s="7">
        <v>335</v>
      </c>
      <c r="AD635" s="7">
        <v>0</v>
      </c>
      <c r="AE635" s="7">
        <v>0</v>
      </c>
      <c r="AF635" s="3" t="s">
        <v>48</v>
      </c>
      <c r="AG635" s="7">
        <v>2023</v>
      </c>
      <c r="AH635" s="3" t="s">
        <v>112</v>
      </c>
      <c r="AI635" s="3" t="s">
        <v>113</v>
      </c>
      <c r="AJ635" s="3" t="s">
        <v>48</v>
      </c>
      <c r="AK635" s="3" t="s">
        <v>129</v>
      </c>
      <c r="AL635" s="3" t="s">
        <v>59</v>
      </c>
      <c r="AM635" s="3" t="s">
        <v>115</v>
      </c>
      <c r="AN635" s="3" t="s">
        <v>61</v>
      </c>
      <c r="AO635" s="3" t="s">
        <v>62</v>
      </c>
      <c r="AP635" s="3" t="s">
        <v>69</v>
      </c>
      <c r="AQ635" s="3" t="s">
        <v>61</v>
      </c>
      <c r="AR635" s="3" t="s">
        <v>48</v>
      </c>
    </row>
    <row r="636" spans="1:44" ht="30" customHeight="1">
      <c r="A636" s="3" t="s">
        <v>44</v>
      </c>
      <c r="B636" s="3" t="s">
        <v>45</v>
      </c>
      <c r="C636" s="3" t="s">
        <v>46</v>
      </c>
      <c r="D636" s="3" t="s">
        <v>108</v>
      </c>
      <c r="E636" s="3" t="s">
        <v>48</v>
      </c>
      <c r="F636" s="3" t="s">
        <v>108</v>
      </c>
      <c r="G636" s="3" t="s">
        <v>1541</v>
      </c>
      <c r="H636" s="4">
        <f>IF(DATEDIF(L636,S636,"m")&gt;12,DATEDIF(L636,S636,"y"),(DATEDIF(L636,S636,"m")/12))</f>
        <v>4</v>
      </c>
      <c r="I636" s="7">
        <f>DATEDIF(L636,S636,"M")</f>
        <v>53</v>
      </c>
      <c r="J636" s="7">
        <f>DATEDIF(L636,S636,"D")</f>
        <v>1618</v>
      </c>
      <c r="K636" s="3" t="s">
        <v>64</v>
      </c>
      <c r="L636" s="8">
        <v>43372</v>
      </c>
      <c r="M636" s="3" t="s">
        <v>45</v>
      </c>
      <c r="N636" s="3" t="s">
        <v>73</v>
      </c>
      <c r="O636" s="3" t="s">
        <v>52</v>
      </c>
      <c r="P636" s="3" t="s">
        <v>1542</v>
      </c>
      <c r="Q636" s="7">
        <v>0</v>
      </c>
      <c r="R636" s="8">
        <v>44991</v>
      </c>
      <c r="S636" s="8">
        <v>44990</v>
      </c>
      <c r="T636" s="3" t="s">
        <v>54</v>
      </c>
      <c r="U636" s="3" t="s">
        <v>55</v>
      </c>
      <c r="V636" s="9"/>
      <c r="W636" s="10">
        <v>44998</v>
      </c>
      <c r="X636" s="7">
        <v>7</v>
      </c>
      <c r="Y636" s="7">
        <v>1</v>
      </c>
      <c r="Z636" s="7">
        <v>3</v>
      </c>
      <c r="AA636" s="7">
        <f>INT((S636-DATE(YEAR(S636-WEEKDAY(S636-0)+4),1,4)+WEEKDAY(DATE(YEAR(S636-WEEKDAY(S636-0)+4),1,4))+6)/7)</f>
        <v>10</v>
      </c>
      <c r="AB636" s="3" t="s">
        <v>1543</v>
      </c>
      <c r="AC636" s="7">
        <v>336</v>
      </c>
      <c r="AD636" s="7">
        <v>0</v>
      </c>
      <c r="AE636" s="7">
        <v>0</v>
      </c>
      <c r="AF636" s="3" t="s">
        <v>48</v>
      </c>
      <c r="AG636" s="7">
        <v>2023</v>
      </c>
      <c r="AH636" s="3" t="s">
        <v>112</v>
      </c>
      <c r="AI636" s="3" t="s">
        <v>113</v>
      </c>
      <c r="AJ636" s="3" t="s">
        <v>48</v>
      </c>
      <c r="AK636" s="3" t="s">
        <v>129</v>
      </c>
      <c r="AL636" s="3" t="s">
        <v>59</v>
      </c>
      <c r="AM636" s="3" t="s">
        <v>115</v>
      </c>
      <c r="AN636" s="3" t="s">
        <v>61</v>
      </c>
      <c r="AO636" s="3" t="s">
        <v>62</v>
      </c>
      <c r="AP636" s="3" t="s">
        <v>69</v>
      </c>
      <c r="AQ636" s="3" t="s">
        <v>61</v>
      </c>
      <c r="AR636" s="3" t="s">
        <v>48</v>
      </c>
    </row>
    <row r="637" spans="1:44" ht="30" customHeight="1">
      <c r="A637" s="3" t="s">
        <v>44</v>
      </c>
      <c r="B637" s="3" t="s">
        <v>45</v>
      </c>
      <c r="C637" s="3" t="s">
        <v>46</v>
      </c>
      <c r="D637" s="3" t="s">
        <v>108</v>
      </c>
      <c r="E637" s="3" t="s">
        <v>48</v>
      </c>
      <c r="F637" s="3" t="s">
        <v>108</v>
      </c>
      <c r="G637" s="3" t="s">
        <v>1901</v>
      </c>
      <c r="H637" s="4">
        <f>IF(DATEDIF(L637,S637,"m")&gt;12,DATEDIF(L637,S637,"y"),(DATEDIF(L637,S637,"m")/12))</f>
        <v>3</v>
      </c>
      <c r="I637" s="7">
        <f>DATEDIF(L637,S637,"M")</f>
        <v>43</v>
      </c>
      <c r="J637" s="7">
        <f>DATEDIF(L637,S637,"D")</f>
        <v>1317</v>
      </c>
      <c r="K637" s="3" t="s">
        <v>64</v>
      </c>
      <c r="L637" s="8">
        <v>43676</v>
      </c>
      <c r="M637" s="3" t="s">
        <v>45</v>
      </c>
      <c r="N637" s="3" t="s">
        <v>73</v>
      </c>
      <c r="O637" s="3" t="s">
        <v>52</v>
      </c>
      <c r="P637" s="3" t="s">
        <v>84</v>
      </c>
      <c r="Q637" s="7">
        <v>0</v>
      </c>
      <c r="R637" s="8">
        <v>44994</v>
      </c>
      <c r="S637" s="8">
        <v>44993</v>
      </c>
      <c r="T637" s="3" t="s">
        <v>54</v>
      </c>
      <c r="U637" s="3" t="s">
        <v>55</v>
      </c>
      <c r="V637" s="9"/>
      <c r="W637" s="10">
        <v>44998</v>
      </c>
      <c r="X637" s="7">
        <v>4</v>
      </c>
      <c r="Y637" s="7">
        <v>1</v>
      </c>
      <c r="Z637" s="7">
        <v>3</v>
      </c>
      <c r="AA637" s="7">
        <f>INT((S637-DATE(YEAR(S637-WEEKDAY(S637-0)+4),1,4)+WEEKDAY(DATE(YEAR(S637-WEEKDAY(S637-0)+4),1,4))+6)/7)</f>
        <v>10</v>
      </c>
      <c r="AB637" s="3" t="s">
        <v>1902</v>
      </c>
      <c r="AC637" s="7">
        <v>351</v>
      </c>
      <c r="AD637" s="7">
        <v>0</v>
      </c>
      <c r="AE637" s="7">
        <v>0</v>
      </c>
      <c r="AF637" s="3" t="s">
        <v>48</v>
      </c>
      <c r="AG637" s="7">
        <v>2023</v>
      </c>
      <c r="AH637" s="3" t="s">
        <v>112</v>
      </c>
      <c r="AI637" s="3" t="s">
        <v>113</v>
      </c>
      <c r="AJ637" s="3" t="s">
        <v>48</v>
      </c>
      <c r="AK637" s="26" t="s">
        <v>129</v>
      </c>
      <c r="AL637" s="3" t="s">
        <v>59</v>
      </c>
      <c r="AM637" s="3" t="s">
        <v>115</v>
      </c>
      <c r="AN637" s="3" t="s">
        <v>61</v>
      </c>
      <c r="AO637" s="3" t="s">
        <v>62</v>
      </c>
      <c r="AP637" s="3" t="s">
        <v>69</v>
      </c>
      <c r="AQ637" s="3" t="s">
        <v>61</v>
      </c>
      <c r="AR637" s="3" t="s">
        <v>48</v>
      </c>
    </row>
    <row r="638" spans="1:44" ht="30" customHeight="1">
      <c r="A638" s="3" t="s">
        <v>44</v>
      </c>
      <c r="B638" s="3" t="s">
        <v>45</v>
      </c>
      <c r="C638" s="3" t="s">
        <v>46</v>
      </c>
      <c r="D638" s="3" t="s">
        <v>108</v>
      </c>
      <c r="E638" s="3" t="s">
        <v>48</v>
      </c>
      <c r="F638" s="3" t="s">
        <v>108</v>
      </c>
      <c r="G638" s="3" t="s">
        <v>301</v>
      </c>
      <c r="H638" s="5">
        <f>IF(DATEDIF(L638,S638,"m")&gt;12,DATEDIF(L638,S638,"y"),(DATEDIF(L638,S638,"m")/12))</f>
        <v>0.25</v>
      </c>
      <c r="I638" s="7">
        <f>DATEDIF(L638,S638,"M")</f>
        <v>3</v>
      </c>
      <c r="J638" s="7">
        <f>DATEDIF(L638,S638,"D")</f>
        <v>111</v>
      </c>
      <c r="K638" s="3" t="s">
        <v>64</v>
      </c>
      <c r="L638" s="8">
        <v>44876</v>
      </c>
      <c r="M638" s="3" t="s">
        <v>45</v>
      </c>
      <c r="N638" s="3" t="s">
        <v>73</v>
      </c>
      <c r="O638" s="3" t="s">
        <v>52</v>
      </c>
      <c r="P638" s="3" t="s">
        <v>137</v>
      </c>
      <c r="Q638" s="7">
        <v>0</v>
      </c>
      <c r="R638" s="8">
        <v>45001</v>
      </c>
      <c r="S638" s="8">
        <v>44987</v>
      </c>
      <c r="T638" s="3" t="s">
        <v>54</v>
      </c>
      <c r="U638" s="3" t="s">
        <v>55</v>
      </c>
      <c r="V638" s="9"/>
      <c r="W638" s="10">
        <v>45005</v>
      </c>
      <c r="X638" s="7">
        <v>4</v>
      </c>
      <c r="Y638" s="7">
        <v>14</v>
      </c>
      <c r="Z638" s="7">
        <v>3</v>
      </c>
      <c r="AA638" s="7">
        <f>INT((S638-DATE(YEAR(S638-WEEKDAY(S638-0)+4),1,4)+WEEKDAY(DATE(YEAR(S638-WEEKDAY(S638-0)+4),1,4))+6)/7)</f>
        <v>9</v>
      </c>
      <c r="AB638" s="3" t="s">
        <v>302</v>
      </c>
      <c r="AC638" s="7">
        <v>372</v>
      </c>
      <c r="AD638" s="7">
        <v>0</v>
      </c>
      <c r="AE638" s="7">
        <v>0</v>
      </c>
      <c r="AF638" s="3" t="s">
        <v>48</v>
      </c>
      <c r="AG638" s="7">
        <v>2023</v>
      </c>
      <c r="AH638" s="3" t="s">
        <v>112</v>
      </c>
      <c r="AI638" s="3" t="s">
        <v>113</v>
      </c>
      <c r="AJ638" s="3" t="s">
        <v>48</v>
      </c>
      <c r="AK638" s="3" t="s">
        <v>129</v>
      </c>
      <c r="AL638" s="3" t="s">
        <v>59</v>
      </c>
      <c r="AM638" s="3" t="s">
        <v>115</v>
      </c>
      <c r="AN638" s="3" t="s">
        <v>61</v>
      </c>
      <c r="AO638" s="3" t="s">
        <v>62</v>
      </c>
      <c r="AP638" s="3" t="s">
        <v>69</v>
      </c>
      <c r="AQ638" s="3" t="s">
        <v>61</v>
      </c>
      <c r="AR638" s="3" t="s">
        <v>48</v>
      </c>
    </row>
    <row r="639" spans="1:44" ht="30" customHeight="1">
      <c r="A639" s="3" t="s">
        <v>44</v>
      </c>
      <c r="B639" s="3" t="s">
        <v>45</v>
      </c>
      <c r="C639" s="3" t="s">
        <v>46</v>
      </c>
      <c r="D639" s="3" t="s">
        <v>108</v>
      </c>
      <c r="E639" s="3" t="s">
        <v>48</v>
      </c>
      <c r="F639" s="3" t="s">
        <v>108</v>
      </c>
      <c r="G639" s="3" t="s">
        <v>755</v>
      </c>
      <c r="H639" s="4">
        <f>IF(DATEDIF(L639,S639,"m")&gt;12,DATEDIF(L639,S639,"y"),(DATEDIF(L639,S639,"m")/12))</f>
        <v>6</v>
      </c>
      <c r="I639" s="7">
        <f>DATEDIF(L639,S639,"M")</f>
        <v>79</v>
      </c>
      <c r="J639" s="7">
        <f>DATEDIF(L639,S639,"D")</f>
        <v>2431</v>
      </c>
      <c r="K639" s="3" t="s">
        <v>51</v>
      </c>
      <c r="L639" s="8">
        <v>42598</v>
      </c>
      <c r="M639" s="3" t="s">
        <v>45</v>
      </c>
      <c r="N639" s="3" t="s">
        <v>73</v>
      </c>
      <c r="O639" s="3" t="s">
        <v>52</v>
      </c>
      <c r="P639" s="3" t="s">
        <v>579</v>
      </c>
      <c r="Q639" s="7">
        <v>0</v>
      </c>
      <c r="R639" s="8">
        <v>45033</v>
      </c>
      <c r="S639" s="8">
        <v>45029</v>
      </c>
      <c r="T639" s="3" t="s">
        <v>54</v>
      </c>
      <c r="U639" s="3" t="s">
        <v>55</v>
      </c>
      <c r="V639" s="9"/>
      <c r="W639" s="10">
        <v>45036</v>
      </c>
      <c r="X639" s="7">
        <v>3</v>
      </c>
      <c r="Y639" s="7">
        <v>4</v>
      </c>
      <c r="Z639" s="7">
        <v>4</v>
      </c>
      <c r="AA639" s="7">
        <f>INT((S639-DATE(YEAR(S639-WEEKDAY(S639-0)+4),1,4)+WEEKDAY(DATE(YEAR(S639-WEEKDAY(S639-0)+4),1,4))+6)/7)</f>
        <v>15</v>
      </c>
      <c r="AB639" s="3" t="s">
        <v>756</v>
      </c>
      <c r="AC639" s="7">
        <v>477</v>
      </c>
      <c r="AD639" s="7">
        <v>0</v>
      </c>
      <c r="AE639" s="7">
        <v>0</v>
      </c>
      <c r="AF639" s="3" t="s">
        <v>48</v>
      </c>
      <c r="AG639" s="7">
        <v>2023</v>
      </c>
      <c r="AH639" s="3" t="s">
        <v>112</v>
      </c>
      <c r="AI639" s="3" t="s">
        <v>48</v>
      </c>
      <c r="AJ639" s="3" t="s">
        <v>48</v>
      </c>
      <c r="AK639" s="3" t="s">
        <v>129</v>
      </c>
      <c r="AL639" s="3" t="s">
        <v>59</v>
      </c>
      <c r="AM639" s="3" t="s">
        <v>115</v>
      </c>
      <c r="AN639" s="3" t="s">
        <v>61</v>
      </c>
      <c r="AO639" s="3" t="s">
        <v>62</v>
      </c>
      <c r="AP639" s="3" t="s">
        <v>61</v>
      </c>
      <c r="AQ639" s="3" t="s">
        <v>61</v>
      </c>
      <c r="AR639" s="3" t="s">
        <v>48</v>
      </c>
    </row>
    <row r="640" spans="1:44" ht="30" customHeight="1">
      <c r="A640" s="3" t="s">
        <v>44</v>
      </c>
      <c r="B640" s="3" t="s">
        <v>45</v>
      </c>
      <c r="C640" s="3" t="s">
        <v>46</v>
      </c>
      <c r="D640" s="3" t="s">
        <v>108</v>
      </c>
      <c r="E640" s="3" t="s">
        <v>48</v>
      </c>
      <c r="F640" s="3" t="s">
        <v>108</v>
      </c>
      <c r="G640" s="3" t="s">
        <v>873</v>
      </c>
      <c r="H640" s="4">
        <f>IF(DATEDIF(L640,S640,"m")&gt;12,DATEDIF(L640,S640,"y"),(DATEDIF(L640,S640,"m")/12))</f>
        <v>3</v>
      </c>
      <c r="I640" s="7">
        <f>DATEDIF(L640,S640,"M")</f>
        <v>41</v>
      </c>
      <c r="J640" s="7">
        <f>DATEDIF(L640,S640,"D")</f>
        <v>1248</v>
      </c>
      <c r="K640" s="3" t="s">
        <v>64</v>
      </c>
      <c r="L640" s="8">
        <v>43778</v>
      </c>
      <c r="M640" s="3" t="s">
        <v>45</v>
      </c>
      <c r="N640" s="3" t="s">
        <v>73</v>
      </c>
      <c r="O640" s="3" t="s">
        <v>52</v>
      </c>
      <c r="P640" s="3" t="s">
        <v>874</v>
      </c>
      <c r="Q640" s="7">
        <v>0</v>
      </c>
      <c r="R640" s="8">
        <v>45033</v>
      </c>
      <c r="S640" s="8">
        <v>45026</v>
      </c>
      <c r="T640" s="3" t="s">
        <v>54</v>
      </c>
      <c r="U640" s="3" t="s">
        <v>55</v>
      </c>
      <c r="V640" s="9"/>
      <c r="W640" s="10">
        <v>45036</v>
      </c>
      <c r="X640" s="7">
        <v>3</v>
      </c>
      <c r="Y640" s="7">
        <v>7</v>
      </c>
      <c r="Z640" s="7">
        <v>4</v>
      </c>
      <c r="AA640" s="7">
        <f>INT((S640-DATE(YEAR(S640-WEEKDAY(S640-0)+4),1,4)+WEEKDAY(DATE(YEAR(S640-WEEKDAY(S640-0)+4),1,4))+6)/7)</f>
        <v>15</v>
      </c>
      <c r="AB640" s="3" t="s">
        <v>875</v>
      </c>
      <c r="AC640" s="7">
        <v>482</v>
      </c>
      <c r="AD640" s="7">
        <v>0</v>
      </c>
      <c r="AE640" s="7">
        <v>0</v>
      </c>
      <c r="AF640" s="3" t="s">
        <v>48</v>
      </c>
      <c r="AG640" s="7">
        <v>2023</v>
      </c>
      <c r="AH640" s="3" t="s">
        <v>112</v>
      </c>
      <c r="AI640" s="3" t="s">
        <v>48</v>
      </c>
      <c r="AJ640" s="3" t="s">
        <v>48</v>
      </c>
      <c r="AK640" s="3" t="s">
        <v>129</v>
      </c>
      <c r="AL640" s="3" t="s">
        <v>59</v>
      </c>
      <c r="AM640" s="3" t="s">
        <v>115</v>
      </c>
      <c r="AN640" s="3" t="s">
        <v>61</v>
      </c>
      <c r="AO640" s="3" t="s">
        <v>62</v>
      </c>
      <c r="AP640" s="3" t="s">
        <v>61</v>
      </c>
      <c r="AQ640" s="3" t="s">
        <v>61</v>
      </c>
      <c r="AR640" s="3" t="s">
        <v>48</v>
      </c>
    </row>
    <row r="641" spans="1:44" ht="30" customHeight="1">
      <c r="A641" s="3" t="s">
        <v>44</v>
      </c>
      <c r="B641" s="3" t="s">
        <v>45</v>
      </c>
      <c r="C641" s="3" t="s">
        <v>46</v>
      </c>
      <c r="D641" s="3" t="s">
        <v>186</v>
      </c>
      <c r="E641" s="3" t="s">
        <v>48</v>
      </c>
      <c r="F641" s="3" t="s">
        <v>271</v>
      </c>
      <c r="G641" s="3" t="s">
        <v>1113</v>
      </c>
      <c r="H641" s="4">
        <f>IF(DATEDIF(L641,S641,"m")&gt;12,DATEDIF(L641,S641,"y"),(DATEDIF(L641,S641,"m")/12))</f>
        <v>60</v>
      </c>
      <c r="I641" s="7">
        <f>DATEDIF(L641,S641,"M")</f>
        <v>725</v>
      </c>
      <c r="J641" s="7">
        <f>DATEDIF(L641,S641,"D")</f>
        <v>22081</v>
      </c>
      <c r="K641" s="3" t="s">
        <v>64</v>
      </c>
      <c r="L641" s="8">
        <v>22904</v>
      </c>
      <c r="M641" s="3" t="s">
        <v>45</v>
      </c>
      <c r="N641" s="3" t="s">
        <v>187</v>
      </c>
      <c r="O641" s="3" t="s">
        <v>52</v>
      </c>
      <c r="P641" s="3" t="s">
        <v>490</v>
      </c>
      <c r="Q641" s="7">
        <v>1</v>
      </c>
      <c r="R641" s="8">
        <v>44985</v>
      </c>
      <c r="S641" s="8">
        <v>44985</v>
      </c>
      <c r="T641" s="3" t="s">
        <v>54</v>
      </c>
      <c r="U641" s="3" t="s">
        <v>55</v>
      </c>
      <c r="V641" s="9"/>
      <c r="W641" s="10">
        <v>44991</v>
      </c>
      <c r="X641" s="7">
        <v>6</v>
      </c>
      <c r="Y641" s="7">
        <v>0</v>
      </c>
      <c r="Z641" s="7">
        <v>2</v>
      </c>
      <c r="AA641" s="7">
        <f>INT((S641-DATE(YEAR(S641-WEEKDAY(S641-0)+4),1,4)+WEEKDAY(DATE(YEAR(S641-WEEKDAY(S641-0)+4),1,4))+6)/7)</f>
        <v>9</v>
      </c>
      <c r="AB641" s="3" t="s">
        <v>1114</v>
      </c>
      <c r="AC641" s="7">
        <v>126</v>
      </c>
      <c r="AD641" s="7">
        <v>0</v>
      </c>
      <c r="AE641" s="7">
        <v>0</v>
      </c>
      <c r="AF641" s="3" t="s">
        <v>48</v>
      </c>
      <c r="AG641" s="7">
        <v>2023</v>
      </c>
      <c r="AH641" s="3" t="s">
        <v>276</v>
      </c>
      <c r="AI641" s="3" t="s">
        <v>191</v>
      </c>
      <c r="AJ641" s="3" t="s">
        <v>186</v>
      </c>
      <c r="AK641" s="3" t="s">
        <v>192</v>
      </c>
      <c r="AL641" s="3" t="s">
        <v>59</v>
      </c>
      <c r="AM641" s="3" t="s">
        <v>60</v>
      </c>
      <c r="AN641" s="3" t="s">
        <v>61</v>
      </c>
      <c r="AO641" s="3" t="s">
        <v>48</v>
      </c>
      <c r="AP641" s="3" t="s">
        <v>69</v>
      </c>
      <c r="AQ641" s="3" t="s">
        <v>61</v>
      </c>
      <c r="AR641" s="3" t="s">
        <v>48</v>
      </c>
    </row>
    <row r="642" spans="1:44" ht="30" customHeight="1">
      <c r="A642" s="3" t="s">
        <v>44</v>
      </c>
      <c r="B642" s="3" t="s">
        <v>45</v>
      </c>
      <c r="C642" s="3" t="s">
        <v>46</v>
      </c>
      <c r="D642" s="3" t="s">
        <v>70</v>
      </c>
      <c r="E642" s="3" t="s">
        <v>48</v>
      </c>
      <c r="F642" s="3" t="s">
        <v>71</v>
      </c>
      <c r="G642" s="3" t="s">
        <v>1121</v>
      </c>
      <c r="H642" s="4">
        <f>IF(DATEDIF(L642,S642,"m")&gt;12,DATEDIF(L642,S642,"y"),(DATEDIF(L642,S642,"m")/12))</f>
        <v>48</v>
      </c>
      <c r="I642" s="7">
        <f>DATEDIF(L642,S642,"M")</f>
        <v>586</v>
      </c>
      <c r="J642" s="7">
        <f>DATEDIF(L642,S642,"D")</f>
        <v>17862</v>
      </c>
      <c r="K642" s="3" t="s">
        <v>51</v>
      </c>
      <c r="L642" s="8">
        <v>27128</v>
      </c>
      <c r="M642" s="3" t="s">
        <v>45</v>
      </c>
      <c r="N642" s="3" t="s">
        <v>90</v>
      </c>
      <c r="O642" s="3" t="s">
        <v>52</v>
      </c>
      <c r="P642" s="3" t="s">
        <v>84</v>
      </c>
      <c r="Q642" s="7">
        <v>1</v>
      </c>
      <c r="R642" s="8">
        <v>44991</v>
      </c>
      <c r="S642" s="8">
        <v>44990</v>
      </c>
      <c r="T642" s="3" t="s">
        <v>54</v>
      </c>
      <c r="U642" s="3" t="s">
        <v>55</v>
      </c>
      <c r="V642" s="9"/>
      <c r="W642" s="10">
        <v>44991</v>
      </c>
      <c r="X642" s="7">
        <v>4</v>
      </c>
      <c r="Y642" s="7">
        <v>1</v>
      </c>
      <c r="Z642" s="7">
        <v>3</v>
      </c>
      <c r="AA642" s="7">
        <f>INT((S642-DATE(YEAR(S642-WEEKDAY(S642-0)+4),1,4)+WEEKDAY(DATE(YEAR(S642-WEEKDAY(S642-0)+4),1,4))+6)/7)</f>
        <v>10</v>
      </c>
      <c r="AB642" s="3" t="s">
        <v>1122</v>
      </c>
      <c r="AC642" s="7">
        <v>711</v>
      </c>
      <c r="AD642" s="7">
        <v>0</v>
      </c>
      <c r="AE642" s="7">
        <v>1</v>
      </c>
      <c r="AF642" s="3" t="s">
        <v>48</v>
      </c>
      <c r="AG642" s="7">
        <v>2023</v>
      </c>
      <c r="AH642" s="3" t="s">
        <v>76</v>
      </c>
      <c r="AI642" s="3" t="s">
        <v>166</v>
      </c>
      <c r="AJ642" s="3" t="s">
        <v>78</v>
      </c>
      <c r="AK642" s="3" t="s">
        <v>162</v>
      </c>
      <c r="AL642" s="3" t="s">
        <v>59</v>
      </c>
      <c r="AM642" s="3" t="s">
        <v>60</v>
      </c>
      <c r="AN642" s="3" t="s">
        <v>61</v>
      </c>
      <c r="AO642" s="3" t="s">
        <v>62</v>
      </c>
      <c r="AP642" s="3" t="s">
        <v>69</v>
      </c>
      <c r="AQ642" s="3" t="s">
        <v>69</v>
      </c>
      <c r="AR642" s="3" t="s">
        <v>48</v>
      </c>
    </row>
    <row r="643" spans="1:44" ht="30" customHeight="1">
      <c r="A643" s="3" t="s">
        <v>44</v>
      </c>
      <c r="B643" s="3" t="s">
        <v>45</v>
      </c>
      <c r="C643" s="3" t="s">
        <v>46</v>
      </c>
      <c r="D643" s="3" t="s">
        <v>108</v>
      </c>
      <c r="E643" s="3" t="s">
        <v>48</v>
      </c>
      <c r="F643" s="3" t="s">
        <v>108</v>
      </c>
      <c r="G643" s="3" t="s">
        <v>1594</v>
      </c>
      <c r="H643" s="4">
        <f>IF(DATEDIF(L643,S643,"m")&gt;12,DATEDIF(L643,S643,"y"),(DATEDIF(L643,S643,"m")/12))</f>
        <v>1</v>
      </c>
      <c r="I643" s="7">
        <f>DATEDIF(L643,S643,"M")</f>
        <v>21</v>
      </c>
      <c r="J643" s="7">
        <f>DATEDIF(L643,S643,"D")</f>
        <v>649</v>
      </c>
      <c r="K643" s="3" t="s">
        <v>51</v>
      </c>
      <c r="L643" s="8">
        <v>44380</v>
      </c>
      <c r="M643" s="3" t="s">
        <v>45</v>
      </c>
      <c r="N643" s="3" t="s">
        <v>73</v>
      </c>
      <c r="O643" s="3" t="s">
        <v>52</v>
      </c>
      <c r="P643" s="3" t="s">
        <v>1595</v>
      </c>
      <c r="Q643" s="7">
        <v>0</v>
      </c>
      <c r="R643" s="8">
        <v>45033</v>
      </c>
      <c r="S643" s="8">
        <v>45029</v>
      </c>
      <c r="T643" s="3" t="s">
        <v>54</v>
      </c>
      <c r="U643" s="3" t="s">
        <v>55</v>
      </c>
      <c r="V643" s="9"/>
      <c r="W643" s="10">
        <v>45036</v>
      </c>
      <c r="X643" s="7">
        <v>3</v>
      </c>
      <c r="Y643" s="7">
        <v>0</v>
      </c>
      <c r="Z643" s="7">
        <v>4</v>
      </c>
      <c r="AA643" s="7">
        <f>INT((S643-DATE(YEAR(S643-WEEKDAY(S643-0)+4),1,4)+WEEKDAY(DATE(YEAR(S643-WEEKDAY(S643-0)+4),1,4))+6)/7)</f>
        <v>15</v>
      </c>
      <c r="AB643" s="3" t="s">
        <v>1596</v>
      </c>
      <c r="AC643" s="7">
        <v>480</v>
      </c>
      <c r="AD643" s="7">
        <v>0</v>
      </c>
      <c r="AE643" s="7">
        <v>0</v>
      </c>
      <c r="AF643" s="3" t="s">
        <v>48</v>
      </c>
      <c r="AG643" s="7">
        <v>2023</v>
      </c>
      <c r="AH643" s="3" t="s">
        <v>112</v>
      </c>
      <c r="AI643" s="3" t="s">
        <v>48</v>
      </c>
      <c r="AJ643" s="3" t="s">
        <v>48</v>
      </c>
      <c r="AK643" s="26" t="s">
        <v>129</v>
      </c>
      <c r="AL643" s="3" t="s">
        <v>59</v>
      </c>
      <c r="AM643" s="3" t="s">
        <v>115</v>
      </c>
      <c r="AN643" s="3" t="s">
        <v>61</v>
      </c>
      <c r="AO643" s="3" t="s">
        <v>62</v>
      </c>
      <c r="AP643" s="3" t="s">
        <v>61</v>
      </c>
      <c r="AQ643" s="3" t="s">
        <v>61</v>
      </c>
      <c r="AR643" s="3" t="s">
        <v>48</v>
      </c>
    </row>
    <row r="644" spans="1:44" ht="30" customHeight="1">
      <c r="A644" s="3" t="s">
        <v>44</v>
      </c>
      <c r="B644" s="3" t="s">
        <v>45</v>
      </c>
      <c r="C644" s="3" t="s">
        <v>46</v>
      </c>
      <c r="D644" s="3" t="s">
        <v>186</v>
      </c>
      <c r="E644" s="3" t="s">
        <v>48</v>
      </c>
      <c r="F644" s="3" t="s">
        <v>271</v>
      </c>
      <c r="G644" s="3" t="s">
        <v>1319</v>
      </c>
      <c r="H644" s="4">
        <f>IF(DATEDIF(L644,S644,"m")&gt;12,DATEDIF(L644,S644,"y"),(DATEDIF(L644,S644,"m")/12))</f>
        <v>1</v>
      </c>
      <c r="I644" s="7">
        <f>DATEDIF(L644,S644,"M")</f>
        <v>20</v>
      </c>
      <c r="J644" s="7">
        <f>DATEDIF(L644,S644,"D")</f>
        <v>620</v>
      </c>
      <c r="K644" s="3" t="s">
        <v>51</v>
      </c>
      <c r="L644" s="8">
        <v>44365</v>
      </c>
      <c r="M644" s="3" t="s">
        <v>45</v>
      </c>
      <c r="N644" s="3" t="s">
        <v>187</v>
      </c>
      <c r="O644" s="3" t="s">
        <v>52</v>
      </c>
      <c r="P644" s="3" t="s">
        <v>1320</v>
      </c>
      <c r="Q644" s="7">
        <v>0</v>
      </c>
      <c r="R644" s="8">
        <v>44987</v>
      </c>
      <c r="S644" s="8">
        <v>44985</v>
      </c>
      <c r="T644" s="3" t="s">
        <v>54</v>
      </c>
      <c r="U644" s="3" t="s">
        <v>55</v>
      </c>
      <c r="V644" s="9"/>
      <c r="W644" s="10">
        <v>44991</v>
      </c>
      <c r="X644" s="7">
        <v>4</v>
      </c>
      <c r="Y644" s="7">
        <v>2</v>
      </c>
      <c r="Z644" s="7">
        <v>2</v>
      </c>
      <c r="AA644" s="7">
        <f>INT((S644-DATE(YEAR(S644-WEEKDAY(S644-0)+4),1,4)+WEEKDAY(DATE(YEAR(S644-WEEKDAY(S644-0)+4),1,4))+6)/7)</f>
        <v>9</v>
      </c>
      <c r="AB644" s="3" t="s">
        <v>1321</v>
      </c>
      <c r="AC644" s="7">
        <v>123</v>
      </c>
      <c r="AD644" s="7">
        <v>0</v>
      </c>
      <c r="AE644" s="7">
        <v>0</v>
      </c>
      <c r="AF644" s="3" t="s">
        <v>48</v>
      </c>
      <c r="AG644" s="7">
        <v>2023</v>
      </c>
      <c r="AH644" s="3" t="s">
        <v>276</v>
      </c>
      <c r="AI644" s="3" t="s">
        <v>191</v>
      </c>
      <c r="AJ644" s="3" t="s">
        <v>186</v>
      </c>
      <c r="AK644" s="3" t="s">
        <v>883</v>
      </c>
      <c r="AL644" s="3" t="s">
        <v>59</v>
      </c>
      <c r="AM644" s="3" t="s">
        <v>60</v>
      </c>
      <c r="AN644" s="3" t="s">
        <v>61</v>
      </c>
      <c r="AO644" s="3" t="s">
        <v>62</v>
      </c>
      <c r="AP644" s="3" t="s">
        <v>69</v>
      </c>
      <c r="AQ644" s="3" t="s">
        <v>61</v>
      </c>
      <c r="AR644" s="3" t="s">
        <v>48</v>
      </c>
    </row>
    <row r="645" spans="1:44" ht="30" customHeight="1">
      <c r="A645" s="3" t="s">
        <v>44</v>
      </c>
      <c r="B645" s="3" t="s">
        <v>45</v>
      </c>
      <c r="C645" s="3" t="s">
        <v>46</v>
      </c>
      <c r="D645" s="3" t="s">
        <v>186</v>
      </c>
      <c r="E645" s="3" t="s">
        <v>48</v>
      </c>
      <c r="F645" s="3" t="s">
        <v>271</v>
      </c>
      <c r="G645" s="3" t="s">
        <v>1380</v>
      </c>
      <c r="H645" s="4">
        <f>IF(DATEDIF(L645,S645,"m")&gt;12,DATEDIF(L645,S645,"y"),(DATEDIF(L645,S645,"m")/12))</f>
        <v>12</v>
      </c>
      <c r="I645" s="7">
        <f>DATEDIF(L645,S645,"M")</f>
        <v>146</v>
      </c>
      <c r="J645" s="7">
        <f>DATEDIF(L645,S645,"D")</f>
        <v>4457</v>
      </c>
      <c r="K645" s="3" t="s">
        <v>64</v>
      </c>
      <c r="L645" s="8">
        <v>40528</v>
      </c>
      <c r="M645" s="3" t="s">
        <v>45</v>
      </c>
      <c r="N645" s="3" t="s">
        <v>187</v>
      </c>
      <c r="O645" s="3" t="s">
        <v>52</v>
      </c>
      <c r="P645" s="3" t="s">
        <v>815</v>
      </c>
      <c r="Q645" s="7">
        <v>1</v>
      </c>
      <c r="R645" s="8">
        <v>44985</v>
      </c>
      <c r="S645" s="8">
        <v>44985</v>
      </c>
      <c r="T645" s="3" t="s">
        <v>274</v>
      </c>
      <c r="U645" s="3" t="s">
        <v>55</v>
      </c>
      <c r="V645" s="9"/>
      <c r="W645" s="10">
        <v>44991</v>
      </c>
      <c r="X645" s="7">
        <v>6</v>
      </c>
      <c r="Y645" s="7">
        <v>0</v>
      </c>
      <c r="Z645" s="7">
        <v>2</v>
      </c>
      <c r="AA645" s="7">
        <f>INT((S645-DATE(YEAR(S645-WEEKDAY(S645-0)+4),1,4)+WEEKDAY(DATE(YEAR(S645-WEEKDAY(S645-0)+4),1,4))+6)/7)</f>
        <v>9</v>
      </c>
      <c r="AB645" s="3" t="s">
        <v>1381</v>
      </c>
      <c r="AC645" s="7">
        <v>125</v>
      </c>
      <c r="AD645" s="7">
        <v>0</v>
      </c>
      <c r="AE645" s="7">
        <v>0</v>
      </c>
      <c r="AF645" s="3" t="s">
        <v>48</v>
      </c>
      <c r="AG645" s="7">
        <v>2023</v>
      </c>
      <c r="AH645" s="3" t="s">
        <v>276</v>
      </c>
      <c r="AI645" s="3" t="s">
        <v>191</v>
      </c>
      <c r="AJ645" s="3" t="s">
        <v>186</v>
      </c>
      <c r="AK645" s="3" t="s">
        <v>1382</v>
      </c>
      <c r="AL645" s="3" t="s">
        <v>278</v>
      </c>
      <c r="AM645" s="3" t="s">
        <v>60</v>
      </c>
      <c r="AN645" s="3" t="s">
        <v>61</v>
      </c>
      <c r="AO645" s="3" t="s">
        <v>279</v>
      </c>
      <c r="AP645" s="3" t="s">
        <v>69</v>
      </c>
      <c r="AQ645" s="3" t="s">
        <v>61</v>
      </c>
      <c r="AR645" s="3" t="s">
        <v>48</v>
      </c>
    </row>
    <row r="646" spans="1:44" ht="30" customHeight="1">
      <c r="A646" s="3" t="s">
        <v>44</v>
      </c>
      <c r="B646" s="3" t="s">
        <v>45</v>
      </c>
      <c r="C646" s="3" t="s">
        <v>80</v>
      </c>
      <c r="D646" s="3" t="s">
        <v>81</v>
      </c>
      <c r="E646" s="3" t="s">
        <v>48</v>
      </c>
      <c r="F646" s="3" t="s">
        <v>444</v>
      </c>
      <c r="G646" s="3" t="s">
        <v>510</v>
      </c>
      <c r="H646" s="4">
        <f>IF(DATEDIF(L646,S646,"m")&gt;12,DATEDIF(L646,S646,"y"),(DATEDIF(L646,S646,"m")/12))</f>
        <v>27</v>
      </c>
      <c r="I646" s="7">
        <f>DATEDIF(L646,S646,"M")</f>
        <v>331</v>
      </c>
      <c r="J646" s="7">
        <f>DATEDIF(L646,S646,"D")</f>
        <v>10088</v>
      </c>
      <c r="K646" s="3" t="s">
        <v>51</v>
      </c>
      <c r="L646" s="8">
        <v>34920</v>
      </c>
      <c r="M646" s="3" t="s">
        <v>45</v>
      </c>
      <c r="N646" s="3" t="s">
        <v>73</v>
      </c>
      <c r="O646" s="3" t="s">
        <v>52</v>
      </c>
      <c r="P646" s="3" t="s">
        <v>511</v>
      </c>
      <c r="Q646" s="7">
        <v>1</v>
      </c>
      <c r="R646" s="8">
        <v>45008</v>
      </c>
      <c r="S646" s="8">
        <v>45008</v>
      </c>
      <c r="T646" s="3" t="s">
        <v>54</v>
      </c>
      <c r="U646" s="3" t="s">
        <v>55</v>
      </c>
      <c r="V646" s="9"/>
      <c r="W646" s="10">
        <v>45012</v>
      </c>
      <c r="X646" s="7">
        <v>4</v>
      </c>
      <c r="Y646" s="7">
        <v>0</v>
      </c>
      <c r="Z646" s="7">
        <v>3</v>
      </c>
      <c r="AA646" s="7">
        <f>INT((S646-DATE(YEAR(S646-WEEKDAY(S646-0)+4),1,4)+WEEKDAY(DATE(YEAR(S646-WEEKDAY(S646-0)+4),1,4))+6)/7)</f>
        <v>12</v>
      </c>
      <c r="AB646" s="3" t="s">
        <v>512</v>
      </c>
      <c r="AC646" s="7">
        <v>97</v>
      </c>
      <c r="AD646" s="7">
        <v>0</v>
      </c>
      <c r="AE646" s="7">
        <v>0</v>
      </c>
      <c r="AF646" s="3" t="s">
        <v>48</v>
      </c>
      <c r="AG646" s="7">
        <v>2023</v>
      </c>
      <c r="AH646" s="3" t="s">
        <v>447</v>
      </c>
      <c r="AI646" s="3" t="s">
        <v>48</v>
      </c>
      <c r="AJ646" s="3" t="s">
        <v>48</v>
      </c>
      <c r="AK646" s="3" t="s">
        <v>354</v>
      </c>
      <c r="AL646" s="3" t="s">
        <v>59</v>
      </c>
      <c r="AM646" s="3" t="s">
        <v>99</v>
      </c>
      <c r="AN646" s="3" t="s">
        <v>61</v>
      </c>
      <c r="AO646" s="3" t="s">
        <v>62</v>
      </c>
      <c r="AP646" s="3" t="s">
        <v>69</v>
      </c>
      <c r="AQ646" s="3" t="s">
        <v>61</v>
      </c>
      <c r="AR646" s="3" t="s">
        <v>48</v>
      </c>
    </row>
    <row r="647" spans="1:44" ht="30" customHeight="1">
      <c r="A647" s="3" t="s">
        <v>44</v>
      </c>
      <c r="B647" s="3" t="s">
        <v>45</v>
      </c>
      <c r="C647" s="3" t="s">
        <v>46</v>
      </c>
      <c r="D647" s="3" t="s">
        <v>108</v>
      </c>
      <c r="E647" s="3" t="s">
        <v>48</v>
      </c>
      <c r="F647" s="3" t="s">
        <v>108</v>
      </c>
      <c r="G647" s="3" t="s">
        <v>802</v>
      </c>
      <c r="H647" s="4">
        <f>IF(DATEDIF(L647,S647,"m")&gt;12,DATEDIF(L647,S647,"y"),(DATEDIF(L647,S647,"m")/12))</f>
        <v>1</v>
      </c>
      <c r="I647" s="7">
        <f>DATEDIF(L647,S647,"M")</f>
        <v>21</v>
      </c>
      <c r="J647" s="7">
        <f>DATEDIF(L647,S647,"D")</f>
        <v>645</v>
      </c>
      <c r="K647" s="3" t="s">
        <v>51</v>
      </c>
      <c r="L647" s="8">
        <v>44372</v>
      </c>
      <c r="M647" s="3" t="s">
        <v>45</v>
      </c>
      <c r="N647" s="3" t="s">
        <v>73</v>
      </c>
      <c r="O647" s="3" t="s">
        <v>52</v>
      </c>
      <c r="P647" s="3" t="s">
        <v>803</v>
      </c>
      <c r="Q647" s="7">
        <v>0</v>
      </c>
      <c r="R647" s="8">
        <v>45019</v>
      </c>
      <c r="S647" s="8">
        <v>45017</v>
      </c>
      <c r="T647" s="3" t="s">
        <v>54</v>
      </c>
      <c r="U647" s="3" t="s">
        <v>55</v>
      </c>
      <c r="V647" s="9"/>
      <c r="W647" s="10">
        <v>44929</v>
      </c>
      <c r="X647" s="7">
        <v>2</v>
      </c>
      <c r="Y647" s="7">
        <v>2</v>
      </c>
      <c r="Z647" s="7">
        <v>4</v>
      </c>
      <c r="AA647" s="7">
        <f>INT((S647-DATE(YEAR(S647-WEEKDAY(S647-0)+4),1,4)+WEEKDAY(DATE(YEAR(S647-WEEKDAY(S647-0)+4),1,4))+6)/7)</f>
        <v>13</v>
      </c>
      <c r="AB647" s="3" t="s">
        <v>804</v>
      </c>
      <c r="AC647" s="7">
        <v>115</v>
      </c>
      <c r="AD647" s="7">
        <v>0</v>
      </c>
      <c r="AE647" s="7">
        <v>0</v>
      </c>
      <c r="AF647" s="3" t="s">
        <v>48</v>
      </c>
      <c r="AG647" s="7">
        <v>2023</v>
      </c>
      <c r="AH647" s="26" t="s">
        <v>112</v>
      </c>
      <c r="AI647" s="3" t="s">
        <v>113</v>
      </c>
      <c r="AJ647" s="3" t="s">
        <v>48</v>
      </c>
      <c r="AK647" s="3" t="s">
        <v>195</v>
      </c>
      <c r="AL647" s="3" t="s">
        <v>59</v>
      </c>
      <c r="AM647" s="3" t="s">
        <v>115</v>
      </c>
      <c r="AN647" s="3" t="s">
        <v>61</v>
      </c>
      <c r="AO647" s="3" t="s">
        <v>62</v>
      </c>
      <c r="AP647" s="3" t="s">
        <v>61</v>
      </c>
      <c r="AQ647" s="3" t="s">
        <v>61</v>
      </c>
      <c r="AR647" s="3" t="s">
        <v>48</v>
      </c>
    </row>
    <row r="648" spans="1:44" ht="30" customHeight="1">
      <c r="A648" s="3" t="s">
        <v>44</v>
      </c>
      <c r="B648" s="3" t="s">
        <v>45</v>
      </c>
      <c r="C648" s="3" t="s">
        <v>46</v>
      </c>
      <c r="D648" s="3" t="s">
        <v>108</v>
      </c>
      <c r="E648" s="3" t="s">
        <v>48</v>
      </c>
      <c r="F648" s="3" t="s">
        <v>108</v>
      </c>
      <c r="G648" s="3" t="s">
        <v>213</v>
      </c>
      <c r="H648" s="4">
        <f>IF(DATEDIF(L648,S648,"m")&gt;12,DATEDIF(L648,S648,"y"),(DATEDIF(L648,S648,"m")/12))</f>
        <v>7</v>
      </c>
      <c r="I648" s="7">
        <f>DATEDIF(L648,S648,"M")</f>
        <v>92</v>
      </c>
      <c r="J648" s="7">
        <f>DATEDIF(L648,S648,"D")</f>
        <v>2826</v>
      </c>
      <c r="K648" s="3" t="s">
        <v>51</v>
      </c>
      <c r="L648" s="8">
        <v>42106</v>
      </c>
      <c r="M648" s="3" t="s">
        <v>45</v>
      </c>
      <c r="N648" s="3" t="s">
        <v>73</v>
      </c>
      <c r="O648" s="3" t="s">
        <v>52</v>
      </c>
      <c r="P648" s="3" t="s">
        <v>91</v>
      </c>
      <c r="Q648" s="7">
        <v>0</v>
      </c>
      <c r="R648" s="8">
        <v>44932</v>
      </c>
      <c r="S648" s="8">
        <v>44932</v>
      </c>
      <c r="T648" s="3" t="s">
        <v>54</v>
      </c>
      <c r="U648" s="3" t="s">
        <v>55</v>
      </c>
      <c r="V648" s="9"/>
      <c r="W648" s="10">
        <v>44936</v>
      </c>
      <c r="X648" s="7">
        <v>4</v>
      </c>
      <c r="Y648" s="7">
        <v>0</v>
      </c>
      <c r="Z648" s="7">
        <v>1</v>
      </c>
      <c r="AA648" s="7">
        <f>INT((S648-DATE(YEAR(S648-WEEKDAY(S648-0)+4),1,4)+WEEKDAY(DATE(YEAR(S648-WEEKDAY(S648-0)+4),1,4))+6)/7)</f>
        <v>1</v>
      </c>
      <c r="AB648" s="3" t="s">
        <v>1593</v>
      </c>
      <c r="AC648" s="7">
        <v>126</v>
      </c>
      <c r="AD648" s="7">
        <v>0</v>
      </c>
      <c r="AE648" s="7">
        <v>0</v>
      </c>
      <c r="AF648" s="3" t="s">
        <v>48</v>
      </c>
      <c r="AG648" s="7">
        <v>2023</v>
      </c>
      <c r="AH648" s="3" t="s">
        <v>112</v>
      </c>
      <c r="AI648" s="3" t="s">
        <v>113</v>
      </c>
      <c r="AJ648" s="3" t="s">
        <v>48</v>
      </c>
      <c r="AK648" s="3" t="s">
        <v>195</v>
      </c>
      <c r="AL648" s="3" t="s">
        <v>59</v>
      </c>
      <c r="AM648" s="3" t="s">
        <v>115</v>
      </c>
      <c r="AN648" s="3" t="s">
        <v>61</v>
      </c>
      <c r="AO648" s="3" t="s">
        <v>62</v>
      </c>
      <c r="AP648" s="3" t="s">
        <v>69</v>
      </c>
      <c r="AQ648" s="3" t="s">
        <v>61</v>
      </c>
      <c r="AR648" s="3" t="s">
        <v>48</v>
      </c>
    </row>
    <row r="649" spans="1:44" ht="30" customHeight="1">
      <c r="A649" s="3" t="s">
        <v>44</v>
      </c>
      <c r="B649" s="3" t="s">
        <v>45</v>
      </c>
      <c r="C649" s="3" t="s">
        <v>46</v>
      </c>
      <c r="D649" s="3" t="s">
        <v>70</v>
      </c>
      <c r="E649" s="3" t="s">
        <v>48</v>
      </c>
      <c r="F649" s="3" t="s">
        <v>71</v>
      </c>
      <c r="G649" s="3" t="s">
        <v>1708</v>
      </c>
      <c r="H649" s="4">
        <v>2</v>
      </c>
      <c r="I649" s="7">
        <v>0</v>
      </c>
      <c r="J649" s="7">
        <v>0</v>
      </c>
      <c r="K649" s="3" t="s">
        <v>51</v>
      </c>
      <c r="L649" s="22"/>
      <c r="M649" s="3" t="s">
        <v>45</v>
      </c>
      <c r="N649" s="3" t="s">
        <v>203</v>
      </c>
      <c r="O649" s="3" t="s">
        <v>52</v>
      </c>
      <c r="P649" s="3" t="s">
        <v>110</v>
      </c>
      <c r="Q649" s="7">
        <v>1</v>
      </c>
      <c r="R649" s="8">
        <v>44990</v>
      </c>
      <c r="S649" s="8">
        <v>44989</v>
      </c>
      <c r="T649" s="3" t="s">
        <v>54</v>
      </c>
      <c r="U649" s="3" t="s">
        <v>55</v>
      </c>
      <c r="V649" s="9"/>
      <c r="W649" s="10">
        <v>44991</v>
      </c>
      <c r="X649" s="7">
        <v>1</v>
      </c>
      <c r="Y649" s="7">
        <v>1</v>
      </c>
      <c r="Z649" s="7">
        <v>3</v>
      </c>
      <c r="AA649" s="7">
        <f>INT((S649-DATE(YEAR(S649-WEEKDAY(S649-0)+4),1,4)+WEEKDAY(DATE(YEAR(S649-WEEKDAY(S649-0)+4),1,4))+6)/7)</f>
        <v>9</v>
      </c>
      <c r="AB649" s="3" t="s">
        <v>1709</v>
      </c>
      <c r="AC649" s="7">
        <v>712</v>
      </c>
      <c r="AD649" s="7">
        <v>0</v>
      </c>
      <c r="AE649" s="7">
        <v>1</v>
      </c>
      <c r="AF649" s="3" t="s">
        <v>48</v>
      </c>
      <c r="AG649" s="7">
        <v>2023</v>
      </c>
      <c r="AH649" s="3" t="s">
        <v>76</v>
      </c>
      <c r="AI649" s="3" t="s">
        <v>166</v>
      </c>
      <c r="AJ649" s="3" t="s">
        <v>78</v>
      </c>
      <c r="AK649" s="12" t="s">
        <v>327</v>
      </c>
      <c r="AL649" s="3" t="s">
        <v>59</v>
      </c>
      <c r="AM649" s="3" t="s">
        <v>60</v>
      </c>
      <c r="AN649" s="3" t="s">
        <v>61</v>
      </c>
      <c r="AO649" s="3" t="s">
        <v>62</v>
      </c>
      <c r="AP649" s="3" t="s">
        <v>69</v>
      </c>
      <c r="AQ649" s="3" t="s">
        <v>61</v>
      </c>
      <c r="AR649" s="3" t="s">
        <v>48</v>
      </c>
    </row>
    <row r="650" spans="1:44" ht="30" customHeight="1">
      <c r="A650" s="3" t="s">
        <v>44</v>
      </c>
      <c r="B650" s="3" t="s">
        <v>45</v>
      </c>
      <c r="C650" s="3" t="s">
        <v>46</v>
      </c>
      <c r="D650" s="3" t="s">
        <v>108</v>
      </c>
      <c r="E650" s="3" t="s">
        <v>48</v>
      </c>
      <c r="F650" s="3" t="s">
        <v>108</v>
      </c>
      <c r="G650" s="3" t="s">
        <v>191</v>
      </c>
      <c r="H650" s="5">
        <f>IF(DATEDIF(L650,S650,"m")&gt;12,DATEDIF(L650,S650,"y"),(DATEDIF(L650,S650,"m")/12))</f>
        <v>0.5</v>
      </c>
      <c r="I650" s="7">
        <f>DATEDIF(L650,S650,"M")</f>
        <v>6</v>
      </c>
      <c r="J650" s="7">
        <f>DATEDIF(L650,S650,"D")</f>
        <v>201</v>
      </c>
      <c r="K650" s="3" t="s">
        <v>51</v>
      </c>
      <c r="L650" s="8">
        <v>44730</v>
      </c>
      <c r="M650" s="3" t="s">
        <v>45</v>
      </c>
      <c r="N650" s="3" t="s">
        <v>73</v>
      </c>
      <c r="O650" s="3" t="s">
        <v>52</v>
      </c>
      <c r="P650" s="3" t="s">
        <v>169</v>
      </c>
      <c r="Q650" s="7">
        <v>0</v>
      </c>
      <c r="R650" s="8">
        <v>44931</v>
      </c>
      <c r="S650" s="8">
        <v>44931</v>
      </c>
      <c r="T650" s="3" t="s">
        <v>54</v>
      </c>
      <c r="U650" s="3" t="s">
        <v>55</v>
      </c>
      <c r="V650" s="9"/>
      <c r="W650" s="10">
        <v>44936</v>
      </c>
      <c r="X650" s="7">
        <v>5</v>
      </c>
      <c r="Y650" s="7">
        <v>0</v>
      </c>
      <c r="Z650" s="7">
        <v>1</v>
      </c>
      <c r="AA650" s="7">
        <f>INT((S650-DATE(YEAR(S650-WEEKDAY(S650-0)+4),1,4)+WEEKDAY(DATE(YEAR(S650-WEEKDAY(S650-0)+4),1,4))+6)/7)</f>
        <v>1</v>
      </c>
      <c r="AB650" s="3" t="s">
        <v>2101</v>
      </c>
      <c r="AC650" s="7">
        <v>119</v>
      </c>
      <c r="AD650" s="7">
        <v>0</v>
      </c>
      <c r="AE650" s="7">
        <v>0</v>
      </c>
      <c r="AF650" s="3" t="s">
        <v>48</v>
      </c>
      <c r="AG650" s="7">
        <v>2023</v>
      </c>
      <c r="AH650" s="3" t="s">
        <v>112</v>
      </c>
      <c r="AI650" s="3" t="s">
        <v>113</v>
      </c>
      <c r="AJ650" s="3" t="s">
        <v>48</v>
      </c>
      <c r="AK650" s="3" t="s">
        <v>195</v>
      </c>
      <c r="AL650" s="3" t="s">
        <v>59</v>
      </c>
      <c r="AM650" s="3" t="s">
        <v>115</v>
      </c>
      <c r="AN650" s="3" t="s">
        <v>61</v>
      </c>
      <c r="AO650" s="3" t="s">
        <v>62</v>
      </c>
      <c r="AP650" s="3" t="s">
        <v>69</v>
      </c>
      <c r="AQ650" s="3" t="s">
        <v>61</v>
      </c>
      <c r="AR650" s="3" t="s">
        <v>48</v>
      </c>
    </row>
    <row r="651" spans="1:44" ht="30" customHeight="1">
      <c r="A651" s="3" t="s">
        <v>44</v>
      </c>
      <c r="B651" s="3" t="s">
        <v>45</v>
      </c>
      <c r="C651" s="3" t="s">
        <v>46</v>
      </c>
      <c r="D651" s="3" t="s">
        <v>108</v>
      </c>
      <c r="E651" s="3" t="s">
        <v>48</v>
      </c>
      <c r="F651" s="3" t="s">
        <v>108</v>
      </c>
      <c r="G651" s="3" t="s">
        <v>2256</v>
      </c>
      <c r="H651" s="5">
        <f>IF(DATEDIF(L651,S651,"m")&gt;12,DATEDIF(L651,S651,"y"),(DATEDIF(L651,S651,"m")/12))</f>
        <v>0.83333333333333337</v>
      </c>
      <c r="I651" s="7">
        <f>DATEDIF(L651,S651,"M")</f>
        <v>10</v>
      </c>
      <c r="J651" s="7">
        <f>DATEDIF(L651,S651,"D")</f>
        <v>315</v>
      </c>
      <c r="K651" s="3" t="s">
        <v>51</v>
      </c>
      <c r="L651" s="8">
        <v>44616</v>
      </c>
      <c r="M651" s="3" t="s">
        <v>45</v>
      </c>
      <c r="N651" s="3" t="s">
        <v>73</v>
      </c>
      <c r="O651" s="3" t="s">
        <v>52</v>
      </c>
      <c r="P651" s="3" t="s">
        <v>137</v>
      </c>
      <c r="Q651" s="7">
        <v>0</v>
      </c>
      <c r="R651" s="8">
        <v>44931</v>
      </c>
      <c r="S651" s="8">
        <v>44931</v>
      </c>
      <c r="T651" s="3" t="s">
        <v>54</v>
      </c>
      <c r="U651" s="3" t="s">
        <v>55</v>
      </c>
      <c r="V651" s="9"/>
      <c r="W651" s="10">
        <v>44936</v>
      </c>
      <c r="X651" s="7">
        <v>5</v>
      </c>
      <c r="Y651" s="7">
        <v>0</v>
      </c>
      <c r="Z651" s="7">
        <v>1</v>
      </c>
      <c r="AA651" s="7">
        <f>INT((S651-DATE(YEAR(S651-WEEKDAY(S651-0)+4),1,4)+WEEKDAY(DATE(YEAR(S651-WEEKDAY(S651-0)+4),1,4))+6)/7)</f>
        <v>1</v>
      </c>
      <c r="AB651" s="3" t="s">
        <v>2257</v>
      </c>
      <c r="AC651" s="7">
        <v>122</v>
      </c>
      <c r="AD651" s="7">
        <v>0</v>
      </c>
      <c r="AE651" s="7">
        <v>0</v>
      </c>
      <c r="AF651" s="3" t="s">
        <v>48</v>
      </c>
      <c r="AG651" s="7">
        <v>2023</v>
      </c>
      <c r="AH651" s="3" t="s">
        <v>112</v>
      </c>
      <c r="AI651" s="3" t="s">
        <v>113</v>
      </c>
      <c r="AJ651" s="3" t="s">
        <v>48</v>
      </c>
      <c r="AK651" s="3" t="s">
        <v>195</v>
      </c>
      <c r="AL651" s="3" t="s">
        <v>59</v>
      </c>
      <c r="AM651" s="3" t="s">
        <v>115</v>
      </c>
      <c r="AN651" s="3" t="s">
        <v>61</v>
      </c>
      <c r="AO651" s="3" t="s">
        <v>62</v>
      </c>
      <c r="AP651" s="3" t="s">
        <v>69</v>
      </c>
      <c r="AQ651" s="3" t="s">
        <v>61</v>
      </c>
      <c r="AR651" s="3" t="s">
        <v>48</v>
      </c>
    </row>
    <row r="652" spans="1:44" ht="30" customHeight="1">
      <c r="A652" s="3" t="s">
        <v>44</v>
      </c>
      <c r="B652" s="3" t="s">
        <v>45</v>
      </c>
      <c r="C652" s="3" t="s">
        <v>46</v>
      </c>
      <c r="D652" s="3" t="s">
        <v>108</v>
      </c>
      <c r="E652" s="3" t="s">
        <v>48</v>
      </c>
      <c r="F652" s="3" t="s">
        <v>108</v>
      </c>
      <c r="G652" s="3" t="s">
        <v>1822</v>
      </c>
      <c r="H652" s="4">
        <f>IF(DATEDIF(L652,S652,"m")&gt;12,DATEDIF(L652,S652,"y"),(DATEDIF(L652,S652,"m")/12))</f>
        <v>3</v>
      </c>
      <c r="I652" s="7">
        <f>DATEDIF(L652,S652,"M")</f>
        <v>41</v>
      </c>
      <c r="J652" s="7">
        <f>DATEDIF(L652,S652,"D")</f>
        <v>1270</v>
      </c>
      <c r="K652" s="3" t="s">
        <v>64</v>
      </c>
      <c r="L652" s="27">
        <v>43676</v>
      </c>
      <c r="M652" s="3" t="s">
        <v>45</v>
      </c>
      <c r="N652" s="3" t="s">
        <v>73</v>
      </c>
      <c r="O652" s="3" t="s">
        <v>52</v>
      </c>
      <c r="P652" s="3" t="s">
        <v>180</v>
      </c>
      <c r="Q652" s="7">
        <v>0</v>
      </c>
      <c r="R652" s="8">
        <v>44949</v>
      </c>
      <c r="S652" s="8">
        <v>44946</v>
      </c>
      <c r="T652" s="3" t="s">
        <v>54</v>
      </c>
      <c r="U652" s="3" t="s">
        <v>55</v>
      </c>
      <c r="V652" s="9"/>
      <c r="W652" s="10">
        <v>44957</v>
      </c>
      <c r="X652" s="7">
        <v>8</v>
      </c>
      <c r="Y652" s="7">
        <v>3</v>
      </c>
      <c r="Z652" s="7">
        <v>1</v>
      </c>
      <c r="AA652" s="7">
        <f>INT((S652-DATE(YEAR(S652-WEEKDAY(S652-0)+4),1,4)+WEEKDAY(DATE(YEAR(S652-WEEKDAY(S652-0)+4),1,4))+6)/7)</f>
        <v>3</v>
      </c>
      <c r="AB652" s="3" t="s">
        <v>1823</v>
      </c>
      <c r="AC652" s="7">
        <v>165</v>
      </c>
      <c r="AD652" s="7">
        <v>0</v>
      </c>
      <c r="AE652" s="7">
        <v>0</v>
      </c>
      <c r="AF652" s="3" t="s">
        <v>48</v>
      </c>
      <c r="AG652" s="7">
        <v>2023</v>
      </c>
      <c r="AH652" s="3" t="s">
        <v>112</v>
      </c>
      <c r="AI652" s="3" t="s">
        <v>113</v>
      </c>
      <c r="AJ652" s="3" t="s">
        <v>48</v>
      </c>
      <c r="AK652" s="26" t="s">
        <v>195</v>
      </c>
      <c r="AL652" s="3" t="s">
        <v>59</v>
      </c>
      <c r="AM652" s="3" t="s">
        <v>115</v>
      </c>
      <c r="AN652" s="3" t="s">
        <v>61</v>
      </c>
      <c r="AO652" s="3" t="s">
        <v>62</v>
      </c>
      <c r="AP652" s="3" t="s">
        <v>69</v>
      </c>
      <c r="AQ652" s="3" t="s">
        <v>61</v>
      </c>
      <c r="AR652" s="3" t="s">
        <v>48</v>
      </c>
    </row>
    <row r="653" spans="1:44" ht="30" customHeight="1">
      <c r="A653" s="3" t="s">
        <v>44</v>
      </c>
      <c r="B653" s="3" t="s">
        <v>45</v>
      </c>
      <c r="C653" s="3" t="s">
        <v>46</v>
      </c>
      <c r="D653" s="3" t="s">
        <v>70</v>
      </c>
      <c r="E653" s="3" t="s">
        <v>48</v>
      </c>
      <c r="F653" s="3" t="s">
        <v>71</v>
      </c>
      <c r="G653" s="3" t="s">
        <v>1745</v>
      </c>
      <c r="H653" s="4">
        <v>1</v>
      </c>
      <c r="I653" s="7">
        <v>0</v>
      </c>
      <c r="J653" s="7">
        <v>0</v>
      </c>
      <c r="K653" s="3" t="s">
        <v>64</v>
      </c>
      <c r="L653" s="22"/>
      <c r="M653" s="3" t="s">
        <v>45</v>
      </c>
      <c r="N653" s="3" t="s">
        <v>164</v>
      </c>
      <c r="O653" s="3" t="s">
        <v>52</v>
      </c>
      <c r="P653" s="3" t="s">
        <v>91</v>
      </c>
      <c r="Q653" s="7">
        <v>1</v>
      </c>
      <c r="R653" s="8">
        <v>44990</v>
      </c>
      <c r="S653" s="8">
        <v>44989</v>
      </c>
      <c r="T653" s="3" t="s">
        <v>54</v>
      </c>
      <c r="U653" s="3" t="s">
        <v>55</v>
      </c>
      <c r="V653" s="9"/>
      <c r="W653" s="10">
        <v>44991</v>
      </c>
      <c r="X653" s="7">
        <v>1</v>
      </c>
      <c r="Y653" s="7">
        <v>1</v>
      </c>
      <c r="Z653" s="7">
        <v>3</v>
      </c>
      <c r="AA653" s="7">
        <f>INT((S653-DATE(YEAR(S653-WEEKDAY(S653-0)+4),1,4)+WEEKDAY(DATE(YEAR(S653-WEEKDAY(S653-0)+4),1,4))+6)/7)</f>
        <v>9</v>
      </c>
      <c r="AB653" s="3" t="s">
        <v>1746</v>
      </c>
      <c r="AC653" s="7">
        <v>714</v>
      </c>
      <c r="AD653" s="7">
        <v>0</v>
      </c>
      <c r="AE653" s="7">
        <v>1</v>
      </c>
      <c r="AF653" s="3" t="s">
        <v>48</v>
      </c>
      <c r="AG653" s="7">
        <v>2023</v>
      </c>
      <c r="AH653" s="3" t="s">
        <v>76</v>
      </c>
      <c r="AI653" s="3" t="s">
        <v>166</v>
      </c>
      <c r="AJ653" s="3" t="s">
        <v>78</v>
      </c>
      <c r="AK653" s="3" t="s">
        <v>572</v>
      </c>
      <c r="AL653" s="3" t="s">
        <v>59</v>
      </c>
      <c r="AM653" s="3" t="s">
        <v>60</v>
      </c>
      <c r="AN653" s="3" t="s">
        <v>61</v>
      </c>
      <c r="AO653" s="3" t="s">
        <v>62</v>
      </c>
      <c r="AP653" s="3" t="s">
        <v>69</v>
      </c>
      <c r="AQ653" s="3" t="s">
        <v>61</v>
      </c>
      <c r="AR653" s="3" t="s">
        <v>48</v>
      </c>
    </row>
    <row r="654" spans="1:44" ht="30" customHeight="1">
      <c r="A654" s="3" t="s">
        <v>44</v>
      </c>
      <c r="B654" s="3" t="s">
        <v>45</v>
      </c>
      <c r="C654" s="3" t="s">
        <v>46</v>
      </c>
      <c r="D654" s="3" t="s">
        <v>70</v>
      </c>
      <c r="E654" s="3" t="s">
        <v>48</v>
      </c>
      <c r="F654" s="3" t="s">
        <v>71</v>
      </c>
      <c r="G654" s="3" t="s">
        <v>1805</v>
      </c>
      <c r="H654" s="4">
        <f>IF(DATEDIF(L654,S654,"m")&gt;12,DATEDIF(L654,S654,"y"),(DATEDIF(L654,S654,"m")/12))</f>
        <v>52</v>
      </c>
      <c r="I654" s="7">
        <f>DATEDIF(L654,S654,"M")</f>
        <v>635</v>
      </c>
      <c r="J654" s="7">
        <f>DATEDIF(L654,S654,"D")</f>
        <v>19346</v>
      </c>
      <c r="K654" s="3" t="s">
        <v>51</v>
      </c>
      <c r="L654" s="8">
        <v>25642</v>
      </c>
      <c r="M654" s="3" t="s">
        <v>45</v>
      </c>
      <c r="N654" s="3" t="s">
        <v>90</v>
      </c>
      <c r="O654" s="3" t="s">
        <v>52</v>
      </c>
      <c r="P654" s="3" t="s">
        <v>287</v>
      </c>
      <c r="Q654" s="7">
        <v>1</v>
      </c>
      <c r="R654" s="8">
        <v>44989</v>
      </c>
      <c r="S654" s="8">
        <v>44988</v>
      </c>
      <c r="T654" s="3" t="s">
        <v>54</v>
      </c>
      <c r="U654" s="3" t="s">
        <v>55</v>
      </c>
      <c r="V654" s="9"/>
      <c r="W654" s="10">
        <v>44991</v>
      </c>
      <c r="X654" s="7">
        <v>2</v>
      </c>
      <c r="Y654" s="7">
        <v>1</v>
      </c>
      <c r="Z654" s="7">
        <v>3</v>
      </c>
      <c r="AA654" s="7">
        <f>INT((S654-DATE(YEAR(S654-WEEKDAY(S654-0)+4),1,4)+WEEKDAY(DATE(YEAR(S654-WEEKDAY(S654-0)+4),1,4))+6)/7)</f>
        <v>9</v>
      </c>
      <c r="AB654" s="3" t="s">
        <v>1806</v>
      </c>
      <c r="AC654" s="7">
        <v>710</v>
      </c>
      <c r="AD654" s="7">
        <v>0</v>
      </c>
      <c r="AE654" s="7">
        <v>1</v>
      </c>
      <c r="AF654" s="3" t="s">
        <v>48</v>
      </c>
      <c r="AG654" s="7">
        <v>2023</v>
      </c>
      <c r="AH654" s="3" t="s">
        <v>76</v>
      </c>
      <c r="AI654" s="3" t="s">
        <v>166</v>
      </c>
      <c r="AJ654" s="3" t="s">
        <v>78</v>
      </c>
      <c r="AK654" s="3" t="s">
        <v>844</v>
      </c>
      <c r="AL654" s="3" t="s">
        <v>59</v>
      </c>
      <c r="AM654" s="3" t="s">
        <v>60</v>
      </c>
      <c r="AN654" s="3" t="s">
        <v>61</v>
      </c>
      <c r="AO654" s="3" t="s">
        <v>62</v>
      </c>
      <c r="AP654" s="3" t="s">
        <v>69</v>
      </c>
      <c r="AQ654" s="3" t="s">
        <v>61</v>
      </c>
      <c r="AR654" s="3" t="s">
        <v>48</v>
      </c>
    </row>
    <row r="655" spans="1:44" ht="30" customHeight="1">
      <c r="A655" s="3" t="s">
        <v>44</v>
      </c>
      <c r="B655" s="3" t="s">
        <v>45</v>
      </c>
      <c r="C655" s="3" t="s">
        <v>46</v>
      </c>
      <c r="D655" s="3" t="s">
        <v>108</v>
      </c>
      <c r="E655" s="3" t="s">
        <v>48</v>
      </c>
      <c r="F655" s="3" t="s">
        <v>108</v>
      </c>
      <c r="G655" s="3" t="s">
        <v>1973</v>
      </c>
      <c r="H655" s="4">
        <f>IF(DATEDIF(L655,S655,"m")&gt;12,DATEDIF(L655,S655,"y"),(DATEDIF(L655,S655,"m")/12))</f>
        <v>2</v>
      </c>
      <c r="I655" s="7">
        <f>DATEDIF(L655,S655,"M")</f>
        <v>27</v>
      </c>
      <c r="J655" s="7">
        <f>DATEDIF(L655,S655,"D")</f>
        <v>851</v>
      </c>
      <c r="K655" s="3" t="s">
        <v>51</v>
      </c>
      <c r="L655" s="8">
        <v>44110</v>
      </c>
      <c r="M655" s="3" t="s">
        <v>45</v>
      </c>
      <c r="N655" s="3" t="s">
        <v>73</v>
      </c>
      <c r="O655" s="3" t="s">
        <v>52</v>
      </c>
      <c r="P655" s="3" t="s">
        <v>298</v>
      </c>
      <c r="Q655" s="7">
        <v>0</v>
      </c>
      <c r="R655" s="8">
        <v>44964</v>
      </c>
      <c r="S655" s="8">
        <v>44961</v>
      </c>
      <c r="T655" s="3" t="s">
        <v>54</v>
      </c>
      <c r="U655" s="3" t="s">
        <v>55</v>
      </c>
      <c r="V655" s="9"/>
      <c r="W655" s="10">
        <v>44971</v>
      </c>
      <c r="X655" s="7">
        <v>7</v>
      </c>
      <c r="Y655" s="7">
        <v>3</v>
      </c>
      <c r="Z655" s="7">
        <v>2</v>
      </c>
      <c r="AA655" s="7">
        <f>INT((S655-DATE(YEAR(S655-WEEKDAY(S655-0)+4),1,4)+WEEKDAY(DATE(YEAR(S655-WEEKDAY(S655-0)+4),1,4))+6)/7)</f>
        <v>5</v>
      </c>
      <c r="AB655" s="3" t="s">
        <v>1974</v>
      </c>
      <c r="AC655" s="7">
        <v>226</v>
      </c>
      <c r="AD655" s="7">
        <v>0</v>
      </c>
      <c r="AE655" s="7">
        <v>0</v>
      </c>
      <c r="AF655" s="3" t="s">
        <v>48</v>
      </c>
      <c r="AG655" s="7">
        <v>2023</v>
      </c>
      <c r="AH655" s="3" t="s">
        <v>112</v>
      </c>
      <c r="AI655" s="3" t="s">
        <v>113</v>
      </c>
      <c r="AJ655" s="3" t="s">
        <v>48</v>
      </c>
      <c r="AK655" s="3" t="s">
        <v>195</v>
      </c>
      <c r="AL655" s="3" t="s">
        <v>59</v>
      </c>
      <c r="AM655" s="3" t="s">
        <v>115</v>
      </c>
      <c r="AN655" s="3" t="s">
        <v>61</v>
      </c>
      <c r="AO655" s="3" t="s">
        <v>62</v>
      </c>
      <c r="AP655" s="3" t="s">
        <v>69</v>
      </c>
      <c r="AQ655" s="3" t="s">
        <v>61</v>
      </c>
      <c r="AR655" s="3" t="s">
        <v>48</v>
      </c>
    </row>
    <row r="656" spans="1:44" ht="30" customHeight="1">
      <c r="A656" s="3" t="s">
        <v>44</v>
      </c>
      <c r="B656" s="3" t="s">
        <v>45</v>
      </c>
      <c r="C656" s="3" t="s">
        <v>46</v>
      </c>
      <c r="D656" s="3" t="s">
        <v>108</v>
      </c>
      <c r="E656" s="3" t="s">
        <v>48</v>
      </c>
      <c r="F656" s="3" t="s">
        <v>108</v>
      </c>
      <c r="G656" s="3" t="s">
        <v>193</v>
      </c>
      <c r="H656" s="4">
        <f>IF(DATEDIF(L656,S656,"m")&gt;12,DATEDIF(L656,S656,"y"),(DATEDIF(L656,S656,"m")/12))</f>
        <v>3</v>
      </c>
      <c r="I656" s="7">
        <f>DATEDIF(L656,S656,"M")</f>
        <v>36</v>
      </c>
      <c r="J656" s="7">
        <f>DATEDIF(L656,S656,"D")</f>
        <v>1110</v>
      </c>
      <c r="K656" s="3" t="s">
        <v>51</v>
      </c>
      <c r="L656" s="8">
        <v>43862</v>
      </c>
      <c r="M656" s="3" t="s">
        <v>45</v>
      </c>
      <c r="N656" s="3" t="s">
        <v>73</v>
      </c>
      <c r="O656" s="3" t="s">
        <v>52</v>
      </c>
      <c r="P656" s="3" t="s">
        <v>84</v>
      </c>
      <c r="Q656" s="7">
        <v>0</v>
      </c>
      <c r="R656" s="8">
        <v>44979</v>
      </c>
      <c r="S656" s="8">
        <v>44972</v>
      </c>
      <c r="T656" s="3" t="s">
        <v>54</v>
      </c>
      <c r="U656" s="3" t="s">
        <v>55</v>
      </c>
      <c r="V656" s="9"/>
      <c r="W656" s="10">
        <v>44984</v>
      </c>
      <c r="X656" s="7">
        <v>5</v>
      </c>
      <c r="Y656" s="7">
        <v>7</v>
      </c>
      <c r="Z656" s="7">
        <v>2</v>
      </c>
      <c r="AA656" s="7">
        <f>INT((S656-DATE(YEAR(S656-WEEKDAY(S656-0)+4),1,4)+WEEKDAY(DATE(YEAR(S656-WEEKDAY(S656-0)+4),1,4))+6)/7)</f>
        <v>7</v>
      </c>
      <c r="AB656" s="3" t="s">
        <v>194</v>
      </c>
      <c r="AC656" s="7">
        <v>296</v>
      </c>
      <c r="AD656" s="7">
        <v>0</v>
      </c>
      <c r="AE656" s="7">
        <v>0</v>
      </c>
      <c r="AF656" s="3" t="s">
        <v>48</v>
      </c>
      <c r="AG656" s="7">
        <v>2023</v>
      </c>
      <c r="AH656" s="3" t="s">
        <v>112</v>
      </c>
      <c r="AI656" s="3" t="s">
        <v>113</v>
      </c>
      <c r="AJ656" s="3" t="s">
        <v>48</v>
      </c>
      <c r="AK656" s="3" t="s">
        <v>195</v>
      </c>
      <c r="AL656" s="3" t="s">
        <v>59</v>
      </c>
      <c r="AM656" s="3" t="s">
        <v>115</v>
      </c>
      <c r="AN656" s="3" t="s">
        <v>61</v>
      </c>
      <c r="AO656" s="3" t="s">
        <v>62</v>
      </c>
      <c r="AP656" s="3" t="s">
        <v>69</v>
      </c>
      <c r="AQ656" s="3" t="s">
        <v>61</v>
      </c>
      <c r="AR656" s="3" t="s">
        <v>48</v>
      </c>
    </row>
    <row r="657" spans="1:44" ht="30" customHeight="1">
      <c r="A657" s="3" t="s">
        <v>44</v>
      </c>
      <c r="B657" s="3" t="s">
        <v>45</v>
      </c>
      <c r="C657" s="3" t="s">
        <v>46</v>
      </c>
      <c r="D657" s="3" t="s">
        <v>47</v>
      </c>
      <c r="E657" s="3" t="s">
        <v>48</v>
      </c>
      <c r="F657" s="3" t="s">
        <v>49</v>
      </c>
      <c r="G657" s="3" t="s">
        <v>1591</v>
      </c>
      <c r="H657" s="4">
        <f>IF(DATEDIF(L657,S657,"m")&gt;12,DATEDIF(L657,S657,"y"),(DATEDIF(L657,S657,"m")/12))</f>
        <v>12</v>
      </c>
      <c r="I657" s="7">
        <f>DATEDIF(L657,S657,"M")</f>
        <v>152</v>
      </c>
      <c r="J657" s="7">
        <f>DATEDIF(L657,S657,"D")</f>
        <v>4646</v>
      </c>
      <c r="K657" s="3" t="s">
        <v>64</v>
      </c>
      <c r="L657" s="8">
        <v>40338</v>
      </c>
      <c r="M657" s="3" t="s">
        <v>45</v>
      </c>
      <c r="N657" s="3" t="s">
        <v>73</v>
      </c>
      <c r="O657" s="3" t="s">
        <v>52</v>
      </c>
      <c r="P657" s="3" t="s">
        <v>156</v>
      </c>
      <c r="Q657" s="7">
        <v>0</v>
      </c>
      <c r="R657" s="8">
        <v>44990</v>
      </c>
      <c r="S657" s="8">
        <v>44984</v>
      </c>
      <c r="T657" s="3" t="s">
        <v>54</v>
      </c>
      <c r="U657" s="3" t="s">
        <v>55</v>
      </c>
      <c r="V657" s="9"/>
      <c r="W657" s="10">
        <v>44994</v>
      </c>
      <c r="X657" s="7">
        <v>4</v>
      </c>
      <c r="Y657" s="7">
        <v>6</v>
      </c>
      <c r="Z657" s="7">
        <v>2</v>
      </c>
      <c r="AA657" s="7">
        <f>INT((S657-DATE(YEAR(S657-WEEKDAY(S657-0)+4),1,4)+WEEKDAY(DATE(YEAR(S657-WEEKDAY(S657-0)+4),1,4))+6)/7)</f>
        <v>9</v>
      </c>
      <c r="AB657" s="3" t="s">
        <v>1592</v>
      </c>
      <c r="AC657" s="7">
        <v>87</v>
      </c>
      <c r="AD657" s="7">
        <v>0</v>
      </c>
      <c r="AE657" s="7">
        <v>0</v>
      </c>
      <c r="AF657" s="3" t="s">
        <v>48</v>
      </c>
      <c r="AG657" s="7">
        <v>2023</v>
      </c>
      <c r="AH657" s="3" t="s">
        <v>57</v>
      </c>
      <c r="AI657" s="3" t="s">
        <v>48</v>
      </c>
      <c r="AJ657" s="3" t="s">
        <v>48</v>
      </c>
      <c r="AK657" s="3" t="s">
        <v>195</v>
      </c>
      <c r="AL657" s="3" t="s">
        <v>59</v>
      </c>
      <c r="AM657" s="3" t="s">
        <v>60</v>
      </c>
      <c r="AN657" s="3" t="s">
        <v>61</v>
      </c>
      <c r="AO657" s="3" t="s">
        <v>62</v>
      </c>
      <c r="AP657" s="3" t="s">
        <v>69</v>
      </c>
      <c r="AQ657" s="3" t="s">
        <v>61</v>
      </c>
      <c r="AR657" s="3" t="s">
        <v>48</v>
      </c>
    </row>
    <row r="658" spans="1:44" ht="30" customHeight="1">
      <c r="A658" s="3" t="s">
        <v>44</v>
      </c>
      <c r="B658" s="3" t="s">
        <v>45</v>
      </c>
      <c r="C658" s="3" t="s">
        <v>46</v>
      </c>
      <c r="D658" s="3" t="s">
        <v>70</v>
      </c>
      <c r="E658" s="3" t="s">
        <v>48</v>
      </c>
      <c r="F658" s="3" t="s">
        <v>71</v>
      </c>
      <c r="G658" s="3" t="s">
        <v>2024</v>
      </c>
      <c r="H658" s="4">
        <f>IF(DATEDIF(L658,S658,"m")&gt;12,DATEDIF(L658,S658,"y"),(DATEDIF(L658,S658,"m")/12))</f>
        <v>54</v>
      </c>
      <c r="I658" s="7">
        <f>DATEDIF(L658,S658,"M")</f>
        <v>652</v>
      </c>
      <c r="J658" s="7">
        <f>DATEDIF(L658,S658,"D")</f>
        <v>19848</v>
      </c>
      <c r="K658" s="3" t="s">
        <v>64</v>
      </c>
      <c r="L658" s="8">
        <v>25139</v>
      </c>
      <c r="M658" s="3" t="s">
        <v>45</v>
      </c>
      <c r="N658" s="3" t="s">
        <v>329</v>
      </c>
      <c r="O658" s="3" t="s">
        <v>52</v>
      </c>
      <c r="P658" s="3" t="s">
        <v>406</v>
      </c>
      <c r="Q658" s="7">
        <v>1</v>
      </c>
      <c r="R658" s="8">
        <v>44988</v>
      </c>
      <c r="S658" s="8">
        <v>44987</v>
      </c>
      <c r="T658" s="3" t="s">
        <v>54</v>
      </c>
      <c r="U658" s="3" t="s">
        <v>55</v>
      </c>
      <c r="V658" s="9"/>
      <c r="W658" s="10">
        <v>44991</v>
      </c>
      <c r="X658" s="7">
        <v>3</v>
      </c>
      <c r="Y658" s="7">
        <v>1</v>
      </c>
      <c r="Z658" s="7">
        <v>3</v>
      </c>
      <c r="AA658" s="7">
        <f>INT((S658-DATE(YEAR(S658-WEEKDAY(S658-0)+4),1,4)+WEEKDAY(DATE(YEAR(S658-WEEKDAY(S658-0)+4),1,4))+6)/7)</f>
        <v>9</v>
      </c>
      <c r="AB658" s="3" t="s">
        <v>2025</v>
      </c>
      <c r="AC658" s="7">
        <v>709</v>
      </c>
      <c r="AD658" s="7">
        <v>0</v>
      </c>
      <c r="AE658" s="7">
        <v>1</v>
      </c>
      <c r="AF658" s="3" t="s">
        <v>48</v>
      </c>
      <c r="AG658" s="7">
        <v>2023</v>
      </c>
      <c r="AH658" s="3" t="s">
        <v>76</v>
      </c>
      <c r="AI658" s="3" t="s">
        <v>166</v>
      </c>
      <c r="AJ658" s="3" t="s">
        <v>78</v>
      </c>
      <c r="AK658" s="3" t="s">
        <v>1001</v>
      </c>
      <c r="AL658" s="3" t="s">
        <v>59</v>
      </c>
      <c r="AM658" s="3" t="s">
        <v>60</v>
      </c>
      <c r="AN658" s="3" t="s">
        <v>61</v>
      </c>
      <c r="AO658" s="3" t="s">
        <v>62</v>
      </c>
      <c r="AP658" s="3" t="s">
        <v>69</v>
      </c>
      <c r="AQ658" s="3" t="s">
        <v>61</v>
      </c>
      <c r="AR658" s="3" t="s">
        <v>48</v>
      </c>
    </row>
    <row r="659" spans="1:44" ht="30" customHeight="1">
      <c r="A659" s="3" t="s">
        <v>44</v>
      </c>
      <c r="B659" s="3" t="s">
        <v>45</v>
      </c>
      <c r="C659" s="3" t="s">
        <v>46</v>
      </c>
      <c r="D659" s="3" t="s">
        <v>108</v>
      </c>
      <c r="E659" s="3" t="s">
        <v>48</v>
      </c>
      <c r="F659" s="3" t="s">
        <v>108</v>
      </c>
      <c r="G659" s="3" t="s">
        <v>1153</v>
      </c>
      <c r="H659" s="4">
        <f>IF(DATEDIF(L659,S659,"m")&gt;12,DATEDIF(L659,S659,"y"),(DATEDIF(L659,S659,"m")/12))</f>
        <v>11</v>
      </c>
      <c r="I659" s="7">
        <f>DATEDIF(L659,S659,"M")</f>
        <v>138</v>
      </c>
      <c r="J659" s="7">
        <f>DATEDIF(L659,S659,"D")</f>
        <v>4218</v>
      </c>
      <c r="K659" s="3" t="s">
        <v>51</v>
      </c>
      <c r="L659" s="8">
        <v>40778</v>
      </c>
      <c r="M659" s="3" t="s">
        <v>45</v>
      </c>
      <c r="N659" s="3" t="s">
        <v>73</v>
      </c>
      <c r="O659" s="3" t="s">
        <v>52</v>
      </c>
      <c r="P659" s="3" t="s">
        <v>137</v>
      </c>
      <c r="Q659" s="7">
        <v>0</v>
      </c>
      <c r="R659" s="8">
        <v>44999</v>
      </c>
      <c r="S659" s="8">
        <v>44996</v>
      </c>
      <c r="T659" s="3" t="s">
        <v>54</v>
      </c>
      <c r="U659" s="3" t="s">
        <v>55</v>
      </c>
      <c r="V659" s="9"/>
      <c r="W659" s="10">
        <v>45005</v>
      </c>
      <c r="X659" s="7">
        <v>6</v>
      </c>
      <c r="Y659" s="7">
        <v>3</v>
      </c>
      <c r="Z659" s="7">
        <v>3</v>
      </c>
      <c r="AA659" s="7">
        <f>INT((S659-DATE(YEAR(S659-WEEKDAY(S659-0)+4),1,4)+WEEKDAY(DATE(YEAR(S659-WEEKDAY(S659-0)+4),1,4))+6)/7)</f>
        <v>10</v>
      </c>
      <c r="AB659" s="3" t="s">
        <v>1154</v>
      </c>
      <c r="AC659" s="7">
        <v>368</v>
      </c>
      <c r="AD659" s="7">
        <v>0</v>
      </c>
      <c r="AE659" s="7">
        <v>0</v>
      </c>
      <c r="AF659" s="3" t="s">
        <v>48</v>
      </c>
      <c r="AG659" s="7">
        <v>2023</v>
      </c>
      <c r="AH659" s="3" t="s">
        <v>112</v>
      </c>
      <c r="AI659" s="3" t="s">
        <v>113</v>
      </c>
      <c r="AJ659" s="3" t="s">
        <v>48</v>
      </c>
      <c r="AK659" s="26" t="s">
        <v>195</v>
      </c>
      <c r="AL659" s="3" t="s">
        <v>59</v>
      </c>
      <c r="AM659" s="3" t="s">
        <v>115</v>
      </c>
      <c r="AN659" s="3" t="s">
        <v>61</v>
      </c>
      <c r="AO659" s="3" t="s">
        <v>62</v>
      </c>
      <c r="AP659" s="3" t="s">
        <v>69</v>
      </c>
      <c r="AQ659" s="3" t="s">
        <v>61</v>
      </c>
      <c r="AR659" s="3" t="s">
        <v>48</v>
      </c>
    </row>
    <row r="660" spans="1:44" ht="30" customHeight="1">
      <c r="A660" s="3" t="s">
        <v>44</v>
      </c>
      <c r="B660" s="3" t="s">
        <v>45</v>
      </c>
      <c r="C660" s="3" t="s">
        <v>46</v>
      </c>
      <c r="D660" s="3" t="s">
        <v>70</v>
      </c>
      <c r="E660" s="3" t="s">
        <v>48</v>
      </c>
      <c r="F660" s="3" t="s">
        <v>71</v>
      </c>
      <c r="G660" s="3" t="s">
        <v>2068</v>
      </c>
      <c r="H660" s="4">
        <f>IF(DATEDIF(L660,S660,"m")&gt;12,DATEDIF(L660,S660,"y"),(DATEDIF(L660,S660,"m")/12))</f>
        <v>1</v>
      </c>
      <c r="I660" s="7">
        <f>DATEDIF(L660,S660,"M")</f>
        <v>16</v>
      </c>
      <c r="J660" s="7">
        <f>DATEDIF(L660,S660,"D")</f>
        <v>495</v>
      </c>
      <c r="K660" s="3" t="s">
        <v>64</v>
      </c>
      <c r="L660" s="8">
        <v>44494</v>
      </c>
      <c r="M660" s="3" t="s">
        <v>45</v>
      </c>
      <c r="N660" s="3" t="s">
        <v>203</v>
      </c>
      <c r="O660" s="3" t="s">
        <v>52</v>
      </c>
      <c r="P660" s="3" t="s">
        <v>176</v>
      </c>
      <c r="Q660" s="7">
        <v>1</v>
      </c>
      <c r="R660" s="8">
        <v>44990</v>
      </c>
      <c r="S660" s="8">
        <v>44989</v>
      </c>
      <c r="T660" s="3" t="s">
        <v>54</v>
      </c>
      <c r="U660" s="3" t="s">
        <v>55</v>
      </c>
      <c r="V660" s="9"/>
      <c r="W660" s="10">
        <v>44991</v>
      </c>
      <c r="X660" s="7">
        <v>1</v>
      </c>
      <c r="Y660" s="7">
        <v>1</v>
      </c>
      <c r="Z660" s="7">
        <v>3</v>
      </c>
      <c r="AA660" s="7">
        <f>INT((S660-DATE(YEAR(S660-WEEKDAY(S660-0)+4),1,4)+WEEKDAY(DATE(YEAR(S660-WEEKDAY(S660-0)+4),1,4))+6)/7)</f>
        <v>9</v>
      </c>
      <c r="AB660" s="3" t="s">
        <v>2069</v>
      </c>
      <c r="AC660" s="7">
        <v>713</v>
      </c>
      <c r="AD660" s="7">
        <v>0</v>
      </c>
      <c r="AE660" s="7">
        <v>1</v>
      </c>
      <c r="AF660" s="3" t="s">
        <v>48</v>
      </c>
      <c r="AG660" s="7">
        <v>2023</v>
      </c>
      <c r="AH660" s="3" t="s">
        <v>76</v>
      </c>
      <c r="AI660" s="3" t="s">
        <v>166</v>
      </c>
      <c r="AJ660" s="3" t="s">
        <v>78</v>
      </c>
      <c r="AK660" s="3" t="s">
        <v>2070</v>
      </c>
      <c r="AL660" s="3" t="s">
        <v>59</v>
      </c>
      <c r="AM660" s="3" t="s">
        <v>60</v>
      </c>
      <c r="AN660" s="3" t="s">
        <v>61</v>
      </c>
      <c r="AO660" s="3" t="s">
        <v>62</v>
      </c>
      <c r="AP660" s="3" t="s">
        <v>69</v>
      </c>
      <c r="AQ660" s="3" t="s">
        <v>61</v>
      </c>
      <c r="AR660" s="3" t="s">
        <v>48</v>
      </c>
    </row>
    <row r="661" spans="1:44" ht="30" customHeight="1">
      <c r="A661" s="3" t="s">
        <v>44</v>
      </c>
      <c r="B661" s="3" t="s">
        <v>45</v>
      </c>
      <c r="C661" s="3" t="s">
        <v>46</v>
      </c>
      <c r="D661" s="3" t="s">
        <v>108</v>
      </c>
      <c r="E661" s="3" t="s">
        <v>48</v>
      </c>
      <c r="F661" s="3" t="s">
        <v>108</v>
      </c>
      <c r="G661" s="3" t="s">
        <v>1047</v>
      </c>
      <c r="H661" s="4">
        <f>IF(DATEDIF(L661,S661,"m")&gt;12,DATEDIF(L661,S661,"y"),(DATEDIF(L661,S661,"m")/12))</f>
        <v>13</v>
      </c>
      <c r="I661" s="7">
        <f>DATEDIF(L661,S661,"M")</f>
        <v>158</v>
      </c>
      <c r="J661" s="7">
        <f>DATEDIF(L661,S661,"D")</f>
        <v>4815</v>
      </c>
      <c r="K661" s="3" t="s">
        <v>51</v>
      </c>
      <c r="L661" s="8">
        <v>40218</v>
      </c>
      <c r="M661" s="3" t="s">
        <v>45</v>
      </c>
      <c r="N661" s="3" t="s">
        <v>73</v>
      </c>
      <c r="O661" s="3" t="s">
        <v>52</v>
      </c>
      <c r="P661" s="3" t="s">
        <v>579</v>
      </c>
      <c r="Q661" s="7">
        <v>0</v>
      </c>
      <c r="R661" s="8">
        <v>45035</v>
      </c>
      <c r="S661" s="8">
        <v>45033</v>
      </c>
      <c r="T661" s="3" t="s">
        <v>54</v>
      </c>
      <c r="U661" s="3" t="s">
        <v>55</v>
      </c>
      <c r="V661" s="9"/>
      <c r="W661" s="10">
        <v>45036</v>
      </c>
      <c r="X661" s="7">
        <v>1</v>
      </c>
      <c r="Y661" s="7">
        <v>2</v>
      </c>
      <c r="Z661" s="7">
        <v>4</v>
      </c>
      <c r="AA661" s="7">
        <f>INT((S661-DATE(YEAR(S661-WEEKDAY(S661-0)+4),1,4)+WEEKDAY(DATE(YEAR(S661-WEEKDAY(S661-0)+4),1,4))+6)/7)</f>
        <v>16</v>
      </c>
      <c r="AB661" s="3" t="s">
        <v>1048</v>
      </c>
      <c r="AC661" s="7">
        <v>493</v>
      </c>
      <c r="AD661" s="7">
        <v>0</v>
      </c>
      <c r="AE661" s="7">
        <v>0</v>
      </c>
      <c r="AF661" s="3" t="s">
        <v>48</v>
      </c>
      <c r="AG661" s="7">
        <v>2023</v>
      </c>
      <c r="AH661" s="3" t="s">
        <v>112</v>
      </c>
      <c r="AI661" s="3" t="s">
        <v>48</v>
      </c>
      <c r="AJ661" s="3" t="s">
        <v>48</v>
      </c>
      <c r="AK661" s="3" t="s">
        <v>195</v>
      </c>
      <c r="AL661" s="3" t="s">
        <v>59</v>
      </c>
      <c r="AM661" s="3" t="s">
        <v>115</v>
      </c>
      <c r="AN661" s="3" t="s">
        <v>61</v>
      </c>
      <c r="AO661" s="3" t="s">
        <v>62</v>
      </c>
      <c r="AP661" s="3" t="s">
        <v>61</v>
      </c>
      <c r="AQ661" s="3" t="s">
        <v>61</v>
      </c>
      <c r="AR661" s="3" t="s">
        <v>48</v>
      </c>
    </row>
    <row r="662" spans="1:44" ht="30" customHeight="1">
      <c r="A662" s="3" t="s">
        <v>44</v>
      </c>
      <c r="B662" s="3" t="s">
        <v>45</v>
      </c>
      <c r="C662" s="3" t="s">
        <v>46</v>
      </c>
      <c r="D662" s="3" t="s">
        <v>108</v>
      </c>
      <c r="E662" s="3" t="s">
        <v>48</v>
      </c>
      <c r="F662" s="3" t="s">
        <v>108</v>
      </c>
      <c r="G662" s="3" t="s">
        <v>1385</v>
      </c>
      <c r="H662" s="5">
        <f>IF(DATEDIF(L662,S662,"m")&gt;12,DATEDIF(L662,S662,"y"),(DATEDIF(L662,S662,"m")/12))</f>
        <v>0.83333333333333337</v>
      </c>
      <c r="I662" s="7">
        <f>DATEDIF(L662,S662,"M")</f>
        <v>10</v>
      </c>
      <c r="J662" s="7">
        <f>DATEDIF(L662,S662,"D")</f>
        <v>332</v>
      </c>
      <c r="K662" s="3" t="s">
        <v>51</v>
      </c>
      <c r="L662" s="8">
        <v>44698</v>
      </c>
      <c r="M662" s="3" t="s">
        <v>45</v>
      </c>
      <c r="N662" s="3" t="s">
        <v>73</v>
      </c>
      <c r="O662" s="3" t="s">
        <v>52</v>
      </c>
      <c r="P662" s="3" t="s">
        <v>579</v>
      </c>
      <c r="Q662" s="7">
        <v>0</v>
      </c>
      <c r="R662" s="8">
        <v>45034</v>
      </c>
      <c r="S662" s="8">
        <v>45030</v>
      </c>
      <c r="T662" s="3" t="s">
        <v>54</v>
      </c>
      <c r="U662" s="3" t="s">
        <v>55</v>
      </c>
      <c r="V662" s="9"/>
      <c r="W662" s="10">
        <v>45036</v>
      </c>
      <c r="X662" s="7">
        <v>2</v>
      </c>
      <c r="Y662" s="7">
        <v>4</v>
      </c>
      <c r="Z662" s="7">
        <v>4</v>
      </c>
      <c r="AA662" s="7">
        <f>INT((S662-DATE(YEAR(S662-WEEKDAY(S662-0)+4),1,4)+WEEKDAY(DATE(YEAR(S662-WEEKDAY(S662-0)+4),1,4))+6)/7)</f>
        <v>15</v>
      </c>
      <c r="AB662" s="3" t="s">
        <v>1386</v>
      </c>
      <c r="AC662" s="7">
        <v>486</v>
      </c>
      <c r="AD662" s="7">
        <v>0</v>
      </c>
      <c r="AE662" s="7">
        <v>0</v>
      </c>
      <c r="AF662" s="3" t="s">
        <v>48</v>
      </c>
      <c r="AG662" s="7">
        <v>2023</v>
      </c>
      <c r="AH662" s="3" t="s">
        <v>112</v>
      </c>
      <c r="AI662" s="3" t="s">
        <v>48</v>
      </c>
      <c r="AJ662" s="3" t="s">
        <v>48</v>
      </c>
      <c r="AK662" s="3" t="s">
        <v>195</v>
      </c>
      <c r="AL662" s="3" t="s">
        <v>59</v>
      </c>
      <c r="AM662" s="3" t="s">
        <v>115</v>
      </c>
      <c r="AN662" s="3" t="s">
        <v>61</v>
      </c>
      <c r="AO662" s="3" t="s">
        <v>62</v>
      </c>
      <c r="AP662" s="3" t="s">
        <v>61</v>
      </c>
      <c r="AQ662" s="3" t="s">
        <v>61</v>
      </c>
      <c r="AR662" s="3" t="s">
        <v>48</v>
      </c>
    </row>
    <row r="663" spans="1:44" ht="30" customHeight="1">
      <c r="A663" s="3" t="s">
        <v>44</v>
      </c>
      <c r="B663" s="3" t="s">
        <v>45</v>
      </c>
      <c r="C663" s="3" t="s">
        <v>46</v>
      </c>
      <c r="D663" s="3" t="s">
        <v>108</v>
      </c>
      <c r="E663" s="3" t="s">
        <v>48</v>
      </c>
      <c r="F663" s="3" t="s">
        <v>108</v>
      </c>
      <c r="G663" s="3" t="s">
        <v>2290</v>
      </c>
      <c r="H663" s="4">
        <f>IF(DATEDIF(L663,S663,"m")&gt;12,DATEDIF(L663,S663,"y"),(DATEDIF(L663,S663,"m")/12))</f>
        <v>29</v>
      </c>
      <c r="I663" s="7">
        <f>DATEDIF(L663,S663,"M")</f>
        <v>358</v>
      </c>
      <c r="J663" s="7">
        <f>DATEDIF(L663,S663,"D")</f>
        <v>10924</v>
      </c>
      <c r="K663" s="3" t="s">
        <v>64</v>
      </c>
      <c r="L663" s="8">
        <v>34008</v>
      </c>
      <c r="M663" s="3" t="s">
        <v>45</v>
      </c>
      <c r="N663" s="3" t="s">
        <v>73</v>
      </c>
      <c r="O663" s="3" t="s">
        <v>52</v>
      </c>
      <c r="P663" s="3" t="s">
        <v>169</v>
      </c>
      <c r="Q663" s="7">
        <v>0</v>
      </c>
      <c r="R663" s="8">
        <v>44932</v>
      </c>
      <c r="S663" s="8">
        <v>44932</v>
      </c>
      <c r="T663" s="3" t="s">
        <v>54</v>
      </c>
      <c r="U663" s="3" t="s">
        <v>55</v>
      </c>
      <c r="V663" s="9"/>
      <c r="W663" s="10">
        <v>44936</v>
      </c>
      <c r="X663" s="7">
        <v>4</v>
      </c>
      <c r="Y663" s="7">
        <v>0</v>
      </c>
      <c r="Z663" s="7">
        <v>1</v>
      </c>
      <c r="AA663" s="7">
        <f>INT((S663-DATE(YEAR(S663-WEEKDAY(S663-0)+4),1,4)+WEEKDAY(DATE(YEAR(S663-WEEKDAY(S663-0)+4),1,4))+6)/7)</f>
        <v>1</v>
      </c>
      <c r="AB663" s="3" t="s">
        <v>2402</v>
      </c>
      <c r="AC663" s="7">
        <v>123</v>
      </c>
      <c r="AD663" s="7">
        <v>0</v>
      </c>
      <c r="AE663" s="7">
        <v>0</v>
      </c>
      <c r="AF663" s="3" t="s">
        <v>48</v>
      </c>
      <c r="AG663" s="7">
        <v>2023</v>
      </c>
      <c r="AH663" s="3" t="s">
        <v>112</v>
      </c>
      <c r="AI663" s="3" t="s">
        <v>113</v>
      </c>
      <c r="AJ663" s="3" t="s">
        <v>48</v>
      </c>
      <c r="AK663" s="3" t="s">
        <v>199</v>
      </c>
      <c r="AL663" s="3" t="s">
        <v>59</v>
      </c>
      <c r="AM663" s="3" t="s">
        <v>115</v>
      </c>
      <c r="AN663" s="3" t="s">
        <v>61</v>
      </c>
      <c r="AO663" s="3" t="s">
        <v>62</v>
      </c>
      <c r="AP663" s="3" t="s">
        <v>69</v>
      </c>
      <c r="AQ663" s="3" t="s">
        <v>61</v>
      </c>
      <c r="AR663" s="3" t="s">
        <v>48</v>
      </c>
    </row>
    <row r="664" spans="1:44" ht="30" customHeight="1">
      <c r="A664" s="3" t="s">
        <v>44</v>
      </c>
      <c r="B664" s="3" t="s">
        <v>45</v>
      </c>
      <c r="C664" s="3" t="s">
        <v>46</v>
      </c>
      <c r="D664" s="3" t="s">
        <v>47</v>
      </c>
      <c r="E664" s="3" t="s">
        <v>48</v>
      </c>
      <c r="F664" s="3" t="s">
        <v>49</v>
      </c>
      <c r="G664" s="3" t="s">
        <v>1625</v>
      </c>
      <c r="H664" s="4">
        <f>IF(DATEDIF(L664,S664,"m")&gt;12,DATEDIF(L664,S664,"y"),(DATEDIF(L664,S664,"m")/12))</f>
        <v>79</v>
      </c>
      <c r="I664" s="7">
        <f>DATEDIF(L664,S664,"M")</f>
        <v>952</v>
      </c>
      <c r="J664" s="7">
        <f>DATEDIF(L664,S664,"D")</f>
        <v>28977</v>
      </c>
      <c r="K664" s="3" t="s">
        <v>64</v>
      </c>
      <c r="L664" s="8">
        <v>15957</v>
      </c>
      <c r="M664" s="3" t="s">
        <v>45</v>
      </c>
      <c r="N664" s="3" t="s">
        <v>73</v>
      </c>
      <c r="O664" s="3" t="s">
        <v>52</v>
      </c>
      <c r="P664" s="3" t="s">
        <v>1626</v>
      </c>
      <c r="Q664" s="7">
        <v>0</v>
      </c>
      <c r="R664" s="8">
        <v>44936</v>
      </c>
      <c r="S664" s="8">
        <v>44934</v>
      </c>
      <c r="T664" s="3" t="s">
        <v>54</v>
      </c>
      <c r="U664" s="3" t="s">
        <v>55</v>
      </c>
      <c r="V664" s="9"/>
      <c r="W664" s="10">
        <v>44943</v>
      </c>
      <c r="X664" s="7">
        <v>7</v>
      </c>
      <c r="Y664" s="7">
        <v>2</v>
      </c>
      <c r="Z664" s="7">
        <v>1</v>
      </c>
      <c r="AA664" s="7">
        <f>INT((S664-DATE(YEAR(S664-WEEKDAY(S664-0)+4),1,4)+WEEKDAY(DATE(YEAR(S664-WEEKDAY(S664-0)+4),1,4))+6)/7)</f>
        <v>2</v>
      </c>
      <c r="AB664" s="3" t="s">
        <v>1627</v>
      </c>
      <c r="AC664" s="7">
        <v>100</v>
      </c>
      <c r="AD664" s="7">
        <v>0</v>
      </c>
      <c r="AE664" s="7">
        <v>0</v>
      </c>
      <c r="AF664" s="3" t="s">
        <v>48</v>
      </c>
      <c r="AG664" s="7">
        <v>2023</v>
      </c>
      <c r="AH664" s="3" t="s">
        <v>57</v>
      </c>
      <c r="AI664" s="3" t="s">
        <v>106</v>
      </c>
      <c r="AJ664" s="3" t="s">
        <v>252</v>
      </c>
      <c r="AK664" s="3" t="s">
        <v>199</v>
      </c>
      <c r="AL664" s="3" t="s">
        <v>59</v>
      </c>
      <c r="AM664" s="3" t="s">
        <v>60</v>
      </c>
      <c r="AN664" s="3" t="s">
        <v>61</v>
      </c>
      <c r="AO664" s="3" t="s">
        <v>62</v>
      </c>
      <c r="AP664" s="3" t="s">
        <v>69</v>
      </c>
      <c r="AQ664" s="3" t="s">
        <v>61</v>
      </c>
      <c r="AR664" s="3" t="s">
        <v>48</v>
      </c>
    </row>
    <row r="665" spans="1:44" ht="30" customHeight="1">
      <c r="A665" s="3" t="s">
        <v>44</v>
      </c>
      <c r="B665" s="3" t="s">
        <v>45</v>
      </c>
      <c r="C665" s="3" t="s">
        <v>46</v>
      </c>
      <c r="D665" s="3" t="s">
        <v>108</v>
      </c>
      <c r="E665" s="3" t="s">
        <v>48</v>
      </c>
      <c r="F665" s="3" t="s">
        <v>108</v>
      </c>
      <c r="G665" s="3" t="s">
        <v>2186</v>
      </c>
      <c r="H665" s="4">
        <f>IF(DATEDIF(L665,S665,"m")&gt;12,DATEDIF(L665,S665,"y"),(DATEDIF(L665,S665,"m")/12))</f>
        <v>15</v>
      </c>
      <c r="I665" s="7">
        <f>DATEDIF(L665,S665,"M")</f>
        <v>182</v>
      </c>
      <c r="J665" s="7">
        <f>DATEDIF(L665,S665,"D")</f>
        <v>5565</v>
      </c>
      <c r="K665" s="3" t="s">
        <v>51</v>
      </c>
      <c r="L665" s="8">
        <v>39375</v>
      </c>
      <c r="M665" s="3" t="s">
        <v>45</v>
      </c>
      <c r="N665" s="3" t="s">
        <v>73</v>
      </c>
      <c r="O665" s="3" t="s">
        <v>52</v>
      </c>
      <c r="P665" s="3" t="s">
        <v>1696</v>
      </c>
      <c r="Q665" s="7">
        <v>0</v>
      </c>
      <c r="R665" s="8">
        <v>44942</v>
      </c>
      <c r="S665" s="8">
        <v>44940</v>
      </c>
      <c r="T665" s="3" t="s">
        <v>54</v>
      </c>
      <c r="U665" s="3" t="s">
        <v>55</v>
      </c>
      <c r="V665" s="9"/>
      <c r="W665" s="10">
        <v>44949</v>
      </c>
      <c r="X665" s="7">
        <v>7</v>
      </c>
      <c r="Y665" s="7">
        <v>2</v>
      </c>
      <c r="Z665" s="7">
        <v>1</v>
      </c>
      <c r="AA665" s="7">
        <f>INT((S665-DATE(YEAR(S665-WEEKDAY(S665-0)+4),1,4)+WEEKDAY(DATE(YEAR(S665-WEEKDAY(S665-0)+4),1,4))+6)/7)</f>
        <v>2</v>
      </c>
      <c r="AB665" s="3" t="s">
        <v>2187</v>
      </c>
      <c r="AC665" s="7">
        <v>140</v>
      </c>
      <c r="AD665" s="7">
        <v>0</v>
      </c>
      <c r="AE665" s="7">
        <v>0</v>
      </c>
      <c r="AF665" s="3" t="s">
        <v>48</v>
      </c>
      <c r="AG665" s="7">
        <v>2023</v>
      </c>
      <c r="AH665" s="3" t="s">
        <v>112</v>
      </c>
      <c r="AI665" s="3" t="s">
        <v>113</v>
      </c>
      <c r="AJ665" s="3" t="s">
        <v>48</v>
      </c>
      <c r="AK665" s="3" t="s">
        <v>199</v>
      </c>
      <c r="AL665" s="3" t="s">
        <v>59</v>
      </c>
      <c r="AM665" s="3" t="s">
        <v>115</v>
      </c>
      <c r="AN665" s="3" t="s">
        <v>61</v>
      </c>
      <c r="AO665" s="3" t="s">
        <v>62</v>
      </c>
      <c r="AP665" s="3" t="s">
        <v>69</v>
      </c>
      <c r="AQ665" s="3" t="s">
        <v>61</v>
      </c>
      <c r="AR665" s="3" t="s">
        <v>48</v>
      </c>
    </row>
    <row r="666" spans="1:44" ht="30" customHeight="1">
      <c r="A666" s="3" t="s">
        <v>44</v>
      </c>
      <c r="B666" s="3" t="s">
        <v>45</v>
      </c>
      <c r="C666" s="3" t="s">
        <v>46</v>
      </c>
      <c r="D666" s="3" t="s">
        <v>108</v>
      </c>
      <c r="E666" s="3" t="s">
        <v>48</v>
      </c>
      <c r="F666" s="3" t="s">
        <v>108</v>
      </c>
      <c r="G666" s="3" t="s">
        <v>501</v>
      </c>
      <c r="H666" s="4">
        <f>IF(DATEDIF(L666,S666,"m")&gt;12,DATEDIF(L666,S666,"y"),(DATEDIF(L666,S666,"m")/12))</f>
        <v>14</v>
      </c>
      <c r="I666" s="7">
        <f>DATEDIF(L666,S666,"M")</f>
        <v>174</v>
      </c>
      <c r="J666" s="7">
        <f>DATEDIF(L666,S666,"D")</f>
        <v>5297</v>
      </c>
      <c r="K666" s="3" t="s">
        <v>51</v>
      </c>
      <c r="L666" s="8">
        <v>39644</v>
      </c>
      <c r="M666" s="3" t="s">
        <v>45</v>
      </c>
      <c r="N666" s="3" t="s">
        <v>73</v>
      </c>
      <c r="O666" s="3" t="s">
        <v>52</v>
      </c>
      <c r="P666" s="3" t="s">
        <v>84</v>
      </c>
      <c r="Q666" s="7">
        <v>0</v>
      </c>
      <c r="R666" s="8">
        <v>44942</v>
      </c>
      <c r="S666" s="8">
        <v>44941</v>
      </c>
      <c r="T666" s="3" t="s">
        <v>54</v>
      </c>
      <c r="U666" s="3" t="s">
        <v>55</v>
      </c>
      <c r="V666" s="9"/>
      <c r="W666" s="10">
        <v>44950</v>
      </c>
      <c r="X666" s="7">
        <v>8</v>
      </c>
      <c r="Y666" s="7">
        <v>1</v>
      </c>
      <c r="Z666" s="7">
        <v>1</v>
      </c>
      <c r="AA666" s="7">
        <f>INT((S666-DATE(YEAR(S666-WEEKDAY(S666-0)+4),1,4)+WEEKDAY(DATE(YEAR(S666-WEEKDAY(S666-0)+4),1,4))+6)/7)</f>
        <v>3</v>
      </c>
      <c r="AB666" s="3" t="s">
        <v>502</v>
      </c>
      <c r="AC666" s="7">
        <v>147</v>
      </c>
      <c r="AD666" s="7">
        <v>0</v>
      </c>
      <c r="AE666" s="7">
        <v>0</v>
      </c>
      <c r="AF666" s="3" t="s">
        <v>48</v>
      </c>
      <c r="AG666" s="7">
        <v>2023</v>
      </c>
      <c r="AH666" s="3" t="s">
        <v>112</v>
      </c>
      <c r="AI666" s="3" t="s">
        <v>113</v>
      </c>
      <c r="AJ666" s="3" t="s">
        <v>48</v>
      </c>
      <c r="AK666" s="3" t="s">
        <v>199</v>
      </c>
      <c r="AL666" s="3" t="s">
        <v>59</v>
      </c>
      <c r="AM666" s="3" t="s">
        <v>115</v>
      </c>
      <c r="AN666" s="3" t="s">
        <v>61</v>
      </c>
      <c r="AO666" s="3" t="s">
        <v>62</v>
      </c>
      <c r="AP666" s="3" t="s">
        <v>69</v>
      </c>
      <c r="AQ666" s="3" t="s">
        <v>61</v>
      </c>
      <c r="AR666" s="3" t="s">
        <v>48</v>
      </c>
    </row>
    <row r="667" spans="1:44" ht="30" customHeight="1">
      <c r="A667" s="3" t="s">
        <v>44</v>
      </c>
      <c r="B667" s="3" t="s">
        <v>45</v>
      </c>
      <c r="C667" s="3" t="s">
        <v>46</v>
      </c>
      <c r="D667" s="3" t="s">
        <v>108</v>
      </c>
      <c r="E667" s="3" t="s">
        <v>48</v>
      </c>
      <c r="F667" s="3" t="s">
        <v>108</v>
      </c>
      <c r="G667" s="3" t="s">
        <v>859</v>
      </c>
      <c r="H667" s="4">
        <f>IF(DATEDIF(L667,S667,"m")&gt;12,DATEDIF(L667,S667,"y"),(DATEDIF(L667,S667,"m")/12))</f>
        <v>7</v>
      </c>
      <c r="I667" s="7">
        <f>DATEDIF(L667,S667,"M")</f>
        <v>92</v>
      </c>
      <c r="J667" s="7">
        <f>DATEDIF(L667,S667,"D")</f>
        <v>2804</v>
      </c>
      <c r="K667" s="3" t="s">
        <v>64</v>
      </c>
      <c r="L667" s="8">
        <v>42137</v>
      </c>
      <c r="M667" s="3" t="s">
        <v>45</v>
      </c>
      <c r="N667" s="3" t="s">
        <v>73</v>
      </c>
      <c r="O667" s="3" t="s">
        <v>52</v>
      </c>
      <c r="P667" s="3" t="s">
        <v>499</v>
      </c>
      <c r="Q667" s="7">
        <v>0</v>
      </c>
      <c r="R667" s="8">
        <v>44944</v>
      </c>
      <c r="S667" s="8">
        <v>44941</v>
      </c>
      <c r="T667" s="3" t="s">
        <v>54</v>
      </c>
      <c r="U667" s="3" t="s">
        <v>55</v>
      </c>
      <c r="V667" s="9"/>
      <c r="W667" s="10">
        <v>44950</v>
      </c>
      <c r="X667" s="7">
        <v>6</v>
      </c>
      <c r="Y667" s="7">
        <v>3</v>
      </c>
      <c r="Z667" s="7">
        <v>1</v>
      </c>
      <c r="AA667" s="7">
        <f>INT((S667-DATE(YEAR(S667-WEEKDAY(S667-0)+4),1,4)+WEEKDAY(DATE(YEAR(S667-WEEKDAY(S667-0)+4),1,4))+6)/7)</f>
        <v>3</v>
      </c>
      <c r="AB667" s="3" t="s">
        <v>860</v>
      </c>
      <c r="AC667" s="7">
        <v>158</v>
      </c>
      <c r="AD667" s="7">
        <v>0</v>
      </c>
      <c r="AE667" s="7">
        <v>0</v>
      </c>
      <c r="AF667" s="3" t="s">
        <v>48</v>
      </c>
      <c r="AG667" s="7">
        <v>2023</v>
      </c>
      <c r="AH667" s="3" t="s">
        <v>286</v>
      </c>
      <c r="AI667" s="3" t="s">
        <v>113</v>
      </c>
      <c r="AJ667" s="3" t="s">
        <v>48</v>
      </c>
      <c r="AK667" s="3" t="s">
        <v>199</v>
      </c>
      <c r="AL667" s="3" t="s">
        <v>59</v>
      </c>
      <c r="AM667" s="3" t="s">
        <v>115</v>
      </c>
      <c r="AN667" s="3" t="s">
        <v>61</v>
      </c>
      <c r="AO667" s="3" t="s">
        <v>62</v>
      </c>
      <c r="AP667" s="3" t="s">
        <v>69</v>
      </c>
      <c r="AQ667" s="3" t="s">
        <v>61</v>
      </c>
      <c r="AR667" s="3" t="s">
        <v>48</v>
      </c>
    </row>
    <row r="668" spans="1:44" ht="30" customHeight="1">
      <c r="A668" s="3" t="s">
        <v>44</v>
      </c>
      <c r="B668" s="3" t="s">
        <v>45</v>
      </c>
      <c r="C668" s="3" t="s">
        <v>46</v>
      </c>
      <c r="D668" s="3" t="s">
        <v>70</v>
      </c>
      <c r="E668" s="3" t="s">
        <v>48</v>
      </c>
      <c r="F668" s="3" t="s">
        <v>71</v>
      </c>
      <c r="G668" s="3" t="s">
        <v>1316</v>
      </c>
      <c r="H668" s="4">
        <f>IF(DATEDIF(L668,S668,"m")&gt;12,DATEDIF(L668,S668,"y"),(DATEDIF(L668,S668,"m")/12))</f>
        <v>27</v>
      </c>
      <c r="I668" s="7">
        <f>DATEDIF(L668,S668,"M")</f>
        <v>330</v>
      </c>
      <c r="J668" s="7">
        <f>DATEDIF(L668,S668,"D")</f>
        <v>10057</v>
      </c>
      <c r="K668" s="3" t="s">
        <v>51</v>
      </c>
      <c r="L668" s="8">
        <v>34934</v>
      </c>
      <c r="M668" s="3" t="s">
        <v>45</v>
      </c>
      <c r="N668" s="3" t="s">
        <v>159</v>
      </c>
      <c r="O668" s="3" t="s">
        <v>52</v>
      </c>
      <c r="P668" s="3" t="s">
        <v>169</v>
      </c>
      <c r="Q668" s="7">
        <v>1</v>
      </c>
      <c r="R668" s="8">
        <v>44991</v>
      </c>
      <c r="S668" s="8">
        <v>44991</v>
      </c>
      <c r="T668" s="3" t="s">
        <v>54</v>
      </c>
      <c r="U668" s="3" t="s">
        <v>55</v>
      </c>
      <c r="V668" s="9"/>
      <c r="W668" s="10">
        <v>44992</v>
      </c>
      <c r="X668" s="7">
        <v>1</v>
      </c>
      <c r="Y668" s="7">
        <v>0</v>
      </c>
      <c r="Z668" s="7">
        <v>3</v>
      </c>
      <c r="AA668" s="7">
        <f>INT((S668-DATE(YEAR(S668-WEEKDAY(S668-0)+4),1,4)+WEEKDAY(DATE(YEAR(S668-WEEKDAY(S668-0)+4),1,4))+6)/7)</f>
        <v>10</v>
      </c>
      <c r="AB668" s="3" t="s">
        <v>1317</v>
      </c>
      <c r="AC668" s="7">
        <v>716</v>
      </c>
      <c r="AD668" s="7">
        <v>0</v>
      </c>
      <c r="AE668" s="7">
        <v>1</v>
      </c>
      <c r="AF668" s="3" t="s">
        <v>48</v>
      </c>
      <c r="AG668" s="7">
        <v>2023</v>
      </c>
      <c r="AH668" s="3" t="s">
        <v>76</v>
      </c>
      <c r="AI668" s="3" t="s">
        <v>77</v>
      </c>
      <c r="AJ668" s="3" t="s">
        <v>78</v>
      </c>
      <c r="AK668" s="3" t="s">
        <v>349</v>
      </c>
      <c r="AL668" s="3" t="s">
        <v>59</v>
      </c>
      <c r="AM668" s="3" t="s">
        <v>60</v>
      </c>
      <c r="AN668" s="3" t="s">
        <v>61</v>
      </c>
      <c r="AO668" s="3" t="s">
        <v>62</v>
      </c>
      <c r="AP668" s="3" t="s">
        <v>69</v>
      </c>
      <c r="AQ668" s="3" t="s">
        <v>61</v>
      </c>
      <c r="AR668" s="3" t="s">
        <v>48</v>
      </c>
    </row>
    <row r="669" spans="1:44" ht="30" customHeight="1">
      <c r="A669" s="3" t="s">
        <v>44</v>
      </c>
      <c r="B669" s="3" t="s">
        <v>45</v>
      </c>
      <c r="C669" s="3" t="s">
        <v>46</v>
      </c>
      <c r="D669" s="3" t="s">
        <v>47</v>
      </c>
      <c r="E669" s="3" t="s">
        <v>48</v>
      </c>
      <c r="F669" s="3" t="s">
        <v>49</v>
      </c>
      <c r="G669" s="3" t="s">
        <v>583</v>
      </c>
      <c r="H669" s="5">
        <f>IF(DATEDIF(L669,S669,"m")&gt;12,DATEDIF(L669,S669,"y"),(DATEDIF(L669,S669,"m")/12))</f>
        <v>0.66666666666666663</v>
      </c>
      <c r="I669" s="7">
        <f>DATEDIF(L669,S669,"M")</f>
        <v>8</v>
      </c>
      <c r="J669" s="7">
        <f>DATEDIF(L669,S669,"D")</f>
        <v>254</v>
      </c>
      <c r="K669" s="3" t="s">
        <v>51</v>
      </c>
      <c r="L669" s="21">
        <v>44733</v>
      </c>
      <c r="M669" s="3" t="s">
        <v>45</v>
      </c>
      <c r="N669" s="3" t="s">
        <v>49</v>
      </c>
      <c r="O669" s="3" t="s">
        <v>52</v>
      </c>
      <c r="P669" s="3" t="s">
        <v>584</v>
      </c>
      <c r="Q669" s="7">
        <v>0</v>
      </c>
      <c r="R669" s="8">
        <v>44990</v>
      </c>
      <c r="S669" s="8">
        <v>44987</v>
      </c>
      <c r="T669" s="3" t="s">
        <v>54</v>
      </c>
      <c r="U669" s="3" t="s">
        <v>55</v>
      </c>
      <c r="V669" s="9"/>
      <c r="W669" s="10">
        <v>44994</v>
      </c>
      <c r="X669" s="7">
        <v>4</v>
      </c>
      <c r="Y669" s="7">
        <v>3</v>
      </c>
      <c r="Z669" s="7">
        <v>3</v>
      </c>
      <c r="AA669" s="7">
        <f>INT((S669-DATE(YEAR(S669-WEEKDAY(S669-0)+4),1,4)+WEEKDAY(DATE(YEAR(S669-WEEKDAY(S669-0)+4),1,4))+6)/7)</f>
        <v>9</v>
      </c>
      <c r="AB669" s="3" t="s">
        <v>585</v>
      </c>
      <c r="AC669" s="7">
        <v>88</v>
      </c>
      <c r="AD669" s="7">
        <v>0</v>
      </c>
      <c r="AE669" s="7">
        <v>0</v>
      </c>
      <c r="AF669" s="3" t="s">
        <v>48</v>
      </c>
      <c r="AG669" s="7">
        <v>2023</v>
      </c>
      <c r="AH669" s="3" t="s">
        <v>57</v>
      </c>
      <c r="AI669" s="3" t="s">
        <v>48</v>
      </c>
      <c r="AJ669" s="3" t="s">
        <v>48</v>
      </c>
      <c r="AK669" s="3" t="s">
        <v>58</v>
      </c>
      <c r="AL669" s="3" t="s">
        <v>59</v>
      </c>
      <c r="AM669" s="3" t="s">
        <v>60</v>
      </c>
      <c r="AN669" s="3" t="s">
        <v>61</v>
      </c>
      <c r="AO669" s="3" t="s">
        <v>62</v>
      </c>
      <c r="AP669" s="3" t="s">
        <v>69</v>
      </c>
      <c r="AQ669" s="3" t="s">
        <v>61</v>
      </c>
      <c r="AR669" s="3" t="s">
        <v>48</v>
      </c>
    </row>
    <row r="670" spans="1:44" ht="30" customHeight="1">
      <c r="A670" s="3" t="s">
        <v>44</v>
      </c>
      <c r="B670" s="3" t="s">
        <v>45</v>
      </c>
      <c r="C670" s="3" t="s">
        <v>46</v>
      </c>
      <c r="D670" s="3" t="s">
        <v>47</v>
      </c>
      <c r="E670" s="3" t="s">
        <v>48</v>
      </c>
      <c r="F670" s="3" t="s">
        <v>49</v>
      </c>
      <c r="G670" s="3" t="s">
        <v>1093</v>
      </c>
      <c r="H670" s="4">
        <f>IF(DATEDIF(L670,S670,"m")&gt;12,DATEDIF(L670,S670,"y"),(DATEDIF(L670,S670,"m")/12))</f>
        <v>5</v>
      </c>
      <c r="I670" s="7">
        <f>DATEDIF(L670,S670,"M")</f>
        <v>69</v>
      </c>
      <c r="J670" s="7">
        <f>DATEDIF(L670,S670,"D")</f>
        <v>2101</v>
      </c>
      <c r="K670" s="3" t="s">
        <v>51</v>
      </c>
      <c r="L670" s="8">
        <v>42886</v>
      </c>
      <c r="M670" s="3" t="s">
        <v>45</v>
      </c>
      <c r="N670" s="3" t="s">
        <v>49</v>
      </c>
      <c r="O670" s="3" t="s">
        <v>52</v>
      </c>
      <c r="P670" s="3" t="s">
        <v>1094</v>
      </c>
      <c r="Q670" s="7">
        <v>0</v>
      </c>
      <c r="R670" s="8">
        <v>44991</v>
      </c>
      <c r="S670" s="8">
        <v>44987</v>
      </c>
      <c r="T670" s="3" t="s">
        <v>54</v>
      </c>
      <c r="U670" s="3" t="s">
        <v>55</v>
      </c>
      <c r="V670" s="9"/>
      <c r="W670" s="10">
        <v>44994</v>
      </c>
      <c r="X670" s="7">
        <v>3</v>
      </c>
      <c r="Y670" s="7">
        <v>4</v>
      </c>
      <c r="Z670" s="7">
        <v>3</v>
      </c>
      <c r="AA670" s="7">
        <f>INT((S670-DATE(YEAR(S670-WEEKDAY(S670-0)+4),1,4)+WEEKDAY(DATE(YEAR(S670-WEEKDAY(S670-0)+4),1,4))+6)/7)</f>
        <v>9</v>
      </c>
      <c r="AB670" s="3" t="s">
        <v>1095</v>
      </c>
      <c r="AC670" s="7">
        <v>89</v>
      </c>
      <c r="AD670" s="7">
        <v>0</v>
      </c>
      <c r="AE670" s="7">
        <v>0</v>
      </c>
      <c r="AF670" s="3" t="s">
        <v>48</v>
      </c>
      <c r="AG670" s="7">
        <v>2023</v>
      </c>
      <c r="AH670" s="3" t="s">
        <v>57</v>
      </c>
      <c r="AI670" s="3" t="s">
        <v>48</v>
      </c>
      <c r="AJ670" s="3" t="s">
        <v>48</v>
      </c>
      <c r="AK670" s="3" t="s">
        <v>58</v>
      </c>
      <c r="AL670" s="3" t="s">
        <v>59</v>
      </c>
      <c r="AM670" s="3" t="s">
        <v>60</v>
      </c>
      <c r="AN670" s="3" t="s">
        <v>61</v>
      </c>
      <c r="AO670" s="3" t="s">
        <v>62</v>
      </c>
      <c r="AP670" s="3" t="s">
        <v>69</v>
      </c>
      <c r="AQ670" s="3" t="s">
        <v>61</v>
      </c>
      <c r="AR670" s="3" t="s">
        <v>48</v>
      </c>
    </row>
    <row r="671" spans="1:44" ht="30" customHeight="1">
      <c r="A671" s="3" t="s">
        <v>44</v>
      </c>
      <c r="B671" s="3" t="s">
        <v>45</v>
      </c>
      <c r="C671" s="3" t="s">
        <v>46</v>
      </c>
      <c r="D671" s="3" t="s">
        <v>47</v>
      </c>
      <c r="E671" s="3" t="s">
        <v>48</v>
      </c>
      <c r="F671" s="3" t="s">
        <v>49</v>
      </c>
      <c r="G671" s="3" t="s">
        <v>1146</v>
      </c>
      <c r="H671" s="4">
        <f>IF(DATEDIF(L671,S671,"m")&gt;12,DATEDIF(L671,S671,"y"),(DATEDIF(L671,S671,"m")/12))</f>
        <v>72</v>
      </c>
      <c r="I671" s="7">
        <f>DATEDIF(L671,S671,"M")</f>
        <v>868</v>
      </c>
      <c r="J671" s="7">
        <f>DATEDIF(L671,S671,"D")</f>
        <v>26420</v>
      </c>
      <c r="K671" s="3" t="s">
        <v>64</v>
      </c>
      <c r="L671" s="8">
        <v>18566</v>
      </c>
      <c r="M671" s="3" t="s">
        <v>45</v>
      </c>
      <c r="N671" s="3" t="s">
        <v>49</v>
      </c>
      <c r="O671" s="3" t="s">
        <v>52</v>
      </c>
      <c r="P671" s="3" t="s">
        <v>1147</v>
      </c>
      <c r="Q671" s="7">
        <v>0</v>
      </c>
      <c r="R671" s="8">
        <v>44991</v>
      </c>
      <c r="S671" s="8">
        <v>44986</v>
      </c>
      <c r="T671" s="3" t="s">
        <v>54</v>
      </c>
      <c r="U671" s="3" t="s">
        <v>55</v>
      </c>
      <c r="V671" s="9"/>
      <c r="W671" s="10">
        <v>44994</v>
      </c>
      <c r="X671" s="7">
        <v>3</v>
      </c>
      <c r="Y671" s="7">
        <v>5</v>
      </c>
      <c r="Z671" s="7">
        <v>3</v>
      </c>
      <c r="AA671" s="7">
        <f>INT((S671-DATE(YEAR(S671-WEEKDAY(S671-0)+4),1,4)+WEEKDAY(DATE(YEAR(S671-WEEKDAY(S671-0)+4),1,4))+6)/7)</f>
        <v>9</v>
      </c>
      <c r="AB671" s="3" t="s">
        <v>1148</v>
      </c>
      <c r="AC671" s="7">
        <v>98</v>
      </c>
      <c r="AD671" s="7">
        <v>0</v>
      </c>
      <c r="AE671" s="7">
        <v>0</v>
      </c>
      <c r="AF671" s="3" t="s">
        <v>48</v>
      </c>
      <c r="AG671" s="7">
        <v>2023</v>
      </c>
      <c r="AH671" s="3" t="s">
        <v>57</v>
      </c>
      <c r="AI671" s="3" t="s">
        <v>48</v>
      </c>
      <c r="AJ671" s="3" t="s">
        <v>48</v>
      </c>
      <c r="AK671" s="3" t="s">
        <v>58</v>
      </c>
      <c r="AL671" s="3" t="s">
        <v>59</v>
      </c>
      <c r="AM671" s="3" t="s">
        <v>60</v>
      </c>
      <c r="AN671" s="3" t="s">
        <v>61</v>
      </c>
      <c r="AO671" s="3" t="s">
        <v>62</v>
      </c>
      <c r="AP671" s="3" t="s">
        <v>69</v>
      </c>
      <c r="AQ671" s="3" t="s">
        <v>61</v>
      </c>
      <c r="AR671" s="3" t="s">
        <v>48</v>
      </c>
    </row>
    <row r="672" spans="1:44" ht="30" customHeight="1">
      <c r="A672" s="3" t="s">
        <v>44</v>
      </c>
      <c r="B672" s="3" t="s">
        <v>45</v>
      </c>
      <c r="C672" s="3" t="s">
        <v>46</v>
      </c>
      <c r="D672" s="3" t="s">
        <v>47</v>
      </c>
      <c r="E672" s="3" t="s">
        <v>48</v>
      </c>
      <c r="F672" s="3" t="s">
        <v>49</v>
      </c>
      <c r="G672" s="3" t="s">
        <v>1151</v>
      </c>
      <c r="H672" s="4">
        <f>IF(DATEDIF(L672,S672,"m")&gt;12,DATEDIF(L672,S672,"y"),(DATEDIF(L672,S672,"m")/12))</f>
        <v>35</v>
      </c>
      <c r="I672" s="7">
        <f>DATEDIF(L672,S672,"M")</f>
        <v>426</v>
      </c>
      <c r="J672" s="7">
        <f>DATEDIF(L672,S672,"D")</f>
        <v>12992</v>
      </c>
      <c r="K672" s="3" t="s">
        <v>64</v>
      </c>
      <c r="L672" s="8">
        <v>31996</v>
      </c>
      <c r="M672" s="3" t="s">
        <v>45</v>
      </c>
      <c r="N672" s="3" t="s">
        <v>49</v>
      </c>
      <c r="O672" s="3" t="s">
        <v>52</v>
      </c>
      <c r="P672" s="3" t="s">
        <v>537</v>
      </c>
      <c r="Q672" s="7">
        <v>0</v>
      </c>
      <c r="R672" s="8">
        <v>44991</v>
      </c>
      <c r="S672" s="8">
        <v>44988</v>
      </c>
      <c r="T672" s="3" t="s">
        <v>54</v>
      </c>
      <c r="U672" s="3" t="s">
        <v>55</v>
      </c>
      <c r="V672" s="9"/>
      <c r="W672" s="10">
        <v>44994</v>
      </c>
      <c r="X672" s="7">
        <v>3</v>
      </c>
      <c r="Y672" s="7">
        <v>3</v>
      </c>
      <c r="Z672" s="7">
        <v>3</v>
      </c>
      <c r="AA672" s="7">
        <f>INT((S672-DATE(YEAR(S672-WEEKDAY(S672-0)+4),1,4)+WEEKDAY(DATE(YEAR(S672-WEEKDAY(S672-0)+4),1,4))+6)/7)</f>
        <v>9</v>
      </c>
      <c r="AB672" s="3" t="s">
        <v>1152</v>
      </c>
      <c r="AC672" s="7">
        <v>97</v>
      </c>
      <c r="AD672" s="7">
        <v>0</v>
      </c>
      <c r="AE672" s="7">
        <v>0</v>
      </c>
      <c r="AF672" s="3" t="s">
        <v>48</v>
      </c>
      <c r="AG672" s="7">
        <v>2023</v>
      </c>
      <c r="AH672" s="3" t="s">
        <v>57</v>
      </c>
      <c r="AI672" s="3" t="s">
        <v>48</v>
      </c>
      <c r="AJ672" s="3" t="s">
        <v>48</v>
      </c>
      <c r="AK672" s="3" t="s">
        <v>362</v>
      </c>
      <c r="AL672" s="3" t="s">
        <v>59</v>
      </c>
      <c r="AM672" s="3" t="s">
        <v>60</v>
      </c>
      <c r="AN672" s="3" t="s">
        <v>61</v>
      </c>
      <c r="AO672" s="3" t="s">
        <v>62</v>
      </c>
      <c r="AP672" s="3" t="s">
        <v>69</v>
      </c>
      <c r="AQ672" s="3" t="s">
        <v>61</v>
      </c>
      <c r="AR672" s="3" t="s">
        <v>48</v>
      </c>
    </row>
    <row r="673" spans="1:44" ht="30" customHeight="1">
      <c r="A673" s="3" t="s">
        <v>44</v>
      </c>
      <c r="B673" s="3" t="s">
        <v>45</v>
      </c>
      <c r="C673" s="3" t="s">
        <v>46</v>
      </c>
      <c r="D673" s="3" t="s">
        <v>108</v>
      </c>
      <c r="E673" s="3" t="s">
        <v>48</v>
      </c>
      <c r="F673" s="3" t="s">
        <v>108</v>
      </c>
      <c r="G673" s="3" t="s">
        <v>1466</v>
      </c>
      <c r="H673" s="5">
        <f>IF(DATEDIF(L673,S673,"m")&gt;12,DATEDIF(L673,S673,"y"),(DATEDIF(L673,S673,"m")/12))</f>
        <v>0.66666666666666663</v>
      </c>
      <c r="I673" s="7">
        <f>DATEDIF(L673,S673,"M")</f>
        <v>8</v>
      </c>
      <c r="J673" s="7">
        <f>DATEDIF(L673,S673,"D")</f>
        <v>265</v>
      </c>
      <c r="K673" s="3" t="s">
        <v>51</v>
      </c>
      <c r="L673" s="8">
        <v>44677</v>
      </c>
      <c r="M673" s="3" t="s">
        <v>45</v>
      </c>
      <c r="N673" s="3" t="s">
        <v>73</v>
      </c>
      <c r="O673" s="3" t="s">
        <v>52</v>
      </c>
      <c r="P673" s="3" t="s">
        <v>1467</v>
      </c>
      <c r="Q673" s="7">
        <v>0</v>
      </c>
      <c r="R673" s="8">
        <v>44942</v>
      </c>
      <c r="S673" s="8">
        <v>44942</v>
      </c>
      <c r="T673" s="3" t="s">
        <v>54</v>
      </c>
      <c r="U673" s="3" t="s">
        <v>55</v>
      </c>
      <c r="V673" s="9"/>
      <c r="W673" s="10">
        <v>44950</v>
      </c>
      <c r="X673" s="7">
        <v>8</v>
      </c>
      <c r="Y673" s="7">
        <v>0</v>
      </c>
      <c r="Z673" s="7">
        <v>1</v>
      </c>
      <c r="AA673" s="7">
        <f>INT((S673-DATE(YEAR(S673-WEEKDAY(S673-0)+4),1,4)+WEEKDAY(DATE(YEAR(S673-WEEKDAY(S673-0)+4),1,4))+6)/7)</f>
        <v>3</v>
      </c>
      <c r="AB673" s="3" t="s">
        <v>1468</v>
      </c>
      <c r="AC673" s="7">
        <v>144</v>
      </c>
      <c r="AD673" s="7">
        <v>0</v>
      </c>
      <c r="AE673" s="7">
        <v>0</v>
      </c>
      <c r="AF673" s="3" t="s">
        <v>48</v>
      </c>
      <c r="AG673" s="7">
        <v>2023</v>
      </c>
      <c r="AH673" s="3" t="s">
        <v>112</v>
      </c>
      <c r="AI673" s="3" t="s">
        <v>113</v>
      </c>
      <c r="AJ673" s="3" t="s">
        <v>48</v>
      </c>
      <c r="AK673" s="3" t="s">
        <v>199</v>
      </c>
      <c r="AL673" s="3" t="s">
        <v>59</v>
      </c>
      <c r="AM673" s="3" t="s">
        <v>115</v>
      </c>
      <c r="AN673" s="3" t="s">
        <v>61</v>
      </c>
      <c r="AO673" s="3" t="s">
        <v>62</v>
      </c>
      <c r="AP673" s="3" t="s">
        <v>69</v>
      </c>
      <c r="AQ673" s="3" t="s">
        <v>61</v>
      </c>
      <c r="AR673" s="3" t="s">
        <v>48</v>
      </c>
    </row>
    <row r="674" spans="1:44" ht="30" customHeight="1">
      <c r="A674" s="3" t="s">
        <v>44</v>
      </c>
      <c r="B674" s="3" t="s">
        <v>45</v>
      </c>
      <c r="C674" s="3" t="s">
        <v>46</v>
      </c>
      <c r="D674" s="3" t="s">
        <v>108</v>
      </c>
      <c r="E674" s="3" t="s">
        <v>48</v>
      </c>
      <c r="F674" s="3" t="s">
        <v>108</v>
      </c>
      <c r="G674" s="3" t="s">
        <v>1842</v>
      </c>
      <c r="H674" s="5">
        <f>IF(DATEDIF(L674,S674,"m")&gt;12,DATEDIF(L674,S674,"y"),(DATEDIF(L674,S674,"m")/12))</f>
        <v>0.91666666666666663</v>
      </c>
      <c r="I674" s="7">
        <f>DATEDIF(L674,S674,"M")</f>
        <v>11</v>
      </c>
      <c r="J674" s="7">
        <f>DATEDIF(L674,S674,"D")</f>
        <v>358</v>
      </c>
      <c r="K674" s="3" t="s">
        <v>64</v>
      </c>
      <c r="L674" s="8">
        <v>44586</v>
      </c>
      <c r="M674" s="3" t="s">
        <v>45</v>
      </c>
      <c r="N674" s="3" t="s">
        <v>73</v>
      </c>
      <c r="O674" s="3" t="s">
        <v>52</v>
      </c>
      <c r="P674" s="3" t="s">
        <v>499</v>
      </c>
      <c r="Q674" s="7">
        <v>0</v>
      </c>
      <c r="R674" s="8">
        <v>44946</v>
      </c>
      <c r="S674" s="8">
        <v>44944</v>
      </c>
      <c r="T674" s="3" t="s">
        <v>54</v>
      </c>
      <c r="U674" s="3" t="s">
        <v>55</v>
      </c>
      <c r="V674" s="9"/>
      <c r="W674" s="10">
        <v>44950</v>
      </c>
      <c r="X674" s="7">
        <v>4</v>
      </c>
      <c r="Y674" s="7">
        <v>2</v>
      </c>
      <c r="Z674" s="7">
        <v>1</v>
      </c>
      <c r="AA674" s="7">
        <f>INT((S674-DATE(YEAR(S674-WEEKDAY(S674-0)+4),1,4)+WEEKDAY(DATE(YEAR(S674-WEEKDAY(S674-0)+4),1,4))+6)/7)</f>
        <v>3</v>
      </c>
      <c r="AB674" s="3" t="s">
        <v>1843</v>
      </c>
      <c r="AC674" s="7">
        <v>162</v>
      </c>
      <c r="AD674" s="7">
        <v>0</v>
      </c>
      <c r="AE674" s="7">
        <v>0</v>
      </c>
      <c r="AF674" s="3" t="s">
        <v>48</v>
      </c>
      <c r="AG674" s="7">
        <v>2023</v>
      </c>
      <c r="AH674" s="3" t="s">
        <v>286</v>
      </c>
      <c r="AI674" s="3" t="s">
        <v>113</v>
      </c>
      <c r="AJ674" s="3" t="s">
        <v>48</v>
      </c>
      <c r="AK674" s="3" t="s">
        <v>199</v>
      </c>
      <c r="AL674" s="3" t="s">
        <v>59</v>
      </c>
      <c r="AM674" s="3" t="s">
        <v>115</v>
      </c>
      <c r="AN674" s="3" t="s">
        <v>61</v>
      </c>
      <c r="AO674" s="3" t="s">
        <v>62</v>
      </c>
      <c r="AP674" s="3" t="s">
        <v>69</v>
      </c>
      <c r="AQ674" s="3" t="s">
        <v>61</v>
      </c>
      <c r="AR674" s="3" t="s">
        <v>48</v>
      </c>
    </row>
    <row r="675" spans="1:44" ht="30" customHeight="1">
      <c r="A675" s="3" t="s">
        <v>44</v>
      </c>
      <c r="B675" s="3" t="s">
        <v>45</v>
      </c>
      <c r="C675" s="3" t="s">
        <v>46</v>
      </c>
      <c r="D675" s="3" t="s">
        <v>47</v>
      </c>
      <c r="E675" s="3" t="s">
        <v>48</v>
      </c>
      <c r="F675" s="3" t="s">
        <v>49</v>
      </c>
      <c r="G675" s="3" t="s">
        <v>2043</v>
      </c>
      <c r="H675" s="4">
        <f>IF(DATEDIF(L675,S675,"m")&gt;12,DATEDIF(L675,S675,"y"),(DATEDIF(L675,S675,"m")/12))</f>
        <v>4</v>
      </c>
      <c r="I675" s="7">
        <f>DATEDIF(L675,S675,"M")</f>
        <v>53</v>
      </c>
      <c r="J675" s="7">
        <f>DATEDIF(L675,S675,"D")</f>
        <v>1627</v>
      </c>
      <c r="K675" s="3" t="s">
        <v>51</v>
      </c>
      <c r="L675" s="8">
        <v>43362</v>
      </c>
      <c r="M675" s="3" t="s">
        <v>45</v>
      </c>
      <c r="N675" s="3" t="s">
        <v>49</v>
      </c>
      <c r="O675" s="3" t="s">
        <v>52</v>
      </c>
      <c r="P675" s="3" t="s">
        <v>2044</v>
      </c>
      <c r="Q675" s="7">
        <v>0</v>
      </c>
      <c r="R675" s="8">
        <v>44992</v>
      </c>
      <c r="S675" s="8">
        <v>44989</v>
      </c>
      <c r="T675" s="3" t="s">
        <v>54</v>
      </c>
      <c r="U675" s="3" t="s">
        <v>55</v>
      </c>
      <c r="V675" s="9"/>
      <c r="W675" s="10">
        <v>44994</v>
      </c>
      <c r="X675" s="7">
        <v>2</v>
      </c>
      <c r="Y675" s="7">
        <v>3</v>
      </c>
      <c r="Z675" s="7">
        <v>3</v>
      </c>
      <c r="AA675" s="7">
        <f>INT((S675-DATE(YEAR(S675-WEEKDAY(S675-0)+4),1,4)+WEEKDAY(DATE(YEAR(S675-WEEKDAY(S675-0)+4),1,4))+6)/7)</f>
        <v>9</v>
      </c>
      <c r="AB675" s="3" t="s">
        <v>2045</v>
      </c>
      <c r="AC675" s="7">
        <v>92</v>
      </c>
      <c r="AD675" s="7">
        <v>0</v>
      </c>
      <c r="AE675" s="7">
        <v>0</v>
      </c>
      <c r="AF675" s="3" t="s">
        <v>48</v>
      </c>
      <c r="AG675" s="7">
        <v>2023</v>
      </c>
      <c r="AH675" s="3" t="s">
        <v>57</v>
      </c>
      <c r="AI675" s="3" t="s">
        <v>48</v>
      </c>
      <c r="AJ675" s="3" t="s">
        <v>48</v>
      </c>
      <c r="AK675" s="3" t="s">
        <v>813</v>
      </c>
      <c r="AL675" s="3" t="s">
        <v>59</v>
      </c>
      <c r="AM675" s="3" t="s">
        <v>60</v>
      </c>
      <c r="AN675" s="3" t="s">
        <v>61</v>
      </c>
      <c r="AO675" s="3" t="s">
        <v>62</v>
      </c>
      <c r="AP675" s="3" t="s">
        <v>69</v>
      </c>
      <c r="AQ675" s="3" t="s">
        <v>61</v>
      </c>
      <c r="AR675" s="3" t="s">
        <v>48</v>
      </c>
    </row>
    <row r="676" spans="1:44" ht="30" customHeight="1">
      <c r="A676" s="3" t="s">
        <v>44</v>
      </c>
      <c r="B676" s="3" t="s">
        <v>45</v>
      </c>
      <c r="C676" s="3" t="s">
        <v>46</v>
      </c>
      <c r="D676" s="3" t="s">
        <v>47</v>
      </c>
      <c r="E676" s="3" t="s">
        <v>48</v>
      </c>
      <c r="F676" s="3" t="s">
        <v>49</v>
      </c>
      <c r="G676" s="3" t="s">
        <v>2190</v>
      </c>
      <c r="H676" s="4">
        <f>IF(DATEDIF(L676,S676,"m")&gt;12,DATEDIF(L676,S676,"y"),(DATEDIF(L676,S676,"m")/12))</f>
        <v>6</v>
      </c>
      <c r="I676" s="7">
        <f>DATEDIF(L676,S676,"M")</f>
        <v>78</v>
      </c>
      <c r="J676" s="7">
        <f>DATEDIF(L676,S676,"D")</f>
        <v>2382</v>
      </c>
      <c r="K676" s="3" t="s">
        <v>64</v>
      </c>
      <c r="L676" s="8">
        <v>42605</v>
      </c>
      <c r="M676" s="3" t="s">
        <v>45</v>
      </c>
      <c r="N676" s="3" t="s">
        <v>49</v>
      </c>
      <c r="O676" s="3" t="s">
        <v>52</v>
      </c>
      <c r="P676" s="3" t="s">
        <v>91</v>
      </c>
      <c r="Q676" s="7">
        <v>0</v>
      </c>
      <c r="R676" s="8">
        <v>44991</v>
      </c>
      <c r="S676" s="8">
        <v>44987</v>
      </c>
      <c r="T676" s="3" t="s">
        <v>54</v>
      </c>
      <c r="U676" s="3" t="s">
        <v>55</v>
      </c>
      <c r="V676" s="9"/>
      <c r="W676" s="10">
        <v>44994</v>
      </c>
      <c r="X676" s="7">
        <v>3</v>
      </c>
      <c r="Y676" s="7">
        <v>4</v>
      </c>
      <c r="Z676" s="7">
        <v>3</v>
      </c>
      <c r="AA676" s="7">
        <f>INT((S676-DATE(YEAR(S676-WEEKDAY(S676-0)+4),1,4)+WEEKDAY(DATE(YEAR(S676-WEEKDAY(S676-0)+4),1,4))+6)/7)</f>
        <v>9</v>
      </c>
      <c r="AB676" s="3" t="s">
        <v>2191</v>
      </c>
      <c r="AC676" s="7">
        <v>90</v>
      </c>
      <c r="AD676" s="7">
        <v>0</v>
      </c>
      <c r="AE676" s="7">
        <v>0</v>
      </c>
      <c r="AF676" s="3" t="s">
        <v>48</v>
      </c>
      <c r="AG676" s="7">
        <v>2023</v>
      </c>
      <c r="AH676" s="3" t="s">
        <v>57</v>
      </c>
      <c r="AI676" s="3" t="s">
        <v>48</v>
      </c>
      <c r="AJ676" s="3" t="s">
        <v>48</v>
      </c>
      <c r="AK676" s="3" t="s">
        <v>1172</v>
      </c>
      <c r="AL676" s="3" t="s">
        <v>59</v>
      </c>
      <c r="AM676" s="3" t="s">
        <v>60</v>
      </c>
      <c r="AN676" s="3" t="s">
        <v>61</v>
      </c>
      <c r="AO676" s="3" t="s">
        <v>62</v>
      </c>
      <c r="AP676" s="3" t="s">
        <v>69</v>
      </c>
      <c r="AQ676" s="3" t="s">
        <v>61</v>
      </c>
      <c r="AR676" s="3" t="s">
        <v>48</v>
      </c>
    </row>
    <row r="677" spans="1:44" ht="30" customHeight="1">
      <c r="A677" s="3" t="s">
        <v>44</v>
      </c>
      <c r="B677" s="3" t="s">
        <v>45</v>
      </c>
      <c r="C677" s="3" t="s">
        <v>46</v>
      </c>
      <c r="D677" s="3" t="s">
        <v>130</v>
      </c>
      <c r="E677" s="3" t="s">
        <v>48</v>
      </c>
      <c r="F677" s="3" t="s">
        <v>135</v>
      </c>
      <c r="G677" s="3" t="s">
        <v>2214</v>
      </c>
      <c r="H677" s="4">
        <f>IF(DATEDIF(L677,S677,"m")&gt;12,DATEDIF(L677,S677,"y"),(DATEDIF(L677,S677,"m")/12))</f>
        <v>6</v>
      </c>
      <c r="I677" s="7">
        <f>DATEDIF(L677,S677,"M")</f>
        <v>76</v>
      </c>
      <c r="J677" s="7">
        <f>DATEDIF(L677,S677,"D")</f>
        <v>2321</v>
      </c>
      <c r="K677" s="3" t="s">
        <v>51</v>
      </c>
      <c r="L677" s="8">
        <v>42667</v>
      </c>
      <c r="M677" s="3" t="s">
        <v>45</v>
      </c>
      <c r="N677" s="3" t="s">
        <v>83</v>
      </c>
      <c r="O677" s="3" t="s">
        <v>52</v>
      </c>
      <c r="P677" s="3" t="s">
        <v>463</v>
      </c>
      <c r="Q677" s="7">
        <v>0</v>
      </c>
      <c r="R677" s="8">
        <v>44991</v>
      </c>
      <c r="S677" s="8">
        <v>44988</v>
      </c>
      <c r="T677" s="3" t="s">
        <v>54</v>
      </c>
      <c r="U677" s="3" t="s">
        <v>55</v>
      </c>
      <c r="V677" s="9"/>
      <c r="W677" s="10">
        <v>44994</v>
      </c>
      <c r="X677" s="7">
        <v>3</v>
      </c>
      <c r="Y677" s="7">
        <v>3</v>
      </c>
      <c r="Z677" s="7">
        <v>3</v>
      </c>
      <c r="AA677" s="7">
        <f>INT((S677-DATE(YEAR(S677-WEEKDAY(S677-0)+4),1,4)+WEEKDAY(DATE(YEAR(S677-WEEKDAY(S677-0)+4),1,4))+6)/7)</f>
        <v>9</v>
      </c>
      <c r="AB677" s="3" t="s">
        <v>2215</v>
      </c>
      <c r="AC677" s="7">
        <v>104</v>
      </c>
      <c r="AD677" s="7">
        <v>0</v>
      </c>
      <c r="AE677" s="7">
        <v>0</v>
      </c>
      <c r="AF677" s="3" t="s">
        <v>48</v>
      </c>
      <c r="AG677" s="7">
        <v>2023</v>
      </c>
      <c r="AH677" s="3" t="s">
        <v>139</v>
      </c>
      <c r="AI677" s="3" t="s">
        <v>113</v>
      </c>
      <c r="AJ677" s="3" t="s">
        <v>48</v>
      </c>
      <c r="AK677" s="12" t="s">
        <v>140</v>
      </c>
      <c r="AL677" s="3" t="s">
        <v>59</v>
      </c>
      <c r="AM677" s="3" t="s">
        <v>60</v>
      </c>
      <c r="AN677" s="3" t="s">
        <v>61</v>
      </c>
      <c r="AO677" s="3" t="s">
        <v>62</v>
      </c>
      <c r="AP677" s="3" t="s">
        <v>69</v>
      </c>
      <c r="AQ677" s="3" t="s">
        <v>61</v>
      </c>
      <c r="AR677" s="3" t="s">
        <v>48</v>
      </c>
    </row>
    <row r="678" spans="1:44" ht="30" customHeight="1">
      <c r="A678" s="3" t="s">
        <v>44</v>
      </c>
      <c r="B678" s="3" t="s">
        <v>45</v>
      </c>
      <c r="C678" s="3" t="s">
        <v>46</v>
      </c>
      <c r="D678" s="3" t="s">
        <v>47</v>
      </c>
      <c r="E678" s="3" t="s">
        <v>48</v>
      </c>
      <c r="F678" s="3" t="s">
        <v>49</v>
      </c>
      <c r="G678" s="3" t="s">
        <v>2560</v>
      </c>
      <c r="H678" s="4">
        <f>IF(DATEDIF(L678,S678,"m")&gt;12,DATEDIF(L678,S678,"y"),(DATEDIF(L678,S678,"m")/12))</f>
        <v>6</v>
      </c>
      <c r="I678" s="7">
        <f>DATEDIF(L678,S678,"M")</f>
        <v>78</v>
      </c>
      <c r="J678" s="7">
        <f>DATEDIF(L678,S678,"D")</f>
        <v>2387</v>
      </c>
      <c r="K678" s="3" t="s">
        <v>51</v>
      </c>
      <c r="L678" s="8">
        <v>42589</v>
      </c>
      <c r="M678" s="3" t="s">
        <v>45</v>
      </c>
      <c r="N678" s="3" t="s">
        <v>49</v>
      </c>
      <c r="O678" s="3" t="s">
        <v>52</v>
      </c>
      <c r="P678" s="3" t="s">
        <v>2044</v>
      </c>
      <c r="Q678" s="7">
        <v>0</v>
      </c>
      <c r="R678" s="8">
        <v>44992</v>
      </c>
      <c r="S678" s="8">
        <v>44976</v>
      </c>
      <c r="T678" s="3" t="s">
        <v>54</v>
      </c>
      <c r="U678" s="3" t="s">
        <v>55</v>
      </c>
      <c r="V678" s="9"/>
      <c r="W678" s="10">
        <v>44994</v>
      </c>
      <c r="X678" s="7">
        <v>2</v>
      </c>
      <c r="Y678" s="7">
        <v>16</v>
      </c>
      <c r="Z678" s="7">
        <v>2</v>
      </c>
      <c r="AA678" s="7">
        <f>INT((S678-DATE(YEAR(S678-WEEKDAY(S678-0)+4),1,4)+WEEKDAY(DATE(YEAR(S678-WEEKDAY(S678-0)+4),1,4))+6)/7)</f>
        <v>8</v>
      </c>
      <c r="AB678" s="3" t="s">
        <v>2561</v>
      </c>
      <c r="AC678" s="7">
        <v>93</v>
      </c>
      <c r="AD678" s="7">
        <v>0</v>
      </c>
      <c r="AE678" s="7">
        <v>0</v>
      </c>
      <c r="AF678" s="3" t="s">
        <v>48</v>
      </c>
      <c r="AG678" s="7">
        <v>2023</v>
      </c>
      <c r="AH678" s="3" t="s">
        <v>57</v>
      </c>
      <c r="AI678" s="3" t="s">
        <v>48</v>
      </c>
      <c r="AJ678" s="3" t="s">
        <v>48</v>
      </c>
      <c r="AK678" s="3" t="s">
        <v>813</v>
      </c>
      <c r="AL678" s="3" t="s">
        <v>59</v>
      </c>
      <c r="AM678" s="3" t="s">
        <v>60</v>
      </c>
      <c r="AN678" s="3" t="s">
        <v>61</v>
      </c>
      <c r="AO678" s="3" t="s">
        <v>62</v>
      </c>
      <c r="AP678" s="3" t="s">
        <v>69</v>
      </c>
      <c r="AQ678" s="3" t="s">
        <v>61</v>
      </c>
      <c r="AR678" s="3" t="s">
        <v>48</v>
      </c>
    </row>
    <row r="679" spans="1:44" ht="30" customHeight="1">
      <c r="A679" s="3" t="s">
        <v>44</v>
      </c>
      <c r="B679" s="3" t="s">
        <v>45</v>
      </c>
      <c r="C679" s="3" t="s">
        <v>46</v>
      </c>
      <c r="D679" s="3" t="s">
        <v>47</v>
      </c>
      <c r="E679" s="3" t="s">
        <v>48</v>
      </c>
      <c r="F679" s="3" t="s">
        <v>49</v>
      </c>
      <c r="G679" s="3" t="s">
        <v>2560</v>
      </c>
      <c r="H679" s="4">
        <f>IF(DATEDIF(L679,S679,"m")&gt;12,DATEDIF(L679,S679,"y"),(DATEDIF(L679,S679,"m")/12))</f>
        <v>6</v>
      </c>
      <c r="I679" s="7">
        <f>DATEDIF(L679,S679,"M")</f>
        <v>80</v>
      </c>
      <c r="J679" s="7">
        <f>DATEDIF(L679,S679,"D")</f>
        <v>2438</v>
      </c>
      <c r="K679" s="3" t="s">
        <v>51</v>
      </c>
      <c r="L679" s="8">
        <v>42589</v>
      </c>
      <c r="M679" s="3" t="s">
        <v>45</v>
      </c>
      <c r="N679" s="3" t="s">
        <v>49</v>
      </c>
      <c r="O679" s="3" t="s">
        <v>52</v>
      </c>
      <c r="P679" s="3" t="s">
        <v>2562</v>
      </c>
      <c r="Q679" s="7">
        <v>0</v>
      </c>
      <c r="R679" s="8">
        <v>45034</v>
      </c>
      <c r="S679" s="8">
        <v>45027</v>
      </c>
      <c r="T679" s="3" t="s">
        <v>54</v>
      </c>
      <c r="U679" s="3" t="s">
        <v>55</v>
      </c>
      <c r="V679" s="9"/>
      <c r="W679" s="10">
        <v>44994</v>
      </c>
      <c r="X679" s="7">
        <v>6</v>
      </c>
      <c r="Y679" s="7">
        <v>7</v>
      </c>
      <c r="Z679" s="7">
        <v>4</v>
      </c>
      <c r="AA679" s="7">
        <f>INT((S679-DATE(YEAR(S679-WEEKDAY(S679-0)+4),1,4)+WEEKDAY(DATE(YEAR(S679-WEEKDAY(S679-0)+4),1,4))+6)/7)</f>
        <v>15</v>
      </c>
      <c r="AB679" s="3" t="s">
        <v>2561</v>
      </c>
      <c r="AC679" s="7">
        <v>93</v>
      </c>
      <c r="AD679" s="7">
        <v>0</v>
      </c>
      <c r="AE679" s="7">
        <v>0</v>
      </c>
      <c r="AF679" s="3" t="s">
        <v>48</v>
      </c>
      <c r="AG679" s="7">
        <v>2023</v>
      </c>
      <c r="AH679" s="3" t="s">
        <v>57</v>
      </c>
      <c r="AI679" s="3" t="s">
        <v>48</v>
      </c>
      <c r="AJ679" s="3" t="s">
        <v>48</v>
      </c>
      <c r="AK679" s="3" t="s">
        <v>813</v>
      </c>
      <c r="AL679" s="3" t="s">
        <v>59</v>
      </c>
      <c r="AM679" s="3" t="s">
        <v>60</v>
      </c>
      <c r="AN679" s="3" t="s">
        <v>61</v>
      </c>
      <c r="AO679" s="3" t="s">
        <v>62</v>
      </c>
      <c r="AP679" s="3" t="s">
        <v>61</v>
      </c>
      <c r="AQ679" s="3" t="s">
        <v>61</v>
      </c>
      <c r="AR679" s="3" t="s">
        <v>48</v>
      </c>
    </row>
    <row r="680" spans="1:44" ht="30" customHeight="1">
      <c r="A680" s="3" t="s">
        <v>44</v>
      </c>
      <c r="B680" s="3" t="s">
        <v>45</v>
      </c>
      <c r="C680" s="3" t="s">
        <v>46</v>
      </c>
      <c r="D680" s="3" t="s">
        <v>47</v>
      </c>
      <c r="E680" s="3" t="s">
        <v>48</v>
      </c>
      <c r="F680" s="3" t="s">
        <v>49</v>
      </c>
      <c r="G680" s="3" t="s">
        <v>224</v>
      </c>
      <c r="H680" s="4">
        <f>IF(DATEDIF(L680,S680,"m")&gt;12,DATEDIF(L680,S680,"y"),(DATEDIF(L680,S680,"m")/12))</f>
        <v>3</v>
      </c>
      <c r="I680" s="7">
        <f>DATEDIF(L680,S680,"M")</f>
        <v>44</v>
      </c>
      <c r="J680" s="7">
        <f>DATEDIF(L680,S680,"D")</f>
        <v>1348</v>
      </c>
      <c r="K680" s="3" t="s">
        <v>64</v>
      </c>
      <c r="L680" s="8">
        <v>43639</v>
      </c>
      <c r="M680" s="3" t="s">
        <v>45</v>
      </c>
      <c r="N680" s="3" t="s">
        <v>49</v>
      </c>
      <c r="O680" s="3" t="s">
        <v>52</v>
      </c>
      <c r="P680" s="3" t="s">
        <v>225</v>
      </c>
      <c r="Q680" s="7">
        <v>0</v>
      </c>
      <c r="R680" s="8">
        <v>44994</v>
      </c>
      <c r="S680" s="8">
        <v>44987</v>
      </c>
      <c r="T680" s="3" t="s">
        <v>54</v>
      </c>
      <c r="U680" s="3" t="s">
        <v>55</v>
      </c>
      <c r="V680" s="9"/>
      <c r="W680" s="10">
        <v>44995</v>
      </c>
      <c r="X680" s="7">
        <v>1</v>
      </c>
      <c r="Y680" s="7">
        <v>7</v>
      </c>
      <c r="Z680" s="7">
        <v>3</v>
      </c>
      <c r="AA680" s="7">
        <f>INT((S680-DATE(YEAR(S680-WEEKDAY(S680-0)+4),1,4)+WEEKDAY(DATE(YEAR(S680-WEEKDAY(S680-0)+4),1,4))+6)/7)</f>
        <v>9</v>
      </c>
      <c r="AB680" s="3" t="s">
        <v>226</v>
      </c>
      <c r="AC680" s="7">
        <v>109</v>
      </c>
      <c r="AD680" s="7">
        <v>0</v>
      </c>
      <c r="AE680" s="7">
        <v>0</v>
      </c>
      <c r="AF680" s="3" t="s">
        <v>48</v>
      </c>
      <c r="AG680" s="7">
        <v>2023</v>
      </c>
      <c r="AH680" s="3" t="s">
        <v>57</v>
      </c>
      <c r="AI680" s="3" t="s">
        <v>48</v>
      </c>
      <c r="AJ680" s="3" t="s">
        <v>48</v>
      </c>
      <c r="AK680" s="3" t="s">
        <v>227</v>
      </c>
      <c r="AL680" s="3" t="s">
        <v>59</v>
      </c>
      <c r="AM680" s="3" t="s">
        <v>60</v>
      </c>
      <c r="AN680" s="3" t="s">
        <v>61</v>
      </c>
      <c r="AO680" s="3" t="s">
        <v>62</v>
      </c>
      <c r="AP680" s="3" t="s">
        <v>69</v>
      </c>
      <c r="AQ680" s="3" t="s">
        <v>61</v>
      </c>
      <c r="AR680" s="3" t="s">
        <v>48</v>
      </c>
    </row>
    <row r="681" spans="1:44" ht="30" customHeight="1">
      <c r="A681" s="3" t="s">
        <v>44</v>
      </c>
      <c r="B681" s="3" t="s">
        <v>45</v>
      </c>
      <c r="C681" s="3" t="s">
        <v>46</v>
      </c>
      <c r="D681" s="3" t="s">
        <v>70</v>
      </c>
      <c r="E681" s="3" t="s">
        <v>48</v>
      </c>
      <c r="F681" s="3" t="s">
        <v>71</v>
      </c>
      <c r="G681" s="3" t="s">
        <v>242</v>
      </c>
      <c r="H681" s="4">
        <v>4</v>
      </c>
      <c r="I681" s="7">
        <v>0</v>
      </c>
      <c r="J681" s="7">
        <v>0</v>
      </c>
      <c r="K681" s="3" t="s">
        <v>51</v>
      </c>
      <c r="L681" s="22"/>
      <c r="M681" s="3" t="s">
        <v>45</v>
      </c>
      <c r="N681" s="3" t="s">
        <v>159</v>
      </c>
      <c r="O681" s="3" t="s">
        <v>52</v>
      </c>
      <c r="P681" s="3" t="s">
        <v>91</v>
      </c>
      <c r="Q681" s="7">
        <v>1</v>
      </c>
      <c r="R681" s="8">
        <v>44994</v>
      </c>
      <c r="S681" s="8">
        <v>44993</v>
      </c>
      <c r="T681" s="3" t="s">
        <v>54</v>
      </c>
      <c r="U681" s="3" t="s">
        <v>55</v>
      </c>
      <c r="V681" s="9"/>
      <c r="W681" s="10">
        <v>44995</v>
      </c>
      <c r="X681" s="7">
        <v>1</v>
      </c>
      <c r="Y681" s="7">
        <v>1</v>
      </c>
      <c r="Z681" s="7">
        <v>3</v>
      </c>
      <c r="AA681" s="7">
        <f>INT((S681-DATE(YEAR(S681-WEEKDAY(S681-0)+4),1,4)+WEEKDAY(DATE(YEAR(S681-WEEKDAY(S681-0)+4),1,4))+6)/7)</f>
        <v>10</v>
      </c>
      <c r="AB681" s="3" t="s">
        <v>243</v>
      </c>
      <c r="AC681" s="7">
        <v>720</v>
      </c>
      <c r="AD681" s="7">
        <v>0</v>
      </c>
      <c r="AE681" s="7">
        <v>1</v>
      </c>
      <c r="AF681" s="3" t="s">
        <v>48</v>
      </c>
      <c r="AG681" s="7">
        <v>2023</v>
      </c>
      <c r="AH681" s="3" t="s">
        <v>76</v>
      </c>
      <c r="AI681" s="3" t="s">
        <v>166</v>
      </c>
      <c r="AJ681" s="3" t="s">
        <v>78</v>
      </c>
      <c r="AK681" s="3" t="s">
        <v>244</v>
      </c>
      <c r="AL681" s="3" t="s">
        <v>59</v>
      </c>
      <c r="AM681" s="3" t="s">
        <v>60</v>
      </c>
      <c r="AN681" s="3" t="s">
        <v>61</v>
      </c>
      <c r="AO681" s="3" t="s">
        <v>62</v>
      </c>
      <c r="AP681" s="3" t="s">
        <v>69</v>
      </c>
      <c r="AQ681" s="3" t="s">
        <v>61</v>
      </c>
      <c r="AR681" s="3" t="s">
        <v>48</v>
      </c>
    </row>
    <row r="682" spans="1:44" ht="30" customHeight="1">
      <c r="A682" s="3" t="s">
        <v>44</v>
      </c>
      <c r="B682" s="3" t="s">
        <v>45</v>
      </c>
      <c r="C682" s="3" t="s">
        <v>46</v>
      </c>
      <c r="D682" s="3" t="s">
        <v>47</v>
      </c>
      <c r="E682" s="3" t="s">
        <v>48</v>
      </c>
      <c r="F682" s="3" t="s">
        <v>49</v>
      </c>
      <c r="G682" s="3" t="s">
        <v>303</v>
      </c>
      <c r="H682" s="4">
        <f>IF(DATEDIF(L682,S682,"m")&gt;12,DATEDIF(L682,S682,"y"),(DATEDIF(L682,S682,"m")/12))</f>
        <v>7</v>
      </c>
      <c r="I682" s="7">
        <f>DATEDIF(L682,S682,"M")</f>
        <v>87</v>
      </c>
      <c r="J682" s="7">
        <f>DATEDIF(L682,S682,"D")</f>
        <v>2660</v>
      </c>
      <c r="K682" s="3" t="s">
        <v>51</v>
      </c>
      <c r="L682" s="8">
        <v>42326</v>
      </c>
      <c r="M682" s="3" t="s">
        <v>45</v>
      </c>
      <c r="N682" s="3" t="s">
        <v>49</v>
      </c>
      <c r="O682" s="3" t="s">
        <v>52</v>
      </c>
      <c r="P682" s="3" t="s">
        <v>304</v>
      </c>
      <c r="Q682" s="7">
        <v>0</v>
      </c>
      <c r="R682" s="8">
        <v>44991</v>
      </c>
      <c r="S682" s="8">
        <v>44986</v>
      </c>
      <c r="T682" s="3" t="s">
        <v>54</v>
      </c>
      <c r="U682" s="3" t="s">
        <v>55</v>
      </c>
      <c r="V682" s="9"/>
      <c r="W682" s="10">
        <v>44995</v>
      </c>
      <c r="X682" s="7">
        <v>4</v>
      </c>
      <c r="Y682" s="7">
        <v>5</v>
      </c>
      <c r="Z682" s="7">
        <v>3</v>
      </c>
      <c r="AA682" s="7">
        <f>INT((S682-DATE(YEAR(S682-WEEKDAY(S682-0)+4),1,4)+WEEKDAY(DATE(YEAR(S682-WEEKDAY(S682-0)+4),1,4))+6)/7)</f>
        <v>9</v>
      </c>
      <c r="AB682" s="3" t="s">
        <v>305</v>
      </c>
      <c r="AC682" s="7">
        <v>102</v>
      </c>
      <c r="AD682" s="7">
        <v>0</v>
      </c>
      <c r="AE682" s="7">
        <v>0</v>
      </c>
      <c r="AF682" s="3" t="s">
        <v>48</v>
      </c>
      <c r="AG682" s="7">
        <v>2023</v>
      </c>
      <c r="AH682" s="3" t="s">
        <v>57</v>
      </c>
      <c r="AI682" s="3" t="s">
        <v>48</v>
      </c>
      <c r="AJ682" s="3" t="s">
        <v>48</v>
      </c>
      <c r="AK682" s="18" t="s">
        <v>58</v>
      </c>
      <c r="AL682" s="3" t="s">
        <v>59</v>
      </c>
      <c r="AM682" s="3" t="s">
        <v>60</v>
      </c>
      <c r="AN682" s="3" t="s">
        <v>61</v>
      </c>
      <c r="AO682" s="3" t="s">
        <v>62</v>
      </c>
      <c r="AP682" s="3" t="s">
        <v>69</v>
      </c>
      <c r="AQ682" s="3" t="s">
        <v>61</v>
      </c>
      <c r="AR682" s="3" t="s">
        <v>48</v>
      </c>
    </row>
    <row r="683" spans="1:44" ht="30" customHeight="1">
      <c r="A683" s="3" t="s">
        <v>44</v>
      </c>
      <c r="B683" s="3" t="s">
        <v>45</v>
      </c>
      <c r="C683" s="3" t="s">
        <v>46</v>
      </c>
      <c r="D683" s="3" t="s">
        <v>108</v>
      </c>
      <c r="E683" s="3" t="s">
        <v>48</v>
      </c>
      <c r="F683" s="3" t="s">
        <v>108</v>
      </c>
      <c r="G683" s="3" t="s">
        <v>1930</v>
      </c>
      <c r="H683" s="4">
        <f>IF(DATEDIF(L683,S683,"m")&gt;12,DATEDIF(L683,S683,"y"),(DATEDIF(L683,S683,"m")/12))</f>
        <v>2</v>
      </c>
      <c r="I683" s="7">
        <f>DATEDIF(L683,S683,"M")</f>
        <v>30</v>
      </c>
      <c r="J683" s="7">
        <f>DATEDIF(L683,S683,"D")</f>
        <v>917</v>
      </c>
      <c r="K683" s="3" t="s">
        <v>51</v>
      </c>
      <c r="L683" s="8">
        <v>44023</v>
      </c>
      <c r="M683" s="3" t="s">
        <v>45</v>
      </c>
      <c r="N683" s="3" t="s">
        <v>73</v>
      </c>
      <c r="O683" s="3" t="s">
        <v>52</v>
      </c>
      <c r="P683" s="3" t="s">
        <v>432</v>
      </c>
      <c r="Q683" s="7">
        <v>0</v>
      </c>
      <c r="R683" s="8">
        <v>44943</v>
      </c>
      <c r="S683" s="8">
        <v>44940</v>
      </c>
      <c r="T683" s="3" t="s">
        <v>54</v>
      </c>
      <c r="U683" s="3" t="s">
        <v>55</v>
      </c>
      <c r="V683" s="9"/>
      <c r="W683" s="10">
        <v>44950</v>
      </c>
      <c r="X683" s="7">
        <v>7</v>
      </c>
      <c r="Y683" s="7">
        <v>3</v>
      </c>
      <c r="Z683" s="7">
        <v>1</v>
      </c>
      <c r="AA683" s="7">
        <f>INT((S683-DATE(YEAR(S683-WEEKDAY(S683-0)+4),1,4)+WEEKDAY(DATE(YEAR(S683-WEEKDAY(S683-0)+4),1,4))+6)/7)</f>
        <v>2</v>
      </c>
      <c r="AB683" s="3" t="s">
        <v>1931</v>
      </c>
      <c r="AC683" s="7">
        <v>149</v>
      </c>
      <c r="AD683" s="7">
        <v>0</v>
      </c>
      <c r="AE683" s="7">
        <v>0</v>
      </c>
      <c r="AF683" s="3" t="s">
        <v>48</v>
      </c>
      <c r="AG683" s="7">
        <v>2023</v>
      </c>
      <c r="AH683" s="3" t="s">
        <v>112</v>
      </c>
      <c r="AI683" s="3" t="s">
        <v>113</v>
      </c>
      <c r="AJ683" s="3" t="s">
        <v>48</v>
      </c>
      <c r="AK683" s="3" t="s">
        <v>199</v>
      </c>
      <c r="AL683" s="3" t="s">
        <v>59</v>
      </c>
      <c r="AM683" s="3" t="s">
        <v>115</v>
      </c>
      <c r="AN683" s="3" t="s">
        <v>61</v>
      </c>
      <c r="AO683" s="3" t="s">
        <v>62</v>
      </c>
      <c r="AP683" s="3" t="s">
        <v>69</v>
      </c>
      <c r="AQ683" s="3" t="s">
        <v>61</v>
      </c>
      <c r="AR683" s="3" t="s">
        <v>48</v>
      </c>
    </row>
    <row r="684" spans="1:44" ht="30" customHeight="1">
      <c r="A684" s="3" t="s">
        <v>44</v>
      </c>
      <c r="B684" s="3" t="s">
        <v>45</v>
      </c>
      <c r="C684" s="3" t="s">
        <v>46</v>
      </c>
      <c r="D684" s="3" t="s">
        <v>70</v>
      </c>
      <c r="E684" s="3" t="s">
        <v>48</v>
      </c>
      <c r="F684" s="3" t="s">
        <v>71</v>
      </c>
      <c r="G684" s="3" t="s">
        <v>347</v>
      </c>
      <c r="H684" s="4">
        <f>IF(DATEDIF(L684,S684,"m")&gt;12,DATEDIF(L684,S684,"y"),(DATEDIF(L684,S684,"m")/12))</f>
        <v>27</v>
      </c>
      <c r="I684" s="7">
        <f>DATEDIF(L684,S684,"M")</f>
        <v>330</v>
      </c>
      <c r="J684" s="7">
        <f>DATEDIF(L684,S684,"D")</f>
        <v>10056</v>
      </c>
      <c r="K684" s="3" t="s">
        <v>51</v>
      </c>
      <c r="L684" s="8">
        <v>34934</v>
      </c>
      <c r="M684" s="3" t="s">
        <v>45</v>
      </c>
      <c r="N684" s="3" t="s">
        <v>159</v>
      </c>
      <c r="O684" s="3" t="s">
        <v>52</v>
      </c>
      <c r="P684" s="3" t="s">
        <v>137</v>
      </c>
      <c r="Q684" s="7">
        <v>1</v>
      </c>
      <c r="R684" s="8">
        <v>44991</v>
      </c>
      <c r="S684" s="8">
        <v>44990</v>
      </c>
      <c r="T684" s="3" t="s">
        <v>54</v>
      </c>
      <c r="U684" s="3" t="s">
        <v>55</v>
      </c>
      <c r="V684" s="9"/>
      <c r="W684" s="10">
        <v>44995</v>
      </c>
      <c r="X684" s="7">
        <v>4</v>
      </c>
      <c r="Y684" s="7">
        <v>1</v>
      </c>
      <c r="Z684" s="7">
        <v>3</v>
      </c>
      <c r="AA684" s="7">
        <f>INT((S684-DATE(YEAR(S684-WEEKDAY(S684-0)+4),1,4)+WEEKDAY(DATE(YEAR(S684-WEEKDAY(S684-0)+4),1,4))+6)/7)</f>
        <v>10</v>
      </c>
      <c r="AB684" s="3" t="s">
        <v>348</v>
      </c>
      <c r="AC684" s="7">
        <v>718</v>
      </c>
      <c r="AD684" s="7">
        <v>0</v>
      </c>
      <c r="AE684" s="7">
        <v>1</v>
      </c>
      <c r="AF684" s="3" t="s">
        <v>48</v>
      </c>
      <c r="AG684" s="7">
        <v>2023</v>
      </c>
      <c r="AH684" s="3" t="s">
        <v>76</v>
      </c>
      <c r="AI684" s="3" t="s">
        <v>77</v>
      </c>
      <c r="AJ684" s="3" t="s">
        <v>78</v>
      </c>
      <c r="AK684" s="3" t="s">
        <v>349</v>
      </c>
      <c r="AL684" s="3" t="s">
        <v>59</v>
      </c>
      <c r="AM684" s="3" t="s">
        <v>60</v>
      </c>
      <c r="AN684" s="3" t="s">
        <v>61</v>
      </c>
      <c r="AO684" s="3" t="s">
        <v>62</v>
      </c>
      <c r="AP684" s="3" t="s">
        <v>69</v>
      </c>
      <c r="AQ684" s="3" t="s">
        <v>61</v>
      </c>
      <c r="AR684" s="3" t="s">
        <v>48</v>
      </c>
    </row>
    <row r="685" spans="1:44" ht="30" customHeight="1">
      <c r="A685" s="3" t="s">
        <v>44</v>
      </c>
      <c r="B685" s="3" t="s">
        <v>45</v>
      </c>
      <c r="C685" s="3" t="s">
        <v>80</v>
      </c>
      <c r="D685" s="3" t="s">
        <v>81</v>
      </c>
      <c r="E685" s="3" t="s">
        <v>48</v>
      </c>
      <c r="F685" s="3" t="s">
        <v>81</v>
      </c>
      <c r="G685" s="3" t="s">
        <v>384</v>
      </c>
      <c r="H685" s="5">
        <f>IF(DATEDIF(L685,S685,"m")&gt;12,DATEDIF(L685,S685,"y"),(DATEDIF(L685,S685,"m")/12))</f>
        <v>0.41666666666666669</v>
      </c>
      <c r="I685" s="7">
        <f>DATEDIF(L685,S685,"M")</f>
        <v>5</v>
      </c>
      <c r="J685" s="7">
        <f>DATEDIF(L685,S685,"D")</f>
        <v>153</v>
      </c>
      <c r="K685" s="3" t="s">
        <v>51</v>
      </c>
      <c r="L685" s="8">
        <v>44832</v>
      </c>
      <c r="M685" s="3" t="s">
        <v>45</v>
      </c>
      <c r="N685" s="3" t="s">
        <v>203</v>
      </c>
      <c r="O685" s="3" t="s">
        <v>52</v>
      </c>
      <c r="P685" s="3" t="s">
        <v>103</v>
      </c>
      <c r="Q685" s="7">
        <v>1</v>
      </c>
      <c r="R685" s="8">
        <v>44989</v>
      </c>
      <c r="S685" s="8">
        <v>44985</v>
      </c>
      <c r="T685" s="3" t="s">
        <v>54</v>
      </c>
      <c r="U685" s="3" t="s">
        <v>55</v>
      </c>
      <c r="V685" s="9"/>
      <c r="W685" s="10">
        <v>44995</v>
      </c>
      <c r="X685" s="7">
        <v>6</v>
      </c>
      <c r="Y685" s="7">
        <v>4</v>
      </c>
      <c r="Z685" s="7">
        <v>2</v>
      </c>
      <c r="AA685" s="7">
        <f>INT((S685-DATE(YEAR(S685-WEEKDAY(S685-0)+4),1,4)+WEEKDAY(DATE(YEAR(S685-WEEKDAY(S685-0)+4),1,4))+6)/7)</f>
        <v>9</v>
      </c>
      <c r="AB685" s="3" t="s">
        <v>385</v>
      </c>
      <c r="AC685" s="7">
        <v>14058</v>
      </c>
      <c r="AD685" s="7">
        <v>0</v>
      </c>
      <c r="AE685" s="7">
        <v>0</v>
      </c>
      <c r="AF685" s="3" t="s">
        <v>48</v>
      </c>
      <c r="AG685" s="7">
        <v>2023</v>
      </c>
      <c r="AH685" s="3" t="s">
        <v>86</v>
      </c>
      <c r="AI685" s="3" t="s">
        <v>48</v>
      </c>
      <c r="AJ685" s="3" t="s">
        <v>48</v>
      </c>
      <c r="AK685" s="3" t="s">
        <v>171</v>
      </c>
      <c r="AL685" s="3" t="s">
        <v>59</v>
      </c>
      <c r="AM685" s="3" t="s">
        <v>60</v>
      </c>
      <c r="AN685" s="3" t="s">
        <v>61</v>
      </c>
      <c r="AO685" s="3" t="s">
        <v>62</v>
      </c>
      <c r="AP685" s="3" t="s">
        <v>69</v>
      </c>
      <c r="AQ685" s="3" t="s">
        <v>61</v>
      </c>
      <c r="AR685" s="3" t="s">
        <v>48</v>
      </c>
    </row>
    <row r="686" spans="1:44" ht="30" customHeight="1">
      <c r="A686" s="3" t="s">
        <v>44</v>
      </c>
      <c r="B686" s="3" t="s">
        <v>45</v>
      </c>
      <c r="C686" s="3" t="s">
        <v>46</v>
      </c>
      <c r="D686" s="3" t="s">
        <v>47</v>
      </c>
      <c r="E686" s="3" t="s">
        <v>48</v>
      </c>
      <c r="F686" s="3" t="s">
        <v>49</v>
      </c>
      <c r="G686" s="3" t="s">
        <v>1344</v>
      </c>
      <c r="H686" s="4">
        <f>IF(DATEDIF(L686,S686,"m")&gt;12,DATEDIF(L686,S686,"y"),(DATEDIF(L686,S686,"m")/12))</f>
        <v>56</v>
      </c>
      <c r="I686" s="7">
        <f>DATEDIF(L686,S686,"M")</f>
        <v>677</v>
      </c>
      <c r="J686" s="7">
        <f>DATEDIF(L686,S686,"D")</f>
        <v>20607</v>
      </c>
      <c r="K686" s="3" t="s">
        <v>64</v>
      </c>
      <c r="L686" s="8">
        <v>24339</v>
      </c>
      <c r="M686" s="3" t="s">
        <v>45</v>
      </c>
      <c r="N686" s="3" t="s">
        <v>73</v>
      </c>
      <c r="O686" s="3" t="s">
        <v>52</v>
      </c>
      <c r="P686" s="3" t="s">
        <v>156</v>
      </c>
      <c r="Q686" s="7">
        <v>0</v>
      </c>
      <c r="R686" s="8">
        <v>44950</v>
      </c>
      <c r="S686" s="8">
        <v>44946</v>
      </c>
      <c r="T686" s="3" t="s">
        <v>54</v>
      </c>
      <c r="U686" s="3" t="s">
        <v>55</v>
      </c>
      <c r="V686" s="9"/>
      <c r="W686" s="10">
        <v>44956</v>
      </c>
      <c r="X686" s="7">
        <v>6</v>
      </c>
      <c r="Y686" s="7">
        <v>4</v>
      </c>
      <c r="Z686" s="7">
        <v>1</v>
      </c>
      <c r="AA686" s="7">
        <f>INT((S686-DATE(YEAR(S686-WEEKDAY(S686-0)+4),1,4)+WEEKDAY(DATE(YEAR(S686-WEEKDAY(S686-0)+4),1,4))+6)/7)</f>
        <v>3</v>
      </c>
      <c r="AB686" s="3" t="s">
        <v>1345</v>
      </c>
      <c r="AC686" s="7">
        <v>11</v>
      </c>
      <c r="AD686" s="7">
        <v>0</v>
      </c>
      <c r="AE686" s="7">
        <v>0</v>
      </c>
      <c r="AF686" s="3" t="s">
        <v>48</v>
      </c>
      <c r="AG686" s="7">
        <v>2023</v>
      </c>
      <c r="AH686" s="3" t="s">
        <v>57</v>
      </c>
      <c r="AI686" s="3" t="s">
        <v>48</v>
      </c>
      <c r="AJ686" s="3" t="s">
        <v>48</v>
      </c>
      <c r="AK686" s="3" t="s">
        <v>199</v>
      </c>
      <c r="AL686" s="3" t="s">
        <v>59</v>
      </c>
      <c r="AM686" s="3" t="s">
        <v>60</v>
      </c>
      <c r="AN686" s="3" t="s">
        <v>61</v>
      </c>
      <c r="AO686" s="3" t="s">
        <v>62</v>
      </c>
      <c r="AP686" s="3" t="s">
        <v>69</v>
      </c>
      <c r="AQ686" s="3" t="s">
        <v>61</v>
      </c>
      <c r="AR686" s="3" t="s">
        <v>48</v>
      </c>
    </row>
    <row r="687" spans="1:44" ht="30" customHeight="1">
      <c r="A687" s="3" t="s">
        <v>44</v>
      </c>
      <c r="B687" s="3" t="s">
        <v>45</v>
      </c>
      <c r="C687" s="3" t="s">
        <v>46</v>
      </c>
      <c r="D687" s="3" t="s">
        <v>186</v>
      </c>
      <c r="E687" s="3" t="s">
        <v>48</v>
      </c>
      <c r="F687" s="3" t="s">
        <v>48</v>
      </c>
      <c r="G687" s="3" t="s">
        <v>48</v>
      </c>
      <c r="H687" s="4">
        <f>IF(DATEDIF(L687,S687,"m")&gt;12,DATEDIF(L687,S687,"y"),(DATEDIF(L687,S687,"m")/12))</f>
        <v>1</v>
      </c>
      <c r="I687" s="7">
        <f>DATEDIF(L687,S687,"M")</f>
        <v>22</v>
      </c>
      <c r="J687" s="7">
        <f>DATEDIF(L687,S687,"D")</f>
        <v>681</v>
      </c>
      <c r="K687" s="3" t="s">
        <v>64</v>
      </c>
      <c r="L687" s="8">
        <v>44305</v>
      </c>
      <c r="M687" s="3" t="s">
        <v>45</v>
      </c>
      <c r="N687" s="3" t="s">
        <v>187</v>
      </c>
      <c r="O687" s="3" t="s">
        <v>52</v>
      </c>
      <c r="P687" s="3" t="s">
        <v>866</v>
      </c>
      <c r="Q687" s="7">
        <v>0</v>
      </c>
      <c r="R687" s="8">
        <v>44987</v>
      </c>
      <c r="S687" s="8">
        <v>44986</v>
      </c>
      <c r="T687" s="3" t="s">
        <v>54</v>
      </c>
      <c r="U687" s="3" t="s">
        <v>55</v>
      </c>
      <c r="V687" s="9"/>
      <c r="W687" s="10">
        <v>44995</v>
      </c>
      <c r="X687" s="7">
        <v>8</v>
      </c>
      <c r="Y687" s="7">
        <v>1</v>
      </c>
      <c r="Z687" s="7">
        <v>3</v>
      </c>
      <c r="AA687" s="7">
        <f>INT((S687-DATE(YEAR(S687-WEEKDAY(S687-0)+4),1,4)+WEEKDAY(DATE(YEAR(S687-WEEKDAY(S687-0)+4),1,4))+6)/7)</f>
        <v>9</v>
      </c>
      <c r="AB687" s="3" t="s">
        <v>867</v>
      </c>
      <c r="AC687" s="7">
        <v>78</v>
      </c>
      <c r="AD687" s="7">
        <v>0</v>
      </c>
      <c r="AE687" s="7">
        <v>0</v>
      </c>
      <c r="AF687" s="3" t="s">
        <v>48</v>
      </c>
      <c r="AG687" s="7">
        <v>2023</v>
      </c>
      <c r="AH687" s="3" t="s">
        <v>190</v>
      </c>
      <c r="AI687" s="3" t="s">
        <v>191</v>
      </c>
      <c r="AJ687" s="3" t="s">
        <v>186</v>
      </c>
      <c r="AK687" s="3" t="s">
        <v>192</v>
      </c>
      <c r="AL687" s="3" t="s">
        <v>59</v>
      </c>
      <c r="AM687" s="3" t="s">
        <v>115</v>
      </c>
      <c r="AN687" s="3" t="s">
        <v>61</v>
      </c>
      <c r="AO687" s="3" t="s">
        <v>48</v>
      </c>
      <c r="AP687" s="3" t="s">
        <v>69</v>
      </c>
      <c r="AQ687" s="3" t="s">
        <v>61</v>
      </c>
      <c r="AR687" s="3" t="s">
        <v>48</v>
      </c>
    </row>
    <row r="688" spans="1:44" ht="30" customHeight="1">
      <c r="A688" s="3" t="s">
        <v>44</v>
      </c>
      <c r="B688" s="3" t="s">
        <v>45</v>
      </c>
      <c r="C688" s="3" t="s">
        <v>121</v>
      </c>
      <c r="D688" s="3" t="s">
        <v>121</v>
      </c>
      <c r="E688" s="3" t="s">
        <v>48</v>
      </c>
      <c r="F688" s="3" t="s">
        <v>449</v>
      </c>
      <c r="G688" s="3" t="s">
        <v>1352</v>
      </c>
      <c r="H688" s="4">
        <f>IF(DATEDIF(L688,S688,"m")&gt;12,DATEDIF(L688,S688,"y"),(DATEDIF(L688,S688,"m")/12))</f>
        <v>53</v>
      </c>
      <c r="I688" s="7">
        <f>DATEDIF(L688,S688,"M")</f>
        <v>646</v>
      </c>
      <c r="J688" s="7">
        <f>DATEDIF(L688,S688,"D")</f>
        <v>19673</v>
      </c>
      <c r="K688" s="3" t="s">
        <v>51</v>
      </c>
      <c r="L688" s="8">
        <v>25314</v>
      </c>
      <c r="M688" s="3" t="s">
        <v>45</v>
      </c>
      <c r="N688" s="3" t="s">
        <v>159</v>
      </c>
      <c r="O688" s="3" t="s">
        <v>52</v>
      </c>
      <c r="P688" s="3" t="s">
        <v>91</v>
      </c>
      <c r="Q688" s="7">
        <v>1</v>
      </c>
      <c r="R688" s="8">
        <v>44992</v>
      </c>
      <c r="S688" s="8">
        <v>44987</v>
      </c>
      <c r="T688" s="3" t="s">
        <v>54</v>
      </c>
      <c r="U688" s="3" t="s">
        <v>1353</v>
      </c>
      <c r="V688" s="24">
        <v>44993</v>
      </c>
      <c r="W688" s="10">
        <v>44995</v>
      </c>
      <c r="X688" s="7">
        <v>3</v>
      </c>
      <c r="Y688" s="7">
        <v>5</v>
      </c>
      <c r="Z688" s="7">
        <v>3</v>
      </c>
      <c r="AA688" s="7">
        <f>INT((S688-DATE(YEAR(S688-WEEKDAY(S688-0)+4),1,4)+WEEKDAY(DATE(YEAR(S688-WEEKDAY(S688-0)+4),1,4))+6)/7)</f>
        <v>9</v>
      </c>
      <c r="AB688" s="3" t="s">
        <v>1354</v>
      </c>
      <c r="AC688" s="7">
        <v>39548</v>
      </c>
      <c r="AD688" s="7">
        <v>0</v>
      </c>
      <c r="AE688" s="7">
        <v>1</v>
      </c>
      <c r="AF688" s="3" t="s">
        <v>48</v>
      </c>
      <c r="AG688" s="7">
        <v>2023</v>
      </c>
      <c r="AH688" s="12" t="s">
        <v>452</v>
      </c>
      <c r="AI688" s="3" t="s">
        <v>453</v>
      </c>
      <c r="AJ688" s="3" t="s">
        <v>48</v>
      </c>
      <c r="AK688" s="3" t="s">
        <v>689</v>
      </c>
      <c r="AL688" s="3" t="s">
        <v>59</v>
      </c>
      <c r="AM688" s="3" t="s">
        <v>60</v>
      </c>
      <c r="AN688" s="3" t="s">
        <v>61</v>
      </c>
      <c r="AO688" s="3" t="s">
        <v>62</v>
      </c>
      <c r="AP688" s="3" t="s">
        <v>69</v>
      </c>
      <c r="AQ688" s="3" t="s">
        <v>61</v>
      </c>
      <c r="AR688" s="3" t="s">
        <v>48</v>
      </c>
    </row>
    <row r="689" spans="1:44" ht="30" customHeight="1">
      <c r="A689" s="3" t="s">
        <v>44</v>
      </c>
      <c r="B689" s="3" t="s">
        <v>45</v>
      </c>
      <c r="C689" s="3" t="s">
        <v>46</v>
      </c>
      <c r="D689" s="3" t="s">
        <v>47</v>
      </c>
      <c r="E689" s="3" t="s">
        <v>48</v>
      </c>
      <c r="F689" s="3" t="s">
        <v>49</v>
      </c>
      <c r="G689" s="3" t="s">
        <v>1412</v>
      </c>
      <c r="H689" s="4">
        <f>IF(DATEDIF(L689,S689,"m")&gt;12,DATEDIF(L689,S689,"y"),(DATEDIF(L689,S689,"m")/12))</f>
        <v>3</v>
      </c>
      <c r="I689" s="7">
        <f>DATEDIF(L689,S689,"M")</f>
        <v>46</v>
      </c>
      <c r="J689" s="7">
        <f>DATEDIF(L689,S689,"D")</f>
        <v>1401</v>
      </c>
      <c r="K689" s="3" t="s">
        <v>64</v>
      </c>
      <c r="L689" s="8">
        <v>43587</v>
      </c>
      <c r="M689" s="3" t="s">
        <v>45</v>
      </c>
      <c r="N689" s="3" t="s">
        <v>49</v>
      </c>
      <c r="O689" s="3" t="s">
        <v>52</v>
      </c>
      <c r="P689" s="3" t="s">
        <v>84</v>
      </c>
      <c r="Q689" s="7">
        <v>0</v>
      </c>
      <c r="R689" s="8">
        <v>44991</v>
      </c>
      <c r="S689" s="8">
        <v>44988</v>
      </c>
      <c r="T689" s="3" t="s">
        <v>54</v>
      </c>
      <c r="U689" s="3" t="s">
        <v>55</v>
      </c>
      <c r="V689" s="9"/>
      <c r="W689" s="10">
        <v>44995</v>
      </c>
      <c r="X689" s="7">
        <v>4</v>
      </c>
      <c r="Y689" s="7">
        <v>3</v>
      </c>
      <c r="Z689" s="7">
        <v>3</v>
      </c>
      <c r="AA689" s="7">
        <f>INT((S689-DATE(YEAR(S689-WEEKDAY(S689-0)+4),1,4)+WEEKDAY(DATE(YEAR(S689-WEEKDAY(S689-0)+4),1,4))+6)/7)</f>
        <v>9</v>
      </c>
      <c r="AB689" s="3" t="s">
        <v>1413</v>
      </c>
      <c r="AC689" s="7">
        <v>100</v>
      </c>
      <c r="AD689" s="7">
        <v>0</v>
      </c>
      <c r="AE689" s="7">
        <v>0</v>
      </c>
      <c r="AF689" s="3" t="s">
        <v>48</v>
      </c>
      <c r="AG689" s="7">
        <v>2023</v>
      </c>
      <c r="AH689" s="3" t="s">
        <v>57</v>
      </c>
      <c r="AI689" s="3" t="s">
        <v>48</v>
      </c>
      <c r="AJ689" s="3" t="s">
        <v>48</v>
      </c>
      <c r="AK689" s="3" t="s">
        <v>567</v>
      </c>
      <c r="AL689" s="3" t="s">
        <v>59</v>
      </c>
      <c r="AM689" s="3" t="s">
        <v>60</v>
      </c>
      <c r="AN689" s="3" t="s">
        <v>61</v>
      </c>
      <c r="AO689" s="3" t="s">
        <v>62</v>
      </c>
      <c r="AP689" s="3" t="s">
        <v>69</v>
      </c>
      <c r="AQ689" s="3" t="s">
        <v>61</v>
      </c>
      <c r="AR689" s="3" t="s">
        <v>48</v>
      </c>
    </row>
    <row r="690" spans="1:44" ht="30" customHeight="1">
      <c r="A690" s="3" t="s">
        <v>44</v>
      </c>
      <c r="B690" s="3" t="s">
        <v>45</v>
      </c>
      <c r="C690" s="3" t="s">
        <v>46</v>
      </c>
      <c r="D690" s="3" t="s">
        <v>47</v>
      </c>
      <c r="E690" s="3" t="s">
        <v>48</v>
      </c>
      <c r="F690" s="3" t="s">
        <v>49</v>
      </c>
      <c r="G690" s="3" t="s">
        <v>1476</v>
      </c>
      <c r="H690" s="4">
        <f>IF(DATEDIF(L690,S690,"m")&gt;12,DATEDIF(L690,S690,"y"),(DATEDIF(L690,S690,"m")/12))</f>
        <v>2</v>
      </c>
      <c r="I690" s="7">
        <f>DATEDIF(L690,S690,"M")</f>
        <v>27</v>
      </c>
      <c r="J690" s="7">
        <f>DATEDIF(L690,S690,"D")</f>
        <v>843</v>
      </c>
      <c r="K690" s="3" t="s">
        <v>51</v>
      </c>
      <c r="L690" s="8">
        <v>44145</v>
      </c>
      <c r="M690" s="3" t="s">
        <v>45</v>
      </c>
      <c r="N690" s="3" t="s">
        <v>49</v>
      </c>
      <c r="O690" s="3" t="s">
        <v>52</v>
      </c>
      <c r="P690" s="3" t="s">
        <v>537</v>
      </c>
      <c r="Q690" s="7">
        <v>0</v>
      </c>
      <c r="R690" s="8">
        <v>44991</v>
      </c>
      <c r="S690" s="8">
        <v>44988</v>
      </c>
      <c r="T690" s="3" t="s">
        <v>54</v>
      </c>
      <c r="U690" s="3" t="s">
        <v>55</v>
      </c>
      <c r="V690" s="9"/>
      <c r="W690" s="10">
        <v>44995</v>
      </c>
      <c r="X690" s="7">
        <v>4</v>
      </c>
      <c r="Y690" s="7">
        <v>3</v>
      </c>
      <c r="Z690" s="7">
        <v>3</v>
      </c>
      <c r="AA690" s="7">
        <f>INT((S690-DATE(YEAR(S690-WEEKDAY(S690-0)+4),1,4)+WEEKDAY(DATE(YEAR(S690-WEEKDAY(S690-0)+4),1,4))+6)/7)</f>
        <v>9</v>
      </c>
      <c r="AB690" s="3" t="s">
        <v>1477</v>
      </c>
      <c r="AC690" s="7">
        <v>99</v>
      </c>
      <c r="AD690" s="7">
        <v>0</v>
      </c>
      <c r="AE690" s="7">
        <v>0</v>
      </c>
      <c r="AF690" s="3" t="s">
        <v>48</v>
      </c>
      <c r="AG690" s="7">
        <v>2023</v>
      </c>
      <c r="AH690" s="3" t="s">
        <v>57</v>
      </c>
      <c r="AI690" s="3" t="s">
        <v>48</v>
      </c>
      <c r="AJ690" s="3" t="s">
        <v>48</v>
      </c>
      <c r="AK690" s="3" t="s">
        <v>362</v>
      </c>
      <c r="AL690" s="3" t="s">
        <v>59</v>
      </c>
      <c r="AM690" s="3" t="s">
        <v>60</v>
      </c>
      <c r="AN690" s="3" t="s">
        <v>61</v>
      </c>
      <c r="AO690" s="3" t="s">
        <v>62</v>
      </c>
      <c r="AP690" s="3" t="s">
        <v>69</v>
      </c>
      <c r="AQ690" s="3" t="s">
        <v>61</v>
      </c>
      <c r="AR690" s="3" t="s">
        <v>48</v>
      </c>
    </row>
    <row r="691" spans="1:44" ht="30" customHeight="1">
      <c r="A691" s="3" t="s">
        <v>44</v>
      </c>
      <c r="B691" s="3" t="s">
        <v>45</v>
      </c>
      <c r="C691" s="3" t="s">
        <v>46</v>
      </c>
      <c r="D691" s="3" t="s">
        <v>47</v>
      </c>
      <c r="E691" s="3" t="s">
        <v>48</v>
      </c>
      <c r="F691" s="3" t="s">
        <v>49</v>
      </c>
      <c r="G691" s="3" t="s">
        <v>1478</v>
      </c>
      <c r="H691" s="4">
        <f>IF(DATEDIF(L691,S691,"m")&gt;12,DATEDIF(L691,S691,"y"),(DATEDIF(L691,S691,"m")/12))</f>
        <v>11</v>
      </c>
      <c r="I691" s="7">
        <f>DATEDIF(L691,S691,"M")</f>
        <v>132</v>
      </c>
      <c r="J691" s="7">
        <f>DATEDIF(L691,S691,"D")</f>
        <v>4029</v>
      </c>
      <c r="K691" s="3" t="s">
        <v>64</v>
      </c>
      <c r="L691" s="8">
        <v>40961</v>
      </c>
      <c r="M691" s="3" t="s">
        <v>45</v>
      </c>
      <c r="N691" s="3" t="s">
        <v>49</v>
      </c>
      <c r="O691" s="3" t="s">
        <v>52</v>
      </c>
      <c r="P691" s="3" t="s">
        <v>255</v>
      </c>
      <c r="Q691" s="7">
        <v>0</v>
      </c>
      <c r="R691" s="8">
        <v>44994</v>
      </c>
      <c r="S691" s="8">
        <v>44990</v>
      </c>
      <c r="T691" s="3" t="s">
        <v>54</v>
      </c>
      <c r="U691" s="3" t="s">
        <v>55</v>
      </c>
      <c r="V691" s="9"/>
      <c r="W691" s="10">
        <v>44995</v>
      </c>
      <c r="X691" s="7">
        <v>1</v>
      </c>
      <c r="Y691" s="7">
        <v>4</v>
      </c>
      <c r="Z691" s="7">
        <v>3</v>
      </c>
      <c r="AA691" s="7">
        <f>INT((S691-DATE(YEAR(S691-WEEKDAY(S691-0)+4),1,4)+WEEKDAY(DATE(YEAR(S691-WEEKDAY(S691-0)+4),1,4))+6)/7)</f>
        <v>10</v>
      </c>
      <c r="AB691" s="3" t="s">
        <v>1479</v>
      </c>
      <c r="AC691" s="7">
        <v>110</v>
      </c>
      <c r="AD691" s="7">
        <v>0</v>
      </c>
      <c r="AE691" s="7">
        <v>0</v>
      </c>
      <c r="AF691" s="3" t="s">
        <v>48</v>
      </c>
      <c r="AG691" s="7">
        <v>2023</v>
      </c>
      <c r="AH691" s="3" t="s">
        <v>57</v>
      </c>
      <c r="AI691" s="3" t="s">
        <v>48</v>
      </c>
      <c r="AJ691" s="3" t="s">
        <v>48</v>
      </c>
      <c r="AK691" s="3" t="s">
        <v>1172</v>
      </c>
      <c r="AL691" s="3" t="s">
        <v>59</v>
      </c>
      <c r="AM691" s="3" t="s">
        <v>60</v>
      </c>
      <c r="AN691" s="3" t="s">
        <v>61</v>
      </c>
      <c r="AO691" s="3" t="s">
        <v>62</v>
      </c>
      <c r="AP691" s="3" t="s">
        <v>69</v>
      </c>
      <c r="AQ691" s="3" t="s">
        <v>61</v>
      </c>
      <c r="AR691" s="3" t="s">
        <v>48</v>
      </c>
    </row>
    <row r="692" spans="1:44" ht="30" customHeight="1">
      <c r="A692" s="3" t="s">
        <v>44</v>
      </c>
      <c r="B692" s="3" t="s">
        <v>45</v>
      </c>
      <c r="C692" s="3" t="s">
        <v>46</v>
      </c>
      <c r="D692" s="3" t="s">
        <v>47</v>
      </c>
      <c r="E692" s="3" t="s">
        <v>48</v>
      </c>
      <c r="F692" s="3" t="s">
        <v>49</v>
      </c>
      <c r="G692" s="3" t="s">
        <v>1761</v>
      </c>
      <c r="H692" s="5">
        <f>IF(DATEDIF(L692,S692,"m")&gt;12,DATEDIF(L692,S692,"y"),(DATEDIF(L692,S692,"m")/12))</f>
        <v>0.25</v>
      </c>
      <c r="I692" s="7">
        <f>DATEDIF(L692,S692,"M")</f>
        <v>3</v>
      </c>
      <c r="J692" s="7">
        <f>DATEDIF(L692,S692,"D")</f>
        <v>116</v>
      </c>
      <c r="K692" s="3" t="s">
        <v>51</v>
      </c>
      <c r="L692" s="8">
        <v>44837</v>
      </c>
      <c r="M692" s="3" t="s">
        <v>45</v>
      </c>
      <c r="N692" s="3" t="s">
        <v>73</v>
      </c>
      <c r="O692" s="3" t="s">
        <v>52</v>
      </c>
      <c r="P692" s="3" t="s">
        <v>648</v>
      </c>
      <c r="Q692" s="7">
        <v>0</v>
      </c>
      <c r="R692" s="8">
        <v>44953</v>
      </c>
      <c r="S692" s="8">
        <v>44953</v>
      </c>
      <c r="T692" s="3" t="s">
        <v>54</v>
      </c>
      <c r="U692" s="3" t="s">
        <v>55</v>
      </c>
      <c r="V692" s="9"/>
      <c r="W692" s="10">
        <v>44956</v>
      </c>
      <c r="X692" s="7">
        <v>3</v>
      </c>
      <c r="Y692" s="7">
        <v>0</v>
      </c>
      <c r="Z692" s="7">
        <v>1</v>
      </c>
      <c r="AA692" s="7">
        <f>INT((S692-DATE(YEAR(S692-WEEKDAY(S692-0)+4),1,4)+WEEKDAY(DATE(YEAR(S692-WEEKDAY(S692-0)+4),1,4))+6)/7)</f>
        <v>4</v>
      </c>
      <c r="AB692" s="3" t="s">
        <v>1762</v>
      </c>
      <c r="AC692" s="7">
        <v>20</v>
      </c>
      <c r="AD692" s="7">
        <v>0</v>
      </c>
      <c r="AE692" s="7">
        <v>0</v>
      </c>
      <c r="AF692" s="3" t="s">
        <v>48</v>
      </c>
      <c r="AG692" s="7">
        <v>2023</v>
      </c>
      <c r="AH692" s="3" t="s">
        <v>57</v>
      </c>
      <c r="AI692" s="3" t="s">
        <v>48</v>
      </c>
      <c r="AJ692" s="3" t="s">
        <v>48</v>
      </c>
      <c r="AK692" s="3" t="s">
        <v>199</v>
      </c>
      <c r="AL692" s="3" t="s">
        <v>59</v>
      </c>
      <c r="AM692" s="3" t="s">
        <v>60</v>
      </c>
      <c r="AN692" s="3" t="s">
        <v>61</v>
      </c>
      <c r="AO692" s="3" t="s">
        <v>62</v>
      </c>
      <c r="AP692" s="3" t="s">
        <v>69</v>
      </c>
      <c r="AQ692" s="3" t="s">
        <v>61</v>
      </c>
      <c r="AR692" s="3" t="s">
        <v>48</v>
      </c>
    </row>
    <row r="693" spans="1:44" ht="30" customHeight="1">
      <c r="A693" s="3" t="s">
        <v>44</v>
      </c>
      <c r="B693" s="3" t="s">
        <v>45</v>
      </c>
      <c r="C693" s="3" t="s">
        <v>80</v>
      </c>
      <c r="D693" s="3" t="s">
        <v>81</v>
      </c>
      <c r="E693" s="3" t="s">
        <v>48</v>
      </c>
      <c r="F693" s="3" t="s">
        <v>81</v>
      </c>
      <c r="G693" s="3" t="s">
        <v>1567</v>
      </c>
      <c r="H693" s="4">
        <f>IF(DATEDIF(L693,S693,"m")&gt;12,DATEDIF(L693,S693,"y"),(DATEDIF(L693,S693,"m")/12))</f>
        <v>54</v>
      </c>
      <c r="I693" s="7">
        <f>DATEDIF(L693,S693,"M")</f>
        <v>659</v>
      </c>
      <c r="J693" s="7">
        <f>DATEDIF(L693,S693,"D")</f>
        <v>20060</v>
      </c>
      <c r="K693" s="3" t="s">
        <v>51</v>
      </c>
      <c r="L693" s="8">
        <v>24916</v>
      </c>
      <c r="M693" s="3" t="s">
        <v>45</v>
      </c>
      <c r="N693" s="3" t="s">
        <v>329</v>
      </c>
      <c r="O693" s="3" t="s">
        <v>52</v>
      </c>
      <c r="P693" s="3" t="s">
        <v>592</v>
      </c>
      <c r="Q693" s="7">
        <v>1</v>
      </c>
      <c r="R693" s="8">
        <v>44990</v>
      </c>
      <c r="S693" s="8">
        <v>44976</v>
      </c>
      <c r="T693" s="3" t="s">
        <v>54</v>
      </c>
      <c r="U693" s="3" t="s">
        <v>55</v>
      </c>
      <c r="V693" s="9"/>
      <c r="W693" s="10">
        <v>44995</v>
      </c>
      <c r="X693" s="7">
        <v>5</v>
      </c>
      <c r="Y693" s="7">
        <v>14</v>
      </c>
      <c r="Z693" s="7">
        <v>2</v>
      </c>
      <c r="AA693" s="7">
        <f>INT((S693-DATE(YEAR(S693-WEEKDAY(S693-0)+4),1,4)+WEEKDAY(DATE(YEAR(S693-WEEKDAY(S693-0)+4),1,4))+6)/7)</f>
        <v>8</v>
      </c>
      <c r="AB693" s="3" t="s">
        <v>1568</v>
      </c>
      <c r="AC693" s="7">
        <v>14050</v>
      </c>
      <c r="AD693" s="7">
        <v>0</v>
      </c>
      <c r="AE693" s="7">
        <v>0</v>
      </c>
      <c r="AF693" s="3" t="s">
        <v>48</v>
      </c>
      <c r="AG693" s="7">
        <v>2023</v>
      </c>
      <c r="AH693" s="3" t="s">
        <v>86</v>
      </c>
      <c r="AI693" s="3" t="s">
        <v>48</v>
      </c>
      <c r="AJ693" s="3" t="s">
        <v>48</v>
      </c>
      <c r="AK693" s="3" t="s">
        <v>547</v>
      </c>
      <c r="AL693" s="3" t="s">
        <v>59</v>
      </c>
      <c r="AM693" s="3" t="s">
        <v>60</v>
      </c>
      <c r="AN693" s="3" t="s">
        <v>61</v>
      </c>
      <c r="AO693" s="3" t="s">
        <v>62</v>
      </c>
      <c r="AP693" s="3" t="s">
        <v>69</v>
      </c>
      <c r="AQ693" s="3" t="s">
        <v>61</v>
      </c>
      <c r="AR693" s="3" t="s">
        <v>48</v>
      </c>
    </row>
    <row r="694" spans="1:44" ht="30" customHeight="1">
      <c r="A694" s="3" t="s">
        <v>44</v>
      </c>
      <c r="B694" s="3" t="s">
        <v>45</v>
      </c>
      <c r="C694" s="3" t="s">
        <v>46</v>
      </c>
      <c r="D694" s="3" t="s">
        <v>47</v>
      </c>
      <c r="E694" s="3" t="s">
        <v>48</v>
      </c>
      <c r="F694" s="3" t="s">
        <v>49</v>
      </c>
      <c r="G694" s="3" t="s">
        <v>1648</v>
      </c>
      <c r="H694" s="4">
        <f>IF(DATEDIF(L694,S694,"m")&gt;12,DATEDIF(L694,S694,"y"),(DATEDIF(L694,S694,"m")/12))</f>
        <v>7</v>
      </c>
      <c r="I694" s="7">
        <f>DATEDIF(L694,S694,"M")</f>
        <v>88</v>
      </c>
      <c r="J694" s="7">
        <f>DATEDIF(L694,S694,"D")</f>
        <v>2707</v>
      </c>
      <c r="K694" s="3" t="s">
        <v>51</v>
      </c>
      <c r="L694" s="8">
        <v>42285</v>
      </c>
      <c r="M694" s="3" t="s">
        <v>45</v>
      </c>
      <c r="N694" s="3" t="s">
        <v>49</v>
      </c>
      <c r="O694" s="3" t="s">
        <v>52</v>
      </c>
      <c r="P694" s="3" t="s">
        <v>790</v>
      </c>
      <c r="Q694" s="7">
        <v>0</v>
      </c>
      <c r="R694" s="8">
        <v>44994</v>
      </c>
      <c r="S694" s="8">
        <v>44992</v>
      </c>
      <c r="T694" s="3" t="s">
        <v>54</v>
      </c>
      <c r="U694" s="3" t="s">
        <v>55</v>
      </c>
      <c r="V694" s="9"/>
      <c r="W694" s="10">
        <v>44995</v>
      </c>
      <c r="X694" s="7">
        <v>1</v>
      </c>
      <c r="Y694" s="7">
        <v>2</v>
      </c>
      <c r="Z694" s="7">
        <v>3</v>
      </c>
      <c r="AA694" s="7">
        <f>INT((S694-DATE(YEAR(S694-WEEKDAY(S694-0)+4),1,4)+WEEKDAY(DATE(YEAR(S694-WEEKDAY(S694-0)+4),1,4))+6)/7)</f>
        <v>10</v>
      </c>
      <c r="AB694" s="3" t="s">
        <v>1649</v>
      </c>
      <c r="AC694" s="7">
        <v>112</v>
      </c>
      <c r="AD694" s="7">
        <v>0</v>
      </c>
      <c r="AE694" s="7">
        <v>0</v>
      </c>
      <c r="AF694" s="3" t="s">
        <v>48</v>
      </c>
      <c r="AG694" s="7">
        <v>2023</v>
      </c>
      <c r="AH694" s="3" t="s">
        <v>57</v>
      </c>
      <c r="AI694" s="3" t="s">
        <v>48</v>
      </c>
      <c r="AJ694" s="3" t="s">
        <v>48</v>
      </c>
      <c r="AK694" s="3" t="s">
        <v>1217</v>
      </c>
      <c r="AL694" s="3" t="s">
        <v>59</v>
      </c>
      <c r="AM694" s="3" t="s">
        <v>60</v>
      </c>
      <c r="AN694" s="3" t="s">
        <v>61</v>
      </c>
      <c r="AO694" s="3" t="s">
        <v>62</v>
      </c>
      <c r="AP694" s="3" t="s">
        <v>69</v>
      </c>
      <c r="AQ694" s="3" t="s">
        <v>61</v>
      </c>
      <c r="AR694" s="3" t="s">
        <v>48</v>
      </c>
    </row>
    <row r="695" spans="1:44" ht="30" customHeight="1">
      <c r="A695" s="3" t="s">
        <v>44</v>
      </c>
      <c r="B695" s="3" t="s">
        <v>45</v>
      </c>
      <c r="C695" s="3" t="s">
        <v>80</v>
      </c>
      <c r="D695" s="3" t="s">
        <v>81</v>
      </c>
      <c r="E695" s="3" t="s">
        <v>48</v>
      </c>
      <c r="F695" s="3" t="s">
        <v>81</v>
      </c>
      <c r="G695" s="3" t="s">
        <v>1652</v>
      </c>
      <c r="H695" s="4">
        <f>IF(DATEDIF(L695,S695,"m")&gt;12,DATEDIF(L695,S695,"y"),(DATEDIF(L695,S695,"m")/12))</f>
        <v>1</v>
      </c>
      <c r="I695" s="7">
        <f>DATEDIF(L695,S695,"M")</f>
        <v>12</v>
      </c>
      <c r="J695" s="7">
        <f>DATEDIF(L695,S695,"D")</f>
        <v>389</v>
      </c>
      <c r="K695" s="3" t="s">
        <v>64</v>
      </c>
      <c r="L695" s="8">
        <v>44595</v>
      </c>
      <c r="M695" s="3" t="s">
        <v>45</v>
      </c>
      <c r="N695" s="3" t="s">
        <v>187</v>
      </c>
      <c r="O695" s="3" t="s">
        <v>52</v>
      </c>
      <c r="P695" s="3" t="s">
        <v>815</v>
      </c>
      <c r="Q695" s="7">
        <v>1</v>
      </c>
      <c r="R695" s="8">
        <v>44987</v>
      </c>
      <c r="S695" s="8">
        <v>44984</v>
      </c>
      <c r="T695" s="3" t="s">
        <v>54</v>
      </c>
      <c r="U695" s="3" t="s">
        <v>55</v>
      </c>
      <c r="V695" s="9"/>
      <c r="W695" s="10">
        <v>44995</v>
      </c>
      <c r="X695" s="7">
        <v>8</v>
      </c>
      <c r="Y695" s="7">
        <v>3</v>
      </c>
      <c r="Z695" s="7">
        <v>2</v>
      </c>
      <c r="AA695" s="7">
        <f>INT((S695-DATE(YEAR(S695-WEEKDAY(S695-0)+4),1,4)+WEEKDAY(DATE(YEAR(S695-WEEKDAY(S695-0)+4),1,4))+6)/7)</f>
        <v>9</v>
      </c>
      <c r="AB695" s="3" t="s">
        <v>1653</v>
      </c>
      <c r="AC695" s="7">
        <v>14057</v>
      </c>
      <c r="AD695" s="7">
        <v>0</v>
      </c>
      <c r="AE695" s="7">
        <v>0</v>
      </c>
      <c r="AF695" s="3" t="s">
        <v>48</v>
      </c>
      <c r="AG695" s="7">
        <v>2023</v>
      </c>
      <c r="AH695" s="3" t="s">
        <v>86</v>
      </c>
      <c r="AI695" s="3" t="s">
        <v>48</v>
      </c>
      <c r="AJ695" s="3" t="s">
        <v>48</v>
      </c>
      <c r="AK695" s="3" t="s">
        <v>277</v>
      </c>
      <c r="AL695" s="3" t="s">
        <v>59</v>
      </c>
      <c r="AM695" s="3" t="s">
        <v>60</v>
      </c>
      <c r="AN695" s="3" t="s">
        <v>61</v>
      </c>
      <c r="AO695" s="3" t="s">
        <v>62</v>
      </c>
      <c r="AP695" s="3" t="s">
        <v>69</v>
      </c>
      <c r="AQ695" s="3" t="s">
        <v>61</v>
      </c>
      <c r="AR695" s="3" t="s">
        <v>48</v>
      </c>
    </row>
    <row r="696" spans="1:44" ht="30" customHeight="1">
      <c r="A696" s="3" t="s">
        <v>44</v>
      </c>
      <c r="B696" s="3" t="s">
        <v>45</v>
      </c>
      <c r="C696" s="3" t="s">
        <v>46</v>
      </c>
      <c r="D696" s="3" t="s">
        <v>70</v>
      </c>
      <c r="E696" s="3" t="s">
        <v>48</v>
      </c>
      <c r="F696" s="3" t="s">
        <v>71</v>
      </c>
      <c r="G696" s="3" t="s">
        <v>1721</v>
      </c>
      <c r="H696" s="4">
        <f>IF(DATEDIF(L696,S696,"m")&gt;12,DATEDIF(L696,S696,"y"),(DATEDIF(L696,S696,"m")/12))</f>
        <v>7</v>
      </c>
      <c r="I696" s="7">
        <f>DATEDIF(L696,S696,"M")</f>
        <v>91</v>
      </c>
      <c r="J696" s="7">
        <f>DATEDIF(L696,S696,"D")</f>
        <v>2794</v>
      </c>
      <c r="K696" s="3" t="s">
        <v>51</v>
      </c>
      <c r="L696" s="8">
        <v>42199</v>
      </c>
      <c r="M696" s="3" t="s">
        <v>45</v>
      </c>
      <c r="N696" s="3" t="s">
        <v>329</v>
      </c>
      <c r="O696" s="3" t="s">
        <v>52</v>
      </c>
      <c r="P696" s="3" t="s">
        <v>298</v>
      </c>
      <c r="Q696" s="7">
        <v>1</v>
      </c>
      <c r="R696" s="8">
        <v>44994</v>
      </c>
      <c r="S696" s="8">
        <v>44993</v>
      </c>
      <c r="T696" s="3" t="s">
        <v>54</v>
      </c>
      <c r="U696" s="3" t="s">
        <v>55</v>
      </c>
      <c r="V696" s="9"/>
      <c r="W696" s="10">
        <v>44995</v>
      </c>
      <c r="X696" s="7">
        <v>1</v>
      </c>
      <c r="Y696" s="7">
        <v>1</v>
      </c>
      <c r="Z696" s="7">
        <v>3</v>
      </c>
      <c r="AA696" s="7">
        <f>INT((S696-DATE(YEAR(S696-WEEKDAY(S696-0)+4),1,4)+WEEKDAY(DATE(YEAR(S696-WEEKDAY(S696-0)+4),1,4))+6)/7)</f>
        <v>10</v>
      </c>
      <c r="AB696" s="3" t="s">
        <v>1722</v>
      </c>
      <c r="AC696" s="7">
        <v>719</v>
      </c>
      <c r="AD696" s="7">
        <v>0</v>
      </c>
      <c r="AE696" s="7">
        <v>1</v>
      </c>
      <c r="AF696" s="3" t="s">
        <v>48</v>
      </c>
      <c r="AG696" s="7">
        <v>2023</v>
      </c>
      <c r="AH696" s="3" t="s">
        <v>76</v>
      </c>
      <c r="AI696" s="3" t="s">
        <v>166</v>
      </c>
      <c r="AJ696" s="3" t="s">
        <v>78</v>
      </c>
      <c r="AK696" s="3" t="s">
        <v>331</v>
      </c>
      <c r="AL696" s="3" t="s">
        <v>59</v>
      </c>
      <c r="AM696" s="3" t="s">
        <v>60</v>
      </c>
      <c r="AN696" s="3" t="s">
        <v>61</v>
      </c>
      <c r="AO696" s="3" t="s">
        <v>62</v>
      </c>
      <c r="AP696" s="3" t="s">
        <v>69</v>
      </c>
      <c r="AQ696" s="3" t="s">
        <v>61</v>
      </c>
      <c r="AR696" s="3" t="s">
        <v>48</v>
      </c>
    </row>
    <row r="697" spans="1:44" ht="30" customHeight="1">
      <c r="A697" s="3" t="s">
        <v>44</v>
      </c>
      <c r="B697" s="3" t="s">
        <v>45</v>
      </c>
      <c r="C697" s="3" t="s">
        <v>46</v>
      </c>
      <c r="D697" s="3" t="s">
        <v>47</v>
      </c>
      <c r="E697" s="3" t="s">
        <v>48</v>
      </c>
      <c r="F697" s="3" t="s">
        <v>49</v>
      </c>
      <c r="G697" s="3" t="s">
        <v>1773</v>
      </c>
      <c r="H697" s="4">
        <f>IF(DATEDIF(L697,S697,"m")&gt;12,DATEDIF(L697,S697,"y"),(DATEDIF(L697,S697,"m")/12))</f>
        <v>5</v>
      </c>
      <c r="I697" s="7">
        <f>DATEDIF(L697,S697,"M")</f>
        <v>62</v>
      </c>
      <c r="J697" s="7">
        <f>DATEDIF(L697,S697,"D")</f>
        <v>1906</v>
      </c>
      <c r="K697" s="3" t="s">
        <v>51</v>
      </c>
      <c r="L697" s="8">
        <v>43084</v>
      </c>
      <c r="M697" s="3" t="s">
        <v>45</v>
      </c>
      <c r="N697" s="3" t="s">
        <v>49</v>
      </c>
      <c r="O697" s="3" t="s">
        <v>52</v>
      </c>
      <c r="P697" s="3" t="s">
        <v>1774</v>
      </c>
      <c r="Q697" s="7">
        <v>0</v>
      </c>
      <c r="R697" s="8">
        <v>44993</v>
      </c>
      <c r="S697" s="8">
        <v>44990</v>
      </c>
      <c r="T697" s="3" t="s">
        <v>54</v>
      </c>
      <c r="U697" s="3" t="s">
        <v>55</v>
      </c>
      <c r="V697" s="9"/>
      <c r="W697" s="10">
        <v>44995</v>
      </c>
      <c r="X697" s="7">
        <v>2</v>
      </c>
      <c r="Y697" s="7">
        <v>3</v>
      </c>
      <c r="Z697" s="7">
        <v>3</v>
      </c>
      <c r="AA697" s="7">
        <f>INT((S697-DATE(YEAR(S697-WEEKDAY(S697-0)+4),1,4)+WEEKDAY(DATE(YEAR(S697-WEEKDAY(S697-0)+4),1,4))+6)/7)</f>
        <v>10</v>
      </c>
      <c r="AB697" s="3" t="s">
        <v>1775</v>
      </c>
      <c r="AC697" s="7">
        <v>108</v>
      </c>
      <c r="AD697" s="7">
        <v>0</v>
      </c>
      <c r="AE697" s="7">
        <v>0</v>
      </c>
      <c r="AF697" s="3" t="s">
        <v>48</v>
      </c>
      <c r="AG697" s="7">
        <v>2023</v>
      </c>
      <c r="AH697" s="3" t="s">
        <v>57</v>
      </c>
      <c r="AI697" s="3" t="s">
        <v>48</v>
      </c>
      <c r="AJ697" s="3" t="s">
        <v>48</v>
      </c>
      <c r="AK697" s="3" t="s">
        <v>227</v>
      </c>
      <c r="AL697" s="3" t="s">
        <v>59</v>
      </c>
      <c r="AM697" s="3" t="s">
        <v>60</v>
      </c>
      <c r="AN697" s="3" t="s">
        <v>61</v>
      </c>
      <c r="AO697" s="3" t="s">
        <v>62</v>
      </c>
      <c r="AP697" s="3" t="s">
        <v>69</v>
      </c>
      <c r="AQ697" s="3" t="s">
        <v>61</v>
      </c>
      <c r="AR697" s="3" t="s">
        <v>48</v>
      </c>
    </row>
    <row r="698" spans="1:44" ht="30" customHeight="1">
      <c r="A698" s="3" t="s">
        <v>44</v>
      </c>
      <c r="B698" s="3" t="s">
        <v>45</v>
      </c>
      <c r="C698" s="3" t="s">
        <v>46</v>
      </c>
      <c r="D698" s="3" t="s">
        <v>47</v>
      </c>
      <c r="E698" s="3" t="s">
        <v>48</v>
      </c>
      <c r="F698" s="3" t="s">
        <v>49</v>
      </c>
      <c r="G698" s="3" t="s">
        <v>1890</v>
      </c>
      <c r="H698" s="4">
        <f>IF(DATEDIF(L698,S698,"m")&gt;12,DATEDIF(L698,S698,"y"),(DATEDIF(L698,S698,"m")/12))</f>
        <v>5</v>
      </c>
      <c r="I698" s="7">
        <f>DATEDIF(L698,S698,"M")</f>
        <v>61</v>
      </c>
      <c r="J698" s="7">
        <f>DATEDIF(L698,S698,"D")</f>
        <v>1858</v>
      </c>
      <c r="K698" s="3" t="s">
        <v>64</v>
      </c>
      <c r="L698" s="8">
        <v>43133</v>
      </c>
      <c r="M698" s="3" t="s">
        <v>45</v>
      </c>
      <c r="N698" s="3" t="s">
        <v>49</v>
      </c>
      <c r="O698" s="3" t="s">
        <v>52</v>
      </c>
      <c r="P698" s="3" t="s">
        <v>808</v>
      </c>
      <c r="Q698" s="7">
        <v>0</v>
      </c>
      <c r="R698" s="8">
        <v>44994</v>
      </c>
      <c r="S698" s="8">
        <v>44991</v>
      </c>
      <c r="T698" s="3" t="s">
        <v>54</v>
      </c>
      <c r="U698" s="3" t="s">
        <v>55</v>
      </c>
      <c r="V698" s="9"/>
      <c r="W698" s="10">
        <v>44995</v>
      </c>
      <c r="X698" s="7">
        <v>1</v>
      </c>
      <c r="Y698" s="7">
        <v>3</v>
      </c>
      <c r="Z698" s="7">
        <v>3</v>
      </c>
      <c r="AA698" s="7">
        <f>INT((S698-DATE(YEAR(S698-WEEKDAY(S698-0)+4),1,4)+WEEKDAY(DATE(YEAR(S698-WEEKDAY(S698-0)+4),1,4))+6)/7)</f>
        <v>10</v>
      </c>
      <c r="AB698" s="3" t="s">
        <v>1891</v>
      </c>
      <c r="AC698" s="7">
        <v>111</v>
      </c>
      <c r="AD698" s="7">
        <v>0</v>
      </c>
      <c r="AE698" s="7">
        <v>0</v>
      </c>
      <c r="AF698" s="3" t="s">
        <v>48</v>
      </c>
      <c r="AG698" s="7">
        <v>2023</v>
      </c>
      <c r="AH698" s="3" t="s">
        <v>57</v>
      </c>
      <c r="AI698" s="3" t="s">
        <v>48</v>
      </c>
      <c r="AJ698" s="3" t="s">
        <v>48</v>
      </c>
      <c r="AK698" s="3" t="s">
        <v>58</v>
      </c>
      <c r="AL698" s="3" t="s">
        <v>59</v>
      </c>
      <c r="AM698" s="3" t="s">
        <v>60</v>
      </c>
      <c r="AN698" s="3" t="s">
        <v>61</v>
      </c>
      <c r="AO698" s="3" t="s">
        <v>62</v>
      </c>
      <c r="AP698" s="3" t="s">
        <v>69</v>
      </c>
      <c r="AQ698" s="3" t="s">
        <v>61</v>
      </c>
      <c r="AR698" s="3" t="s">
        <v>48</v>
      </c>
    </row>
    <row r="699" spans="1:44" ht="30" customHeight="1">
      <c r="A699" s="3" t="s">
        <v>44</v>
      </c>
      <c r="B699" s="3" t="s">
        <v>45</v>
      </c>
      <c r="C699" s="3" t="s">
        <v>80</v>
      </c>
      <c r="D699" s="3" t="s">
        <v>81</v>
      </c>
      <c r="E699" s="3" t="s">
        <v>48</v>
      </c>
      <c r="F699" s="3" t="s">
        <v>81</v>
      </c>
      <c r="G699" s="3" t="s">
        <v>1935</v>
      </c>
      <c r="H699" s="4">
        <f>IF(DATEDIF(L699,S699,"m")&gt;12,DATEDIF(L699,S699,"y"),(DATEDIF(L699,S699,"m")/12))</f>
        <v>74</v>
      </c>
      <c r="I699" s="7">
        <f>DATEDIF(L699,S699,"M")</f>
        <v>890</v>
      </c>
      <c r="J699" s="7">
        <f>DATEDIF(L699,S699,"D")</f>
        <v>27107</v>
      </c>
      <c r="K699" s="3" t="s">
        <v>64</v>
      </c>
      <c r="L699" s="8">
        <v>17875</v>
      </c>
      <c r="M699" s="3" t="s">
        <v>45</v>
      </c>
      <c r="N699" s="3" t="s">
        <v>83</v>
      </c>
      <c r="O699" s="3" t="s">
        <v>52</v>
      </c>
      <c r="P699" s="3" t="s">
        <v>1936</v>
      </c>
      <c r="Q699" s="7">
        <v>1</v>
      </c>
      <c r="R699" s="8">
        <v>44987</v>
      </c>
      <c r="S699" s="8">
        <v>44982</v>
      </c>
      <c r="T699" s="3" t="s">
        <v>54</v>
      </c>
      <c r="U699" s="3" t="s">
        <v>1353</v>
      </c>
      <c r="V699" s="14">
        <v>44989</v>
      </c>
      <c r="W699" s="10">
        <v>44995</v>
      </c>
      <c r="X699" s="7">
        <v>8</v>
      </c>
      <c r="Y699" s="7">
        <v>5</v>
      </c>
      <c r="Z699" s="7">
        <v>2</v>
      </c>
      <c r="AA699" s="7">
        <f>INT((S699-DATE(YEAR(S699-WEEKDAY(S699-0)+4),1,4)+WEEKDAY(DATE(YEAR(S699-WEEKDAY(S699-0)+4),1,4))+6)/7)</f>
        <v>8</v>
      </c>
      <c r="AB699" s="3" t="s">
        <v>1937</v>
      </c>
      <c r="AC699" s="7">
        <v>14054</v>
      </c>
      <c r="AD699" s="7">
        <v>0</v>
      </c>
      <c r="AE699" s="7">
        <v>0</v>
      </c>
      <c r="AF699" s="3" t="s">
        <v>48</v>
      </c>
      <c r="AG699" s="7">
        <v>2023</v>
      </c>
      <c r="AH699" s="3" t="s">
        <v>86</v>
      </c>
      <c r="AI699" s="3" t="s">
        <v>48</v>
      </c>
      <c r="AJ699" s="3" t="s">
        <v>48</v>
      </c>
      <c r="AK699" s="18" t="s">
        <v>1849</v>
      </c>
      <c r="AL699" s="3" t="s">
        <v>59</v>
      </c>
      <c r="AM699" s="3" t="s">
        <v>60</v>
      </c>
      <c r="AN699" s="3" t="s">
        <v>61</v>
      </c>
      <c r="AO699" s="3" t="s">
        <v>62</v>
      </c>
      <c r="AP699" s="3" t="s">
        <v>69</v>
      </c>
      <c r="AQ699" s="3" t="s">
        <v>61</v>
      </c>
      <c r="AR699" s="3" t="s">
        <v>48</v>
      </c>
    </row>
    <row r="700" spans="1:44" ht="30" customHeight="1">
      <c r="A700" s="3" t="s">
        <v>44</v>
      </c>
      <c r="B700" s="3" t="s">
        <v>45</v>
      </c>
      <c r="C700" s="3" t="s">
        <v>46</v>
      </c>
      <c r="D700" s="3" t="s">
        <v>47</v>
      </c>
      <c r="E700" s="3" t="s">
        <v>48</v>
      </c>
      <c r="F700" s="3" t="s">
        <v>49</v>
      </c>
      <c r="G700" s="3" t="s">
        <v>2085</v>
      </c>
      <c r="H700" s="4">
        <f>IF(DATEDIF(L700,S700,"m")&gt;12,DATEDIF(L700,S700,"y"),(DATEDIF(L700,S700,"m")/12))</f>
        <v>5</v>
      </c>
      <c r="I700" s="7">
        <f>DATEDIF(L700,S700,"M")</f>
        <v>64</v>
      </c>
      <c r="J700" s="7">
        <f>DATEDIF(L700,S700,"D")</f>
        <v>1950</v>
      </c>
      <c r="K700" s="3" t="s">
        <v>51</v>
      </c>
      <c r="L700" s="8">
        <v>43041</v>
      </c>
      <c r="M700" s="3" t="s">
        <v>45</v>
      </c>
      <c r="N700" s="3" t="s">
        <v>49</v>
      </c>
      <c r="O700" s="3" t="s">
        <v>52</v>
      </c>
      <c r="P700" s="3" t="s">
        <v>2086</v>
      </c>
      <c r="Q700" s="7">
        <v>0</v>
      </c>
      <c r="R700" s="8">
        <v>44992</v>
      </c>
      <c r="S700" s="8">
        <v>44991</v>
      </c>
      <c r="T700" s="3" t="s">
        <v>54</v>
      </c>
      <c r="U700" s="3" t="s">
        <v>55</v>
      </c>
      <c r="V700" s="9"/>
      <c r="W700" s="10">
        <v>44995</v>
      </c>
      <c r="X700" s="7">
        <v>3</v>
      </c>
      <c r="Y700" s="7">
        <v>1</v>
      </c>
      <c r="Z700" s="7">
        <v>3</v>
      </c>
      <c r="AA700" s="7">
        <f>INT((S700-DATE(YEAR(S700-WEEKDAY(S700-0)+4),1,4)+WEEKDAY(DATE(YEAR(S700-WEEKDAY(S700-0)+4),1,4))+6)/7)</f>
        <v>10</v>
      </c>
      <c r="AB700" s="3" t="s">
        <v>2087</v>
      </c>
      <c r="AC700" s="7">
        <v>103</v>
      </c>
      <c r="AD700" s="7">
        <v>0</v>
      </c>
      <c r="AE700" s="7">
        <v>0</v>
      </c>
      <c r="AF700" s="3" t="s">
        <v>48</v>
      </c>
      <c r="AG700" s="7">
        <v>2023</v>
      </c>
      <c r="AH700" s="3" t="s">
        <v>57</v>
      </c>
      <c r="AI700" s="3" t="s">
        <v>48</v>
      </c>
      <c r="AJ700" s="3" t="s">
        <v>48</v>
      </c>
      <c r="AK700" s="3" t="s">
        <v>1217</v>
      </c>
      <c r="AL700" s="3" t="s">
        <v>59</v>
      </c>
      <c r="AM700" s="3" t="s">
        <v>60</v>
      </c>
      <c r="AN700" s="3" t="s">
        <v>61</v>
      </c>
      <c r="AO700" s="3" t="s">
        <v>62</v>
      </c>
      <c r="AP700" s="3" t="s">
        <v>69</v>
      </c>
      <c r="AQ700" s="3" t="s">
        <v>61</v>
      </c>
      <c r="AR700" s="3" t="s">
        <v>48</v>
      </c>
    </row>
    <row r="701" spans="1:44" ht="30" customHeight="1">
      <c r="A701" s="3" t="s">
        <v>44</v>
      </c>
      <c r="B701" s="3" t="s">
        <v>45</v>
      </c>
      <c r="C701" s="3" t="s">
        <v>46</v>
      </c>
      <c r="D701" s="3" t="s">
        <v>108</v>
      </c>
      <c r="E701" s="3" t="s">
        <v>48</v>
      </c>
      <c r="F701" s="3" t="s">
        <v>108</v>
      </c>
      <c r="G701" s="3" t="s">
        <v>261</v>
      </c>
      <c r="H701" s="5">
        <f>IF(DATEDIF(L701,S701,"m")&gt;12,DATEDIF(L701,S701,"y"),(DATEDIF(L701,S701,"m")/12))</f>
        <v>0.75</v>
      </c>
      <c r="I701" s="7">
        <f>DATEDIF(L701,S701,"M")</f>
        <v>9</v>
      </c>
      <c r="J701" s="7">
        <f>DATEDIF(L701,S701,"D")</f>
        <v>291</v>
      </c>
      <c r="K701" s="3" t="s">
        <v>51</v>
      </c>
      <c r="L701" s="8">
        <v>44654</v>
      </c>
      <c r="M701" s="3" t="s">
        <v>45</v>
      </c>
      <c r="N701" s="3" t="s">
        <v>73</v>
      </c>
      <c r="O701" s="3" t="s">
        <v>52</v>
      </c>
      <c r="P701" s="3" t="s">
        <v>84</v>
      </c>
      <c r="Q701" s="7">
        <v>0</v>
      </c>
      <c r="R701" s="8">
        <v>44950</v>
      </c>
      <c r="S701" s="8">
        <v>44945</v>
      </c>
      <c r="T701" s="3" t="s">
        <v>54</v>
      </c>
      <c r="U701" s="3" t="s">
        <v>55</v>
      </c>
      <c r="V701" s="9"/>
      <c r="W701" s="10">
        <v>44957</v>
      </c>
      <c r="X701" s="7">
        <v>7</v>
      </c>
      <c r="Y701" s="7">
        <v>5</v>
      </c>
      <c r="Z701" s="7">
        <v>1</v>
      </c>
      <c r="AA701" s="7">
        <f>INT((S701-DATE(YEAR(S701-WEEKDAY(S701-0)+4),1,4)+WEEKDAY(DATE(YEAR(S701-WEEKDAY(S701-0)+4),1,4))+6)/7)</f>
        <v>3</v>
      </c>
      <c r="AB701" s="3" t="s">
        <v>262</v>
      </c>
      <c r="AC701" s="7">
        <v>166</v>
      </c>
      <c r="AD701" s="7">
        <v>0</v>
      </c>
      <c r="AE701" s="7">
        <v>0</v>
      </c>
      <c r="AF701" s="3" t="s">
        <v>48</v>
      </c>
      <c r="AG701" s="7">
        <v>2023</v>
      </c>
      <c r="AH701" s="3" t="s">
        <v>112</v>
      </c>
      <c r="AI701" s="3" t="s">
        <v>113</v>
      </c>
      <c r="AJ701" s="3" t="s">
        <v>48</v>
      </c>
      <c r="AK701" s="3" t="s">
        <v>199</v>
      </c>
      <c r="AL701" s="3" t="s">
        <v>59</v>
      </c>
      <c r="AM701" s="3" t="s">
        <v>115</v>
      </c>
      <c r="AN701" s="3" t="s">
        <v>61</v>
      </c>
      <c r="AO701" s="3" t="s">
        <v>62</v>
      </c>
      <c r="AP701" s="3" t="s">
        <v>69</v>
      </c>
      <c r="AQ701" s="3" t="s">
        <v>61</v>
      </c>
      <c r="AR701" s="3" t="s">
        <v>48</v>
      </c>
    </row>
    <row r="702" spans="1:44" ht="30" customHeight="1">
      <c r="A702" s="3" t="s">
        <v>44</v>
      </c>
      <c r="B702" s="3" t="s">
        <v>45</v>
      </c>
      <c r="C702" s="3" t="s">
        <v>46</v>
      </c>
      <c r="D702" s="3" t="s">
        <v>200</v>
      </c>
      <c r="E702" s="3" t="s">
        <v>48</v>
      </c>
      <c r="F702" s="3" t="s">
        <v>201</v>
      </c>
      <c r="G702" s="3" t="s">
        <v>202</v>
      </c>
      <c r="H702" s="4">
        <f>IF(DATEDIF(L702,S702,"m")&gt;12,DATEDIF(L702,S702,"y"),(DATEDIF(L702,S702,"m")/12))</f>
        <v>3</v>
      </c>
      <c r="I702" s="7">
        <f>DATEDIF(L702,S702,"M")</f>
        <v>40</v>
      </c>
      <c r="J702" s="7">
        <f>DATEDIF(L702,S702,"D")</f>
        <v>1237</v>
      </c>
      <c r="K702" s="3" t="s">
        <v>51</v>
      </c>
      <c r="L702" s="8">
        <v>43753</v>
      </c>
      <c r="M702" s="3" t="s">
        <v>45</v>
      </c>
      <c r="N702" s="3" t="s">
        <v>203</v>
      </c>
      <c r="O702" s="3" t="s">
        <v>52</v>
      </c>
      <c r="P702" s="3" t="s">
        <v>204</v>
      </c>
      <c r="Q702" s="7">
        <v>1</v>
      </c>
      <c r="R702" s="8">
        <v>44992</v>
      </c>
      <c r="S702" s="8">
        <v>44990</v>
      </c>
      <c r="T702" s="3" t="s">
        <v>54</v>
      </c>
      <c r="U702" s="3" t="s">
        <v>55</v>
      </c>
      <c r="V702" s="9"/>
      <c r="W702" s="10">
        <v>44998</v>
      </c>
      <c r="X702" s="7">
        <v>6</v>
      </c>
      <c r="Y702" s="7">
        <v>2</v>
      </c>
      <c r="Z702" s="7">
        <v>3</v>
      </c>
      <c r="AA702" s="7">
        <f>INT((S702-DATE(YEAR(S702-WEEKDAY(S702-0)+4),1,4)+WEEKDAY(DATE(YEAR(S702-WEEKDAY(S702-0)+4),1,4))+6)/7)</f>
        <v>10</v>
      </c>
      <c r="AB702" s="3" t="s">
        <v>205</v>
      </c>
      <c r="AC702" s="7">
        <v>18</v>
      </c>
      <c r="AD702" s="7">
        <v>0</v>
      </c>
      <c r="AE702" s="7">
        <v>0</v>
      </c>
      <c r="AF702" s="3" t="s">
        <v>48</v>
      </c>
      <c r="AG702" s="7">
        <v>2023</v>
      </c>
      <c r="AH702" s="12" t="s">
        <v>206</v>
      </c>
      <c r="AI702" s="3" t="s">
        <v>207</v>
      </c>
      <c r="AJ702" s="3" t="s">
        <v>208</v>
      </c>
      <c r="AK702" s="3" t="s">
        <v>209</v>
      </c>
      <c r="AL702" s="3" t="s">
        <v>59</v>
      </c>
      <c r="AM702" s="3" t="s">
        <v>99</v>
      </c>
      <c r="AN702" s="3" t="s">
        <v>61</v>
      </c>
      <c r="AO702" s="3" t="s">
        <v>62</v>
      </c>
      <c r="AP702" s="3" t="s">
        <v>69</v>
      </c>
      <c r="AQ702" s="3" t="s">
        <v>61</v>
      </c>
      <c r="AR702" s="3" t="s">
        <v>48</v>
      </c>
    </row>
    <row r="703" spans="1:44" ht="30" customHeight="1">
      <c r="A703" s="3" t="s">
        <v>44</v>
      </c>
      <c r="B703" s="3" t="s">
        <v>45</v>
      </c>
      <c r="C703" s="3" t="s">
        <v>80</v>
      </c>
      <c r="D703" s="3" t="s">
        <v>81</v>
      </c>
      <c r="E703" s="3" t="s">
        <v>48</v>
      </c>
      <c r="F703" s="3" t="s">
        <v>81</v>
      </c>
      <c r="G703" s="3" t="s">
        <v>254</v>
      </c>
      <c r="H703" s="4">
        <f>IF(DATEDIF(L703,S703,"m")&gt;12,DATEDIF(L703,S703,"y"),(DATEDIF(L703,S703,"m")/12))</f>
        <v>30</v>
      </c>
      <c r="I703" s="7">
        <f>DATEDIF(L703,S703,"M")</f>
        <v>368</v>
      </c>
      <c r="J703" s="7">
        <f>DATEDIF(L703,S703,"D")</f>
        <v>11217</v>
      </c>
      <c r="K703" s="3" t="s">
        <v>51</v>
      </c>
      <c r="L703" s="8">
        <v>33771</v>
      </c>
      <c r="M703" s="3" t="s">
        <v>45</v>
      </c>
      <c r="N703" s="3" t="s">
        <v>90</v>
      </c>
      <c r="O703" s="3" t="s">
        <v>52</v>
      </c>
      <c r="P703" s="3" t="s">
        <v>255</v>
      </c>
      <c r="Q703" s="7">
        <v>1</v>
      </c>
      <c r="R703" s="8">
        <v>44988</v>
      </c>
      <c r="S703" s="8">
        <v>44988</v>
      </c>
      <c r="T703" s="3" t="s">
        <v>54</v>
      </c>
      <c r="U703" s="3" t="s">
        <v>55</v>
      </c>
      <c r="V703" s="9"/>
      <c r="W703" s="10">
        <v>44998</v>
      </c>
      <c r="X703" s="7">
        <v>10</v>
      </c>
      <c r="Y703" s="7">
        <v>0</v>
      </c>
      <c r="Z703" s="7">
        <v>3</v>
      </c>
      <c r="AA703" s="7">
        <f>INT((S703-DATE(YEAR(S703-WEEKDAY(S703-0)+4),1,4)+WEEKDAY(DATE(YEAR(S703-WEEKDAY(S703-0)+4),1,4))+6)/7)</f>
        <v>9</v>
      </c>
      <c r="AB703" s="3" t="s">
        <v>256</v>
      </c>
      <c r="AC703" s="7">
        <v>14070</v>
      </c>
      <c r="AD703" s="7">
        <v>0</v>
      </c>
      <c r="AE703" s="7">
        <v>0</v>
      </c>
      <c r="AF703" s="3" t="s">
        <v>48</v>
      </c>
      <c r="AG703" s="7">
        <v>2023</v>
      </c>
      <c r="AH703" s="3" t="s">
        <v>86</v>
      </c>
      <c r="AI703" s="3" t="s">
        <v>48</v>
      </c>
      <c r="AJ703" s="3" t="s">
        <v>48</v>
      </c>
      <c r="AK703" s="3" t="s">
        <v>257</v>
      </c>
      <c r="AL703" s="3" t="s">
        <v>59</v>
      </c>
      <c r="AM703" s="3" t="s">
        <v>60</v>
      </c>
      <c r="AN703" s="3" t="s">
        <v>69</v>
      </c>
      <c r="AO703" s="3" t="s">
        <v>62</v>
      </c>
      <c r="AP703" s="3" t="s">
        <v>69</v>
      </c>
      <c r="AQ703" s="3" t="s">
        <v>61</v>
      </c>
      <c r="AR703" s="3" t="s">
        <v>48</v>
      </c>
    </row>
    <row r="704" spans="1:44" ht="30" customHeight="1">
      <c r="A704" s="3" t="s">
        <v>44</v>
      </c>
      <c r="B704" s="3" t="s">
        <v>45</v>
      </c>
      <c r="C704" s="3" t="s">
        <v>46</v>
      </c>
      <c r="D704" s="3" t="s">
        <v>108</v>
      </c>
      <c r="E704" s="3" t="s">
        <v>48</v>
      </c>
      <c r="F704" s="3" t="s">
        <v>108</v>
      </c>
      <c r="G704" s="3" t="s">
        <v>442</v>
      </c>
      <c r="H704" s="4">
        <f>IF(DATEDIF(L704,S704,"m")&gt;12,DATEDIF(L704,S704,"y"),(DATEDIF(L704,S704,"m")/12))</f>
        <v>21</v>
      </c>
      <c r="I704" s="7">
        <f>DATEDIF(L704,S704,"M")</f>
        <v>258</v>
      </c>
      <c r="J704" s="7">
        <f>DATEDIF(L704,S704,"D")</f>
        <v>7855</v>
      </c>
      <c r="K704" s="3" t="s">
        <v>51</v>
      </c>
      <c r="L704" s="8">
        <v>37095</v>
      </c>
      <c r="M704" s="3" t="s">
        <v>45</v>
      </c>
      <c r="N704" s="3" t="s">
        <v>73</v>
      </c>
      <c r="O704" s="3" t="s">
        <v>52</v>
      </c>
      <c r="P704" s="3" t="s">
        <v>432</v>
      </c>
      <c r="Q704" s="7">
        <v>0</v>
      </c>
      <c r="R704" s="8">
        <v>44953</v>
      </c>
      <c r="S704" s="8">
        <v>44950</v>
      </c>
      <c r="T704" s="3" t="s">
        <v>54</v>
      </c>
      <c r="U704" s="3" t="s">
        <v>55</v>
      </c>
      <c r="V704" s="9"/>
      <c r="W704" s="10">
        <v>44957</v>
      </c>
      <c r="X704" s="7">
        <v>4</v>
      </c>
      <c r="Y704" s="7">
        <v>3</v>
      </c>
      <c r="Z704" s="7">
        <v>1</v>
      </c>
      <c r="AA704" s="7">
        <f>INT((S704-DATE(YEAR(S704-WEEKDAY(S704-0)+4),1,4)+WEEKDAY(DATE(YEAR(S704-WEEKDAY(S704-0)+4),1,4))+6)/7)</f>
        <v>4</v>
      </c>
      <c r="AB704" s="3" t="s">
        <v>443</v>
      </c>
      <c r="AC704" s="7">
        <v>176</v>
      </c>
      <c r="AD704" s="7">
        <v>0</v>
      </c>
      <c r="AE704" s="7">
        <v>0</v>
      </c>
      <c r="AF704" s="3" t="s">
        <v>48</v>
      </c>
      <c r="AG704" s="7">
        <v>2023</v>
      </c>
      <c r="AH704" s="3" t="s">
        <v>112</v>
      </c>
      <c r="AI704" s="3" t="s">
        <v>113</v>
      </c>
      <c r="AJ704" s="3" t="s">
        <v>48</v>
      </c>
      <c r="AK704" s="3" t="s">
        <v>199</v>
      </c>
      <c r="AL704" s="3" t="s">
        <v>59</v>
      </c>
      <c r="AM704" s="3" t="s">
        <v>115</v>
      </c>
      <c r="AN704" s="3" t="s">
        <v>61</v>
      </c>
      <c r="AO704" s="3" t="s">
        <v>62</v>
      </c>
      <c r="AP704" s="3" t="s">
        <v>69</v>
      </c>
      <c r="AQ704" s="3" t="s">
        <v>61</v>
      </c>
      <c r="AR704" s="3" t="s">
        <v>48</v>
      </c>
    </row>
    <row r="705" spans="1:44" ht="30" customHeight="1">
      <c r="A705" s="3" t="s">
        <v>44</v>
      </c>
      <c r="B705" s="3" t="s">
        <v>45</v>
      </c>
      <c r="C705" s="3" t="s">
        <v>46</v>
      </c>
      <c r="D705" s="3" t="s">
        <v>108</v>
      </c>
      <c r="E705" s="3" t="s">
        <v>48</v>
      </c>
      <c r="F705" s="3" t="s">
        <v>108</v>
      </c>
      <c r="G705" s="3" t="s">
        <v>926</v>
      </c>
      <c r="H705" s="4">
        <f>IF(DATEDIF(L705,S705,"m")&gt;12,DATEDIF(L705,S705,"y"),(DATEDIF(L705,S705,"m")/12))</f>
        <v>2</v>
      </c>
      <c r="I705" s="7">
        <f>DATEDIF(L705,S705,"M")</f>
        <v>35</v>
      </c>
      <c r="J705" s="7">
        <f>DATEDIF(L705,S705,"D")</f>
        <v>1070</v>
      </c>
      <c r="K705" s="3" t="s">
        <v>64</v>
      </c>
      <c r="L705" s="8">
        <v>43875</v>
      </c>
      <c r="M705" s="3" t="s">
        <v>45</v>
      </c>
      <c r="N705" s="3" t="s">
        <v>73</v>
      </c>
      <c r="O705" s="3" t="s">
        <v>52</v>
      </c>
      <c r="P705" s="3" t="s">
        <v>927</v>
      </c>
      <c r="Q705" s="7">
        <v>0</v>
      </c>
      <c r="R705" s="8">
        <v>44952</v>
      </c>
      <c r="S705" s="8">
        <v>44945</v>
      </c>
      <c r="T705" s="3" t="s">
        <v>54</v>
      </c>
      <c r="U705" s="3" t="s">
        <v>55</v>
      </c>
      <c r="V705" s="9"/>
      <c r="W705" s="10">
        <v>44957</v>
      </c>
      <c r="X705" s="7">
        <v>5</v>
      </c>
      <c r="Y705" s="7">
        <v>7</v>
      </c>
      <c r="Z705" s="7">
        <v>1</v>
      </c>
      <c r="AA705" s="7">
        <f>INT((S705-DATE(YEAR(S705-WEEKDAY(S705-0)+4),1,4)+WEEKDAY(DATE(YEAR(S705-WEEKDAY(S705-0)+4),1,4))+6)/7)</f>
        <v>3</v>
      </c>
      <c r="AB705" s="3" t="s">
        <v>928</v>
      </c>
      <c r="AC705" s="7">
        <v>173</v>
      </c>
      <c r="AD705" s="7">
        <v>0</v>
      </c>
      <c r="AE705" s="7">
        <v>0</v>
      </c>
      <c r="AF705" s="3" t="s">
        <v>48</v>
      </c>
      <c r="AG705" s="7">
        <v>2023</v>
      </c>
      <c r="AH705" s="3" t="s">
        <v>112</v>
      </c>
      <c r="AI705" s="3" t="s">
        <v>113</v>
      </c>
      <c r="AJ705" s="3" t="s">
        <v>48</v>
      </c>
      <c r="AK705" s="26" t="s">
        <v>199</v>
      </c>
      <c r="AL705" s="3" t="s">
        <v>59</v>
      </c>
      <c r="AM705" s="3" t="s">
        <v>115</v>
      </c>
      <c r="AN705" s="3" t="s">
        <v>61</v>
      </c>
      <c r="AO705" s="3" t="s">
        <v>62</v>
      </c>
      <c r="AP705" s="3" t="s">
        <v>69</v>
      </c>
      <c r="AQ705" s="3" t="s">
        <v>61</v>
      </c>
      <c r="AR705" s="3" t="s">
        <v>48</v>
      </c>
    </row>
    <row r="706" spans="1:44" ht="30" customHeight="1">
      <c r="A706" s="3" t="s">
        <v>44</v>
      </c>
      <c r="B706" s="3" t="s">
        <v>45</v>
      </c>
      <c r="C706" s="3" t="s">
        <v>46</v>
      </c>
      <c r="D706" s="3" t="s">
        <v>186</v>
      </c>
      <c r="E706" s="3" t="s">
        <v>48</v>
      </c>
      <c r="F706" s="3" t="s">
        <v>271</v>
      </c>
      <c r="G706" s="3" t="s">
        <v>386</v>
      </c>
      <c r="H706" s="5">
        <f>IF(DATEDIF(L706,S706,"m")&gt;12,DATEDIF(L706,S706,"y"),(DATEDIF(L706,S706,"m")/12))</f>
        <v>0.66666666666666663</v>
      </c>
      <c r="I706" s="7">
        <f>DATEDIF(L706,S706,"M")</f>
        <v>8</v>
      </c>
      <c r="J706" s="7">
        <f>DATEDIF(L706,S706,"D")</f>
        <v>249</v>
      </c>
      <c r="K706" s="3" t="s">
        <v>64</v>
      </c>
      <c r="L706" s="8">
        <v>44741</v>
      </c>
      <c r="M706" s="3" t="s">
        <v>45</v>
      </c>
      <c r="N706" s="3" t="s">
        <v>187</v>
      </c>
      <c r="O706" s="3" t="s">
        <v>52</v>
      </c>
      <c r="P706" s="3" t="s">
        <v>160</v>
      </c>
      <c r="Q706" s="7">
        <v>0</v>
      </c>
      <c r="R706" s="8">
        <v>44991</v>
      </c>
      <c r="S706" s="8">
        <v>44990</v>
      </c>
      <c r="T706" s="3" t="s">
        <v>54</v>
      </c>
      <c r="U706" s="3" t="s">
        <v>55</v>
      </c>
      <c r="V706" s="9"/>
      <c r="W706" s="10">
        <v>44998</v>
      </c>
      <c r="X706" s="7">
        <v>7</v>
      </c>
      <c r="Y706" s="7">
        <v>1</v>
      </c>
      <c r="Z706" s="7">
        <v>3</v>
      </c>
      <c r="AA706" s="7">
        <f>INT((S706-DATE(YEAR(S706-WEEKDAY(S706-0)+4),1,4)+WEEKDAY(DATE(YEAR(S706-WEEKDAY(S706-0)+4),1,4))+6)/7)</f>
        <v>10</v>
      </c>
      <c r="AB706" s="3" t="s">
        <v>387</v>
      </c>
      <c r="AC706" s="7">
        <v>131</v>
      </c>
      <c r="AD706" s="7">
        <v>0</v>
      </c>
      <c r="AE706" s="7">
        <v>0</v>
      </c>
      <c r="AF706" s="3" t="s">
        <v>48</v>
      </c>
      <c r="AG706" s="7">
        <v>2023</v>
      </c>
      <c r="AH706" s="3" t="s">
        <v>276</v>
      </c>
      <c r="AI706" s="3" t="s">
        <v>191</v>
      </c>
      <c r="AJ706" s="3" t="s">
        <v>186</v>
      </c>
      <c r="AK706" s="3" t="s">
        <v>260</v>
      </c>
      <c r="AL706" s="3" t="s">
        <v>59</v>
      </c>
      <c r="AM706" s="3" t="s">
        <v>60</v>
      </c>
      <c r="AN706" s="3" t="s">
        <v>61</v>
      </c>
      <c r="AO706" s="3" t="s">
        <v>62</v>
      </c>
      <c r="AP706" s="3" t="s">
        <v>69</v>
      </c>
      <c r="AQ706" s="3" t="s">
        <v>61</v>
      </c>
      <c r="AR706" s="3" t="s">
        <v>48</v>
      </c>
    </row>
    <row r="707" spans="1:44" ht="30" customHeight="1">
      <c r="A707" s="3" t="s">
        <v>44</v>
      </c>
      <c r="B707" s="3" t="s">
        <v>45</v>
      </c>
      <c r="C707" s="3" t="s">
        <v>46</v>
      </c>
      <c r="D707" s="3" t="s">
        <v>47</v>
      </c>
      <c r="E707" s="3" t="s">
        <v>48</v>
      </c>
      <c r="F707" s="3" t="s">
        <v>49</v>
      </c>
      <c r="G707" s="3" t="s">
        <v>548</v>
      </c>
      <c r="H707" s="5">
        <f>IF(DATEDIF(L707,S707,"m")&gt;12,DATEDIF(L707,S707,"y"),(DATEDIF(L707,S707,"m")/12))</f>
        <v>0.58333333333333337</v>
      </c>
      <c r="I707" s="7">
        <f>DATEDIF(L707,S707,"M")</f>
        <v>7</v>
      </c>
      <c r="J707" s="7">
        <f>DATEDIF(L707,S707,"D")</f>
        <v>216</v>
      </c>
      <c r="K707" s="3" t="s">
        <v>64</v>
      </c>
      <c r="L707" s="8">
        <v>44728</v>
      </c>
      <c r="M707" s="3" t="s">
        <v>45</v>
      </c>
      <c r="N707" s="3" t="s">
        <v>73</v>
      </c>
      <c r="O707" s="3" t="s">
        <v>52</v>
      </c>
      <c r="P707" s="3" t="s">
        <v>499</v>
      </c>
      <c r="Q707" s="7">
        <v>0</v>
      </c>
      <c r="R707" s="8">
        <v>44960</v>
      </c>
      <c r="S707" s="8">
        <v>44944</v>
      </c>
      <c r="T707" s="3" t="s">
        <v>54</v>
      </c>
      <c r="U707" s="3" t="s">
        <v>55</v>
      </c>
      <c r="V707" s="9"/>
      <c r="W707" s="10">
        <v>44963</v>
      </c>
      <c r="X707" s="7">
        <v>3</v>
      </c>
      <c r="Y707" s="7">
        <v>16</v>
      </c>
      <c r="Z707" s="7">
        <v>1</v>
      </c>
      <c r="AA707" s="7">
        <f>INT((S707-DATE(YEAR(S707-WEEKDAY(S707-0)+4),1,4)+WEEKDAY(DATE(YEAR(S707-WEEKDAY(S707-0)+4),1,4))+6)/7)</f>
        <v>3</v>
      </c>
      <c r="AB707" s="3" t="s">
        <v>549</v>
      </c>
      <c r="AC707" s="7">
        <v>34</v>
      </c>
      <c r="AD707" s="7">
        <v>0</v>
      </c>
      <c r="AE707" s="7">
        <v>0</v>
      </c>
      <c r="AF707" s="3" t="s">
        <v>48</v>
      </c>
      <c r="AG707" s="7">
        <v>2023</v>
      </c>
      <c r="AH707" s="3" t="s">
        <v>57</v>
      </c>
      <c r="AI707" s="3" t="s">
        <v>48</v>
      </c>
      <c r="AJ707" s="3" t="s">
        <v>48</v>
      </c>
      <c r="AK707" s="3" t="s">
        <v>199</v>
      </c>
      <c r="AL707" s="3" t="s">
        <v>59</v>
      </c>
      <c r="AM707" s="3" t="s">
        <v>60</v>
      </c>
      <c r="AN707" s="3" t="s">
        <v>61</v>
      </c>
      <c r="AO707" s="3" t="s">
        <v>62</v>
      </c>
      <c r="AP707" s="3" t="s">
        <v>69</v>
      </c>
      <c r="AQ707" s="3" t="s">
        <v>61</v>
      </c>
      <c r="AR707" s="3" t="s">
        <v>48</v>
      </c>
    </row>
    <row r="708" spans="1:44" ht="30" customHeight="1">
      <c r="A708" s="3" t="s">
        <v>44</v>
      </c>
      <c r="B708" s="3" t="s">
        <v>45</v>
      </c>
      <c r="C708" s="3" t="s">
        <v>46</v>
      </c>
      <c r="D708" s="3" t="s">
        <v>108</v>
      </c>
      <c r="E708" s="3" t="s">
        <v>48</v>
      </c>
      <c r="F708" s="3" t="s">
        <v>108</v>
      </c>
      <c r="G708" s="3" t="s">
        <v>692</v>
      </c>
      <c r="H708" s="4">
        <f>IF(DATEDIF(L708,S708,"m")&gt;12,DATEDIF(L708,S708,"y"),(DATEDIF(L708,S708,"m")/12))</f>
        <v>18</v>
      </c>
      <c r="I708" s="7">
        <f>DATEDIF(L708,S708,"M")</f>
        <v>218</v>
      </c>
      <c r="J708" s="7">
        <f>DATEDIF(L708,S708,"D")</f>
        <v>6640</v>
      </c>
      <c r="K708" s="3" t="s">
        <v>51</v>
      </c>
      <c r="L708" s="8">
        <v>38303</v>
      </c>
      <c r="M708" s="3" t="s">
        <v>45</v>
      </c>
      <c r="N708" s="3" t="s">
        <v>73</v>
      </c>
      <c r="O708" s="3" t="s">
        <v>52</v>
      </c>
      <c r="P708" s="3" t="s">
        <v>325</v>
      </c>
      <c r="Q708" s="7">
        <v>0</v>
      </c>
      <c r="R708" s="8">
        <v>44957</v>
      </c>
      <c r="S708" s="8">
        <v>44943</v>
      </c>
      <c r="T708" s="3" t="s">
        <v>54</v>
      </c>
      <c r="U708" s="3" t="s">
        <v>55</v>
      </c>
      <c r="V708" s="9"/>
      <c r="W708" s="10">
        <v>44963</v>
      </c>
      <c r="X708" s="7">
        <v>6</v>
      </c>
      <c r="Y708" s="7">
        <v>14</v>
      </c>
      <c r="Z708" s="7">
        <v>1</v>
      </c>
      <c r="AA708" s="7">
        <f>INT((S708-DATE(YEAR(S708-WEEKDAY(S708-0)+4),1,4)+WEEKDAY(DATE(YEAR(S708-WEEKDAY(S708-0)+4),1,4))+6)/7)</f>
        <v>3</v>
      </c>
      <c r="AB708" s="3" t="s">
        <v>693</v>
      </c>
      <c r="AC708" s="7">
        <v>186</v>
      </c>
      <c r="AD708" s="7">
        <v>0</v>
      </c>
      <c r="AE708" s="7">
        <v>0</v>
      </c>
      <c r="AF708" s="3" t="s">
        <v>48</v>
      </c>
      <c r="AG708" s="7">
        <v>2023</v>
      </c>
      <c r="AH708" s="3" t="s">
        <v>112</v>
      </c>
      <c r="AI708" s="3" t="s">
        <v>113</v>
      </c>
      <c r="AJ708" s="3" t="s">
        <v>48</v>
      </c>
      <c r="AK708" s="3" t="s">
        <v>199</v>
      </c>
      <c r="AL708" s="3" t="s">
        <v>59</v>
      </c>
      <c r="AM708" s="3" t="s">
        <v>115</v>
      </c>
      <c r="AN708" s="3" t="s">
        <v>61</v>
      </c>
      <c r="AO708" s="3" t="s">
        <v>62</v>
      </c>
      <c r="AP708" s="3" t="s">
        <v>69</v>
      </c>
      <c r="AQ708" s="3" t="s">
        <v>61</v>
      </c>
      <c r="AR708" s="3" t="s">
        <v>48</v>
      </c>
    </row>
    <row r="709" spans="1:44" ht="30" customHeight="1">
      <c r="A709" s="3" t="s">
        <v>44</v>
      </c>
      <c r="B709" s="3" t="s">
        <v>45</v>
      </c>
      <c r="C709" s="3" t="s">
        <v>46</v>
      </c>
      <c r="D709" s="3" t="s">
        <v>108</v>
      </c>
      <c r="E709" s="3" t="s">
        <v>48</v>
      </c>
      <c r="F709" s="3" t="s">
        <v>108</v>
      </c>
      <c r="G709" s="3" t="s">
        <v>888</v>
      </c>
      <c r="H709" s="5">
        <f>IF(DATEDIF(L709,S709,"m")&gt;12,DATEDIF(L709,S709,"y"),(DATEDIF(L709,S709,"m")/12))</f>
        <v>0.91666666666666663</v>
      </c>
      <c r="I709" s="7">
        <f>DATEDIF(L709,S709,"M")</f>
        <v>11</v>
      </c>
      <c r="J709" s="7">
        <f>DATEDIF(L709,S709,"D")</f>
        <v>337</v>
      </c>
      <c r="K709" s="3" t="s">
        <v>64</v>
      </c>
      <c r="L709" s="8">
        <v>44616</v>
      </c>
      <c r="M709" s="3" t="s">
        <v>45</v>
      </c>
      <c r="N709" s="3" t="s">
        <v>73</v>
      </c>
      <c r="O709" s="3" t="s">
        <v>52</v>
      </c>
      <c r="P709" s="3" t="s">
        <v>225</v>
      </c>
      <c r="Q709" s="7">
        <v>0</v>
      </c>
      <c r="R709" s="8">
        <v>44957</v>
      </c>
      <c r="S709" s="8">
        <v>44953</v>
      </c>
      <c r="T709" s="3" t="s">
        <v>54</v>
      </c>
      <c r="U709" s="3" t="s">
        <v>55</v>
      </c>
      <c r="V709" s="9"/>
      <c r="W709" s="10">
        <v>44963</v>
      </c>
      <c r="X709" s="7">
        <v>6</v>
      </c>
      <c r="Y709" s="7">
        <v>4</v>
      </c>
      <c r="Z709" s="7">
        <v>1</v>
      </c>
      <c r="AA709" s="7">
        <f>INT((S709-DATE(YEAR(S709-WEEKDAY(S709-0)+4),1,4)+WEEKDAY(DATE(YEAR(S709-WEEKDAY(S709-0)+4),1,4))+6)/7)</f>
        <v>4</v>
      </c>
      <c r="AB709" s="3" t="s">
        <v>889</v>
      </c>
      <c r="AC709" s="7">
        <v>188</v>
      </c>
      <c r="AD709" s="7">
        <v>0</v>
      </c>
      <c r="AE709" s="7">
        <v>0</v>
      </c>
      <c r="AF709" s="3" t="s">
        <v>48</v>
      </c>
      <c r="AG709" s="7">
        <v>2023</v>
      </c>
      <c r="AH709" s="3" t="s">
        <v>112</v>
      </c>
      <c r="AI709" s="3" t="s">
        <v>113</v>
      </c>
      <c r="AJ709" s="3" t="s">
        <v>48</v>
      </c>
      <c r="AK709" s="3" t="s">
        <v>199</v>
      </c>
      <c r="AL709" s="3" t="s">
        <v>59</v>
      </c>
      <c r="AM709" s="3" t="s">
        <v>115</v>
      </c>
      <c r="AN709" s="3" t="s">
        <v>61</v>
      </c>
      <c r="AO709" s="3" t="s">
        <v>62</v>
      </c>
      <c r="AP709" s="3" t="s">
        <v>69</v>
      </c>
      <c r="AQ709" s="3" t="s">
        <v>61</v>
      </c>
      <c r="AR709" s="3" t="s">
        <v>48</v>
      </c>
    </row>
    <row r="710" spans="1:44" ht="30" customHeight="1">
      <c r="A710" s="3" t="s">
        <v>44</v>
      </c>
      <c r="B710" s="3" t="s">
        <v>45</v>
      </c>
      <c r="C710" s="3" t="s">
        <v>46</v>
      </c>
      <c r="D710" s="3" t="s">
        <v>108</v>
      </c>
      <c r="E710" s="3" t="s">
        <v>48</v>
      </c>
      <c r="F710" s="3" t="s">
        <v>108</v>
      </c>
      <c r="G710" s="3" t="s">
        <v>1446</v>
      </c>
      <c r="H710" s="4">
        <f>IF(DATEDIF(L710,S710,"m")&gt;12,DATEDIF(L710,S710,"y"),(DATEDIF(L710,S710,"m")/12))</f>
        <v>5</v>
      </c>
      <c r="I710" s="7">
        <f>DATEDIF(L710,S710,"M")</f>
        <v>61</v>
      </c>
      <c r="J710" s="7">
        <f>DATEDIF(L710,S710,"D")</f>
        <v>1858</v>
      </c>
      <c r="K710" s="3" t="s">
        <v>51</v>
      </c>
      <c r="L710" s="8">
        <v>43100</v>
      </c>
      <c r="M710" s="3" t="s">
        <v>45</v>
      </c>
      <c r="N710" s="3" t="s">
        <v>73</v>
      </c>
      <c r="O710" s="3" t="s">
        <v>52</v>
      </c>
      <c r="P710" s="3" t="s">
        <v>237</v>
      </c>
      <c r="Q710" s="7">
        <v>0</v>
      </c>
      <c r="R710" s="8">
        <v>44960</v>
      </c>
      <c r="S710" s="8">
        <v>44958</v>
      </c>
      <c r="T710" s="3" t="s">
        <v>54</v>
      </c>
      <c r="U710" s="3" t="s">
        <v>55</v>
      </c>
      <c r="V710" s="9"/>
      <c r="W710" s="10">
        <v>44963</v>
      </c>
      <c r="X710" s="7">
        <v>3</v>
      </c>
      <c r="Y710" s="7">
        <v>2</v>
      </c>
      <c r="Z710" s="7">
        <v>2</v>
      </c>
      <c r="AA710" s="7">
        <f>INT((S710-DATE(YEAR(S710-WEEKDAY(S710-0)+4),1,4)+WEEKDAY(DATE(YEAR(S710-WEEKDAY(S710-0)+4),1,4))+6)/7)</f>
        <v>5</v>
      </c>
      <c r="AB710" s="3" t="s">
        <v>1447</v>
      </c>
      <c r="AC710" s="7">
        <v>201</v>
      </c>
      <c r="AD710" s="7">
        <v>0</v>
      </c>
      <c r="AE710" s="7">
        <v>0</v>
      </c>
      <c r="AF710" s="3" t="s">
        <v>48</v>
      </c>
      <c r="AG710" s="7">
        <v>2023</v>
      </c>
      <c r="AH710" s="3" t="s">
        <v>112</v>
      </c>
      <c r="AI710" s="3" t="s">
        <v>113</v>
      </c>
      <c r="AJ710" s="3" t="s">
        <v>48</v>
      </c>
      <c r="AK710" s="3" t="s">
        <v>199</v>
      </c>
      <c r="AL710" s="3" t="s">
        <v>59</v>
      </c>
      <c r="AM710" s="3" t="s">
        <v>115</v>
      </c>
      <c r="AN710" s="3" t="s">
        <v>61</v>
      </c>
      <c r="AO710" s="3" t="s">
        <v>62</v>
      </c>
      <c r="AP710" s="3" t="s">
        <v>69</v>
      </c>
      <c r="AQ710" s="3" t="s">
        <v>61</v>
      </c>
      <c r="AR710" s="3" t="s">
        <v>48</v>
      </c>
    </row>
    <row r="711" spans="1:44" ht="30" customHeight="1">
      <c r="A711" s="3" t="s">
        <v>44</v>
      </c>
      <c r="B711" s="3" t="s">
        <v>45</v>
      </c>
      <c r="C711" s="3" t="s">
        <v>46</v>
      </c>
      <c r="D711" s="3" t="s">
        <v>47</v>
      </c>
      <c r="E711" s="3" t="s">
        <v>48</v>
      </c>
      <c r="F711" s="3" t="s">
        <v>49</v>
      </c>
      <c r="G711" s="3" t="s">
        <v>2197</v>
      </c>
      <c r="H711" s="4">
        <f>IF(DATEDIF(L711,S711,"m")&gt;12,DATEDIF(L711,S711,"y"),(DATEDIF(L711,S711,"m")/12))</f>
        <v>3</v>
      </c>
      <c r="I711" s="7">
        <f>DATEDIF(L711,S711,"M")</f>
        <v>42</v>
      </c>
      <c r="J711" s="7">
        <f>DATEDIF(L711,S711,"D")</f>
        <v>1291</v>
      </c>
      <c r="K711" s="3" t="s">
        <v>64</v>
      </c>
      <c r="L711" s="8">
        <v>43666</v>
      </c>
      <c r="M711" s="3" t="s">
        <v>45</v>
      </c>
      <c r="N711" s="3" t="s">
        <v>73</v>
      </c>
      <c r="O711" s="3" t="s">
        <v>52</v>
      </c>
      <c r="P711" s="3" t="s">
        <v>648</v>
      </c>
      <c r="Q711" s="7">
        <v>0</v>
      </c>
      <c r="R711" s="8">
        <v>44960</v>
      </c>
      <c r="S711" s="8">
        <v>44957</v>
      </c>
      <c r="T711" s="3" t="s">
        <v>54</v>
      </c>
      <c r="U711" s="3" t="s">
        <v>55</v>
      </c>
      <c r="V711" s="9"/>
      <c r="W711" s="10">
        <v>44963</v>
      </c>
      <c r="X711" s="7">
        <v>3</v>
      </c>
      <c r="Y711" s="7">
        <v>3</v>
      </c>
      <c r="Z711" s="7">
        <v>1</v>
      </c>
      <c r="AA711" s="7">
        <f>INT((S711-DATE(YEAR(S711-WEEKDAY(S711-0)+4),1,4)+WEEKDAY(DATE(YEAR(S711-WEEKDAY(S711-0)+4),1,4))+6)/7)</f>
        <v>5</v>
      </c>
      <c r="AB711" s="3" t="s">
        <v>2198</v>
      </c>
      <c r="AC711" s="7">
        <v>28</v>
      </c>
      <c r="AD711" s="7">
        <v>0</v>
      </c>
      <c r="AE711" s="7">
        <v>0</v>
      </c>
      <c r="AF711" s="3" t="s">
        <v>48</v>
      </c>
      <c r="AG711" s="7">
        <v>2023</v>
      </c>
      <c r="AH711" s="3" t="s">
        <v>57</v>
      </c>
      <c r="AI711" s="3" t="s">
        <v>48</v>
      </c>
      <c r="AJ711" s="3" t="s">
        <v>48</v>
      </c>
      <c r="AK711" s="3" t="s">
        <v>199</v>
      </c>
      <c r="AL711" s="3" t="s">
        <v>59</v>
      </c>
      <c r="AM711" s="3" t="s">
        <v>60</v>
      </c>
      <c r="AN711" s="3" t="s">
        <v>61</v>
      </c>
      <c r="AO711" s="3" t="s">
        <v>62</v>
      </c>
      <c r="AP711" s="3" t="s">
        <v>69</v>
      </c>
      <c r="AQ711" s="3" t="s">
        <v>61</v>
      </c>
      <c r="AR711" s="3" t="s">
        <v>48</v>
      </c>
    </row>
    <row r="712" spans="1:44" ht="30" customHeight="1">
      <c r="A712" s="3" t="s">
        <v>44</v>
      </c>
      <c r="B712" s="3" t="s">
        <v>45</v>
      </c>
      <c r="C712" s="3" t="s">
        <v>46</v>
      </c>
      <c r="D712" s="3" t="s">
        <v>108</v>
      </c>
      <c r="E712" s="3" t="s">
        <v>48</v>
      </c>
      <c r="F712" s="3" t="s">
        <v>108</v>
      </c>
      <c r="G712" s="3" t="s">
        <v>2258</v>
      </c>
      <c r="H712" s="4">
        <f>IF(DATEDIF(L712,S712,"m")&gt;12,DATEDIF(L712,S712,"y"),(DATEDIF(L712,S712,"m")/12))</f>
        <v>11</v>
      </c>
      <c r="I712" s="7">
        <f>DATEDIF(L712,S712,"M")</f>
        <v>138</v>
      </c>
      <c r="J712" s="7">
        <f>DATEDIF(L712,S712,"D")</f>
        <v>4226</v>
      </c>
      <c r="K712" s="3" t="s">
        <v>51</v>
      </c>
      <c r="L712" s="8">
        <v>40730</v>
      </c>
      <c r="M712" s="3" t="s">
        <v>45</v>
      </c>
      <c r="N712" s="3" t="s">
        <v>73</v>
      </c>
      <c r="O712" s="3" t="s">
        <v>52</v>
      </c>
      <c r="P712" s="3" t="s">
        <v>2259</v>
      </c>
      <c r="Q712" s="7">
        <v>0</v>
      </c>
      <c r="R712" s="8">
        <v>44957</v>
      </c>
      <c r="S712" s="8">
        <v>44956</v>
      </c>
      <c r="T712" s="3" t="s">
        <v>54</v>
      </c>
      <c r="U712" s="3" t="s">
        <v>55</v>
      </c>
      <c r="V712" s="9"/>
      <c r="W712" s="10">
        <v>44963</v>
      </c>
      <c r="X712" s="7">
        <v>6</v>
      </c>
      <c r="Y712" s="7">
        <v>1</v>
      </c>
      <c r="Z712" s="7">
        <v>1</v>
      </c>
      <c r="AA712" s="7">
        <f>INT((S712-DATE(YEAR(S712-WEEKDAY(S712-0)+4),1,4)+WEEKDAY(DATE(YEAR(S712-WEEKDAY(S712-0)+4),1,4))+6)/7)</f>
        <v>5</v>
      </c>
      <c r="AB712" s="3" t="s">
        <v>2260</v>
      </c>
      <c r="AC712" s="7">
        <v>185</v>
      </c>
      <c r="AD712" s="7">
        <v>0</v>
      </c>
      <c r="AE712" s="7">
        <v>0</v>
      </c>
      <c r="AF712" s="3" t="s">
        <v>48</v>
      </c>
      <c r="AG712" s="7">
        <v>2023</v>
      </c>
      <c r="AH712" s="3" t="s">
        <v>112</v>
      </c>
      <c r="AI712" s="3" t="s">
        <v>113</v>
      </c>
      <c r="AJ712" s="3" t="s">
        <v>48</v>
      </c>
      <c r="AK712" s="3" t="s">
        <v>199</v>
      </c>
      <c r="AL712" s="3" t="s">
        <v>59</v>
      </c>
      <c r="AM712" s="3" t="s">
        <v>115</v>
      </c>
      <c r="AN712" s="3" t="s">
        <v>61</v>
      </c>
      <c r="AO712" s="3" t="s">
        <v>62</v>
      </c>
      <c r="AP712" s="3" t="s">
        <v>69</v>
      </c>
      <c r="AQ712" s="3" t="s">
        <v>61</v>
      </c>
      <c r="AR712" s="3" t="s">
        <v>48</v>
      </c>
    </row>
    <row r="713" spans="1:44" ht="30" customHeight="1">
      <c r="A713" s="3" t="s">
        <v>44</v>
      </c>
      <c r="B713" s="3" t="s">
        <v>45</v>
      </c>
      <c r="C713" s="3" t="s">
        <v>46</v>
      </c>
      <c r="D713" s="3" t="s">
        <v>70</v>
      </c>
      <c r="E713" s="3" t="s">
        <v>48</v>
      </c>
      <c r="F713" s="3" t="s">
        <v>71</v>
      </c>
      <c r="G713" s="3" t="s">
        <v>842</v>
      </c>
      <c r="H713" s="4">
        <f>IF(DATEDIF(L713,S713,"m")&gt;12,DATEDIF(L713,S713,"y"),(DATEDIF(L713,S713,"m")/12))</f>
        <v>4</v>
      </c>
      <c r="I713" s="7">
        <f>DATEDIF(L713,S713,"M")</f>
        <v>54</v>
      </c>
      <c r="J713" s="7">
        <f>DATEDIF(L713,S713,"D")</f>
        <v>1642</v>
      </c>
      <c r="K713" s="3" t="s">
        <v>51</v>
      </c>
      <c r="L713" s="8">
        <v>43355</v>
      </c>
      <c r="M713" s="3" t="s">
        <v>45</v>
      </c>
      <c r="N713" s="3" t="s">
        <v>90</v>
      </c>
      <c r="O713" s="3" t="s">
        <v>52</v>
      </c>
      <c r="P713" s="3" t="s">
        <v>103</v>
      </c>
      <c r="Q713" s="7">
        <v>1</v>
      </c>
      <c r="R713" s="8">
        <v>44998</v>
      </c>
      <c r="S713" s="8">
        <v>44997</v>
      </c>
      <c r="T713" s="3" t="s">
        <v>54</v>
      </c>
      <c r="U713" s="3" t="s">
        <v>55</v>
      </c>
      <c r="V713" s="9"/>
      <c r="W713" s="10">
        <v>44998</v>
      </c>
      <c r="X713" s="7">
        <v>0</v>
      </c>
      <c r="Y713" s="7">
        <v>1</v>
      </c>
      <c r="Z713" s="7">
        <v>3</v>
      </c>
      <c r="AA713" s="7">
        <f>INT((S713-DATE(YEAR(S713-WEEKDAY(S713-0)+4),1,4)+WEEKDAY(DATE(YEAR(S713-WEEKDAY(S713-0)+4),1,4))+6)/7)</f>
        <v>11</v>
      </c>
      <c r="AB713" s="3" t="s">
        <v>843</v>
      </c>
      <c r="AC713" s="7">
        <v>727</v>
      </c>
      <c r="AD713" s="7">
        <v>0</v>
      </c>
      <c r="AE713" s="7">
        <v>1</v>
      </c>
      <c r="AF713" s="3" t="s">
        <v>48</v>
      </c>
      <c r="AG713" s="7">
        <v>2023</v>
      </c>
      <c r="AH713" s="18" t="s">
        <v>532</v>
      </c>
      <c r="AI713" s="3" t="s">
        <v>166</v>
      </c>
      <c r="AJ713" s="3" t="s">
        <v>78</v>
      </c>
      <c r="AK713" s="3" t="s">
        <v>844</v>
      </c>
      <c r="AL713" s="3" t="s">
        <v>59</v>
      </c>
      <c r="AM713" s="3" t="s">
        <v>60</v>
      </c>
      <c r="AN713" s="3" t="s">
        <v>61</v>
      </c>
      <c r="AO713" s="3" t="s">
        <v>62</v>
      </c>
      <c r="AP713" s="3" t="s">
        <v>69</v>
      </c>
      <c r="AQ713" s="3" t="s">
        <v>61</v>
      </c>
      <c r="AR713" s="3" t="s">
        <v>48</v>
      </c>
    </row>
    <row r="714" spans="1:44" ht="30" customHeight="1">
      <c r="A714" s="3" t="s">
        <v>44</v>
      </c>
      <c r="B714" s="3" t="s">
        <v>45</v>
      </c>
      <c r="C714" s="3" t="s">
        <v>46</v>
      </c>
      <c r="D714" s="3" t="s">
        <v>108</v>
      </c>
      <c r="E714" s="3" t="s">
        <v>48</v>
      </c>
      <c r="F714" s="3" t="s">
        <v>108</v>
      </c>
      <c r="G714" s="3" t="s">
        <v>2348</v>
      </c>
      <c r="H714" s="4">
        <f>IF(DATEDIF(L714,S714,"m")&gt;12,DATEDIF(L714,S714,"y"),(DATEDIF(L714,S714,"m")/12))</f>
        <v>10</v>
      </c>
      <c r="I714" s="7">
        <f>DATEDIF(L714,S714,"M")</f>
        <v>121</v>
      </c>
      <c r="J714" s="7">
        <f>DATEDIF(L714,S714,"D")</f>
        <v>3684</v>
      </c>
      <c r="K714" s="3" t="s">
        <v>64</v>
      </c>
      <c r="L714" s="8">
        <v>41270</v>
      </c>
      <c r="M714" s="3" t="s">
        <v>45</v>
      </c>
      <c r="N714" s="3" t="s">
        <v>73</v>
      </c>
      <c r="O714" s="3" t="s">
        <v>52</v>
      </c>
      <c r="P714" s="3" t="s">
        <v>927</v>
      </c>
      <c r="Q714" s="7">
        <v>0</v>
      </c>
      <c r="R714" s="8">
        <v>44958</v>
      </c>
      <c r="S714" s="8">
        <v>44954</v>
      </c>
      <c r="T714" s="3" t="s">
        <v>54</v>
      </c>
      <c r="U714" s="3" t="s">
        <v>55</v>
      </c>
      <c r="V714" s="9"/>
      <c r="W714" s="10">
        <v>44963</v>
      </c>
      <c r="X714" s="7">
        <v>5</v>
      </c>
      <c r="Y714" s="7">
        <v>4</v>
      </c>
      <c r="Z714" s="7">
        <v>1</v>
      </c>
      <c r="AA714" s="7">
        <f>INT((S714-DATE(YEAR(S714-WEEKDAY(S714-0)+4),1,4)+WEEKDAY(DATE(YEAR(S714-WEEKDAY(S714-0)+4),1,4))+6)/7)</f>
        <v>4</v>
      </c>
      <c r="AB714" s="3" t="s">
        <v>2349</v>
      </c>
      <c r="AC714" s="7">
        <v>195</v>
      </c>
      <c r="AD714" s="7">
        <v>0</v>
      </c>
      <c r="AE714" s="7">
        <v>0</v>
      </c>
      <c r="AF714" s="3" t="s">
        <v>48</v>
      </c>
      <c r="AG714" s="7">
        <v>2023</v>
      </c>
      <c r="AH714" s="3" t="s">
        <v>112</v>
      </c>
      <c r="AI714" s="3" t="s">
        <v>113</v>
      </c>
      <c r="AJ714" s="3" t="s">
        <v>48</v>
      </c>
      <c r="AK714" s="3" t="s">
        <v>199</v>
      </c>
      <c r="AL714" s="3" t="s">
        <v>59</v>
      </c>
      <c r="AM714" s="3" t="s">
        <v>115</v>
      </c>
      <c r="AN714" s="3" t="s">
        <v>61</v>
      </c>
      <c r="AO714" s="3" t="s">
        <v>62</v>
      </c>
      <c r="AP714" s="3" t="s">
        <v>69</v>
      </c>
      <c r="AQ714" s="3" t="s">
        <v>61</v>
      </c>
      <c r="AR714" s="3" t="s">
        <v>48</v>
      </c>
    </row>
    <row r="715" spans="1:44" ht="30" customHeight="1">
      <c r="A715" s="3" t="s">
        <v>44</v>
      </c>
      <c r="B715" s="3" t="s">
        <v>45</v>
      </c>
      <c r="C715" s="3" t="s">
        <v>46</v>
      </c>
      <c r="D715" s="3" t="s">
        <v>130</v>
      </c>
      <c r="E715" s="3" t="s">
        <v>48</v>
      </c>
      <c r="F715" s="3" t="s">
        <v>135</v>
      </c>
      <c r="G715" s="3" t="s">
        <v>981</v>
      </c>
      <c r="H715" s="4">
        <f>IF(DATEDIF(L715,S715,"m")&gt;12,DATEDIF(L715,S715,"y"),(DATEDIF(L715,S715,"m")/12))</f>
        <v>20</v>
      </c>
      <c r="I715" s="7">
        <f>DATEDIF(L715,S715,"M")</f>
        <v>248</v>
      </c>
      <c r="J715" s="7">
        <f>DATEDIF(L715,S715,"D")</f>
        <v>7566</v>
      </c>
      <c r="K715" s="3" t="s">
        <v>51</v>
      </c>
      <c r="L715" s="8">
        <v>37426</v>
      </c>
      <c r="M715" s="3" t="s">
        <v>45</v>
      </c>
      <c r="N715" s="3" t="s">
        <v>83</v>
      </c>
      <c r="O715" s="3" t="s">
        <v>52</v>
      </c>
      <c r="P715" s="3" t="s">
        <v>103</v>
      </c>
      <c r="Q715" s="7">
        <v>0</v>
      </c>
      <c r="R715" s="8">
        <v>44998</v>
      </c>
      <c r="S715" s="8">
        <v>44992</v>
      </c>
      <c r="T715" s="3" t="s">
        <v>54</v>
      </c>
      <c r="U715" s="3" t="s">
        <v>55</v>
      </c>
      <c r="V715" s="9"/>
      <c r="W715" s="10">
        <v>44998</v>
      </c>
      <c r="X715" s="7">
        <v>0</v>
      </c>
      <c r="Y715" s="7">
        <v>6</v>
      </c>
      <c r="Z715" s="7">
        <v>3</v>
      </c>
      <c r="AA715" s="7">
        <f>INT((S715-DATE(YEAR(S715-WEEKDAY(S715-0)+4),1,4)+WEEKDAY(DATE(YEAR(S715-WEEKDAY(S715-0)+4),1,4))+6)/7)</f>
        <v>10</v>
      </c>
      <c r="AB715" s="3" t="s">
        <v>982</v>
      </c>
      <c r="AC715" s="7">
        <v>107</v>
      </c>
      <c r="AD715" s="7">
        <v>0</v>
      </c>
      <c r="AE715" s="7">
        <v>0</v>
      </c>
      <c r="AF715" s="3" t="s">
        <v>48</v>
      </c>
      <c r="AG715" s="7">
        <v>2023</v>
      </c>
      <c r="AH715" s="3" t="s">
        <v>139</v>
      </c>
      <c r="AI715" s="3" t="s">
        <v>113</v>
      </c>
      <c r="AJ715" s="3" t="s">
        <v>48</v>
      </c>
      <c r="AK715" s="3" t="s">
        <v>910</v>
      </c>
      <c r="AL715" s="3" t="s">
        <v>59</v>
      </c>
      <c r="AM715" s="3" t="s">
        <v>60</v>
      </c>
      <c r="AN715" s="3" t="s">
        <v>61</v>
      </c>
      <c r="AO715" s="3" t="s">
        <v>62</v>
      </c>
      <c r="AP715" s="3" t="s">
        <v>69</v>
      </c>
      <c r="AQ715" s="3" t="s">
        <v>61</v>
      </c>
      <c r="AR715" s="3" t="s">
        <v>48</v>
      </c>
    </row>
    <row r="716" spans="1:44" ht="30" customHeight="1">
      <c r="A716" s="3" t="s">
        <v>44</v>
      </c>
      <c r="B716" s="3" t="s">
        <v>45</v>
      </c>
      <c r="C716" s="3" t="s">
        <v>46</v>
      </c>
      <c r="D716" s="3" t="s">
        <v>70</v>
      </c>
      <c r="E716" s="3" t="s">
        <v>48</v>
      </c>
      <c r="F716" s="3" t="s">
        <v>71</v>
      </c>
      <c r="G716" s="3" t="s">
        <v>1011</v>
      </c>
      <c r="H716" s="5">
        <f>IF(DATEDIF(L716,S716,"m")&gt;12,DATEDIF(L716,S716,"y"),(DATEDIF(L716,S716,"m")/12))</f>
        <v>0.5</v>
      </c>
      <c r="I716" s="7">
        <f>DATEDIF(L716,S716,"M")</f>
        <v>6</v>
      </c>
      <c r="J716" s="7">
        <f>DATEDIF(L716,S716,"D")</f>
        <v>183</v>
      </c>
      <c r="K716" s="3" t="s">
        <v>51</v>
      </c>
      <c r="L716" s="8">
        <v>44810</v>
      </c>
      <c r="M716" s="3" t="s">
        <v>45</v>
      </c>
      <c r="N716" s="3" t="s">
        <v>203</v>
      </c>
      <c r="O716" s="3" t="s">
        <v>52</v>
      </c>
      <c r="P716" s="3" t="s">
        <v>298</v>
      </c>
      <c r="Q716" s="7">
        <v>1</v>
      </c>
      <c r="R716" s="8">
        <v>44994</v>
      </c>
      <c r="S716" s="8">
        <v>44993</v>
      </c>
      <c r="T716" s="3" t="s">
        <v>54</v>
      </c>
      <c r="U716" s="3" t="s">
        <v>55</v>
      </c>
      <c r="V716" s="9"/>
      <c r="W716" s="10">
        <v>44998</v>
      </c>
      <c r="X716" s="7">
        <v>4</v>
      </c>
      <c r="Y716" s="7">
        <v>1</v>
      </c>
      <c r="Z716" s="7">
        <v>3</v>
      </c>
      <c r="AA716" s="7">
        <f>INT((S716-DATE(YEAR(S716-WEEKDAY(S716-0)+4),1,4)+WEEKDAY(DATE(YEAR(S716-WEEKDAY(S716-0)+4),1,4))+6)/7)</f>
        <v>10</v>
      </c>
      <c r="AB716" s="3" t="s">
        <v>1012</v>
      </c>
      <c r="AC716" s="7">
        <v>721</v>
      </c>
      <c r="AD716" s="7">
        <v>0</v>
      </c>
      <c r="AE716" s="7">
        <v>1</v>
      </c>
      <c r="AF716" s="3" t="s">
        <v>48</v>
      </c>
      <c r="AG716" s="7">
        <v>2023</v>
      </c>
      <c r="AH716" s="3" t="s">
        <v>76</v>
      </c>
      <c r="AI716" s="3" t="s">
        <v>166</v>
      </c>
      <c r="AJ716" s="3" t="s">
        <v>78</v>
      </c>
      <c r="AK716" s="3" t="s">
        <v>1013</v>
      </c>
      <c r="AL716" s="3" t="s">
        <v>59</v>
      </c>
      <c r="AM716" s="3" t="s">
        <v>60</v>
      </c>
      <c r="AN716" s="3" t="s">
        <v>61</v>
      </c>
      <c r="AO716" s="3" t="s">
        <v>62</v>
      </c>
      <c r="AP716" s="3" t="s">
        <v>69</v>
      </c>
      <c r="AQ716" s="3" t="s">
        <v>69</v>
      </c>
      <c r="AR716" s="3" t="s">
        <v>48</v>
      </c>
    </row>
    <row r="717" spans="1:44" ht="30" customHeight="1">
      <c r="A717" s="3" t="s">
        <v>44</v>
      </c>
      <c r="B717" s="3" t="s">
        <v>45</v>
      </c>
      <c r="C717" s="3" t="s">
        <v>46</v>
      </c>
      <c r="D717" s="3" t="s">
        <v>47</v>
      </c>
      <c r="E717" s="3" t="s">
        <v>48</v>
      </c>
      <c r="F717" s="3" t="s">
        <v>49</v>
      </c>
      <c r="G717" s="3" t="s">
        <v>498</v>
      </c>
      <c r="H717" s="4">
        <f>IF(DATEDIF(L717,S717,"m")&gt;12,DATEDIF(L717,S717,"y"),(DATEDIF(L717,S717,"m")/12))</f>
        <v>66</v>
      </c>
      <c r="I717" s="7">
        <f>DATEDIF(L717,S717,"M")</f>
        <v>792</v>
      </c>
      <c r="J717" s="7">
        <f>DATEDIF(L717,S717,"D")</f>
        <v>24122</v>
      </c>
      <c r="K717" s="3" t="s">
        <v>51</v>
      </c>
      <c r="L717" s="8">
        <v>20840</v>
      </c>
      <c r="M717" s="3" t="s">
        <v>45</v>
      </c>
      <c r="N717" s="3" t="s">
        <v>73</v>
      </c>
      <c r="O717" s="3" t="s">
        <v>52</v>
      </c>
      <c r="P717" s="3" t="s">
        <v>499</v>
      </c>
      <c r="Q717" s="7">
        <v>0</v>
      </c>
      <c r="R717" s="8">
        <v>44965</v>
      </c>
      <c r="S717" s="8">
        <v>44962</v>
      </c>
      <c r="T717" s="3" t="s">
        <v>54</v>
      </c>
      <c r="U717" s="3" t="s">
        <v>55</v>
      </c>
      <c r="V717" s="9"/>
      <c r="W717" s="10">
        <v>44970</v>
      </c>
      <c r="X717" s="7">
        <v>5</v>
      </c>
      <c r="Y717" s="7">
        <v>3</v>
      </c>
      <c r="Z717" s="7">
        <v>2</v>
      </c>
      <c r="AA717" s="7">
        <f>INT((S717-DATE(YEAR(S717-WEEKDAY(S717-0)+4),1,4)+WEEKDAY(DATE(YEAR(S717-WEEKDAY(S717-0)+4),1,4))+6)/7)</f>
        <v>6</v>
      </c>
      <c r="AB717" s="3" t="s">
        <v>500</v>
      </c>
      <c r="AC717" s="7">
        <v>39</v>
      </c>
      <c r="AD717" s="7">
        <v>0</v>
      </c>
      <c r="AE717" s="7">
        <v>0</v>
      </c>
      <c r="AF717" s="3" t="s">
        <v>48</v>
      </c>
      <c r="AG717" s="7">
        <v>2023</v>
      </c>
      <c r="AH717" s="3" t="s">
        <v>57</v>
      </c>
      <c r="AI717" s="3" t="s">
        <v>48</v>
      </c>
      <c r="AJ717" s="3" t="s">
        <v>48</v>
      </c>
      <c r="AK717" s="3" t="s">
        <v>199</v>
      </c>
      <c r="AL717" s="3" t="s">
        <v>59</v>
      </c>
      <c r="AM717" s="3" t="s">
        <v>60</v>
      </c>
      <c r="AN717" s="3" t="s">
        <v>61</v>
      </c>
      <c r="AO717" s="3" t="s">
        <v>62</v>
      </c>
      <c r="AP717" s="3" t="s">
        <v>69</v>
      </c>
      <c r="AQ717" s="3" t="s">
        <v>61</v>
      </c>
      <c r="AR717" s="3" t="s">
        <v>48</v>
      </c>
    </row>
    <row r="718" spans="1:44" ht="30" customHeight="1">
      <c r="A718" s="3" t="s">
        <v>44</v>
      </c>
      <c r="B718" s="3" t="s">
        <v>45</v>
      </c>
      <c r="C718" s="3" t="s">
        <v>80</v>
      </c>
      <c r="D718" s="3" t="s">
        <v>81</v>
      </c>
      <c r="E718" s="3" t="s">
        <v>48</v>
      </c>
      <c r="F718" s="3" t="s">
        <v>81</v>
      </c>
      <c r="G718" s="3" t="s">
        <v>1330</v>
      </c>
      <c r="H718" s="4">
        <f>IF(DATEDIF(L718,S718,"m")&gt;12,DATEDIF(L718,S718,"y"),(DATEDIF(L718,S718,"m")/12))</f>
        <v>72</v>
      </c>
      <c r="I718" s="7">
        <f>DATEDIF(L718,S718,"M")</f>
        <v>869</v>
      </c>
      <c r="J718" s="7">
        <f>DATEDIF(L718,S718,"D")</f>
        <v>26460</v>
      </c>
      <c r="K718" s="3" t="s">
        <v>51</v>
      </c>
      <c r="L718" s="8">
        <v>18532</v>
      </c>
      <c r="M718" s="3" t="s">
        <v>45</v>
      </c>
      <c r="N718" s="3" t="s">
        <v>203</v>
      </c>
      <c r="O718" s="3" t="s">
        <v>52</v>
      </c>
      <c r="P718" s="3" t="s">
        <v>1331</v>
      </c>
      <c r="Q718" s="7">
        <v>1</v>
      </c>
      <c r="R718" s="8">
        <v>44993</v>
      </c>
      <c r="S718" s="8">
        <v>44992</v>
      </c>
      <c r="T718" s="3" t="s">
        <v>54</v>
      </c>
      <c r="U718" s="3" t="s">
        <v>55</v>
      </c>
      <c r="V718" s="9"/>
      <c r="W718" s="10">
        <v>44998</v>
      </c>
      <c r="X718" s="7">
        <v>5</v>
      </c>
      <c r="Y718" s="7">
        <v>1</v>
      </c>
      <c r="Z718" s="7">
        <v>3</v>
      </c>
      <c r="AA718" s="7">
        <f>INT((S718-DATE(YEAR(S718-WEEKDAY(S718-0)+4),1,4)+WEEKDAY(DATE(YEAR(S718-WEEKDAY(S718-0)+4),1,4))+6)/7)</f>
        <v>10</v>
      </c>
      <c r="AB718" s="3" t="s">
        <v>1332</v>
      </c>
      <c r="AC718" s="7">
        <v>14075</v>
      </c>
      <c r="AD718" s="7">
        <v>0</v>
      </c>
      <c r="AE718" s="7">
        <v>0</v>
      </c>
      <c r="AF718" s="3" t="s">
        <v>48</v>
      </c>
      <c r="AG718" s="7">
        <v>2023</v>
      </c>
      <c r="AH718" s="3" t="s">
        <v>86</v>
      </c>
      <c r="AI718" s="3" t="s">
        <v>48</v>
      </c>
      <c r="AJ718" s="3" t="s">
        <v>48</v>
      </c>
      <c r="AK718" s="12" t="s">
        <v>327</v>
      </c>
      <c r="AL718" s="3" t="s">
        <v>59</v>
      </c>
      <c r="AM718" s="3" t="s">
        <v>60</v>
      </c>
      <c r="AN718" s="3" t="s">
        <v>69</v>
      </c>
      <c r="AO718" s="3" t="s">
        <v>62</v>
      </c>
      <c r="AP718" s="3" t="s">
        <v>69</v>
      </c>
      <c r="AQ718" s="3" t="s">
        <v>61</v>
      </c>
      <c r="AR718" s="3" t="s">
        <v>48</v>
      </c>
    </row>
    <row r="719" spans="1:44" ht="30" customHeight="1">
      <c r="A719" s="3" t="s">
        <v>44</v>
      </c>
      <c r="B719" s="3" t="s">
        <v>45</v>
      </c>
      <c r="C719" s="3" t="s">
        <v>46</v>
      </c>
      <c r="D719" s="3" t="s">
        <v>47</v>
      </c>
      <c r="E719" s="3" t="s">
        <v>48</v>
      </c>
      <c r="F719" s="3" t="s">
        <v>49</v>
      </c>
      <c r="G719" s="3" t="s">
        <v>2145</v>
      </c>
      <c r="H719" s="4">
        <f>IF(DATEDIF(L719,S719,"m")&gt;12,DATEDIF(L719,S719,"y"),(DATEDIF(L719,S719,"m")/12))</f>
        <v>18</v>
      </c>
      <c r="I719" s="7">
        <f>DATEDIF(L719,S719,"M")</f>
        <v>223</v>
      </c>
      <c r="J719" s="7">
        <f>DATEDIF(L719,S719,"D")</f>
        <v>6804</v>
      </c>
      <c r="K719" s="3" t="s">
        <v>64</v>
      </c>
      <c r="L719" s="8">
        <v>38159</v>
      </c>
      <c r="M719" s="3" t="s">
        <v>45</v>
      </c>
      <c r="N719" s="3" t="s">
        <v>73</v>
      </c>
      <c r="O719" s="3" t="s">
        <v>52</v>
      </c>
      <c r="P719" s="3" t="s">
        <v>2146</v>
      </c>
      <c r="Q719" s="7">
        <v>0</v>
      </c>
      <c r="R719" s="8">
        <v>44966</v>
      </c>
      <c r="S719" s="8">
        <v>44963</v>
      </c>
      <c r="T719" s="3" t="s">
        <v>54</v>
      </c>
      <c r="U719" s="3" t="s">
        <v>55</v>
      </c>
      <c r="V719" s="9"/>
      <c r="W719" s="10">
        <v>44970</v>
      </c>
      <c r="X719" s="7">
        <v>4</v>
      </c>
      <c r="Y719" s="7">
        <v>3</v>
      </c>
      <c r="Z719" s="7">
        <v>2</v>
      </c>
      <c r="AA719" s="7">
        <f>INT((S719-DATE(YEAR(S719-WEEKDAY(S719-0)+4),1,4)+WEEKDAY(DATE(YEAR(S719-WEEKDAY(S719-0)+4),1,4))+6)/7)</f>
        <v>6</v>
      </c>
      <c r="AB719" s="3" t="s">
        <v>2147</v>
      </c>
      <c r="AC719" s="7">
        <v>41</v>
      </c>
      <c r="AD719" s="7">
        <v>0</v>
      </c>
      <c r="AE719" s="7">
        <v>0</v>
      </c>
      <c r="AF719" s="3" t="s">
        <v>48</v>
      </c>
      <c r="AG719" s="7">
        <v>2023</v>
      </c>
      <c r="AH719" s="3" t="s">
        <v>57</v>
      </c>
      <c r="AI719" s="3" t="s">
        <v>48</v>
      </c>
      <c r="AJ719" s="3" t="s">
        <v>48</v>
      </c>
      <c r="AK719" s="3" t="s">
        <v>199</v>
      </c>
      <c r="AL719" s="3" t="s">
        <v>59</v>
      </c>
      <c r="AM719" s="3" t="s">
        <v>60</v>
      </c>
      <c r="AN719" s="3" t="s">
        <v>61</v>
      </c>
      <c r="AO719" s="3" t="s">
        <v>62</v>
      </c>
      <c r="AP719" s="3" t="s">
        <v>69</v>
      </c>
      <c r="AQ719" s="3" t="s">
        <v>61</v>
      </c>
      <c r="AR719" s="3" t="s">
        <v>48</v>
      </c>
    </row>
    <row r="720" spans="1:44" ht="30" customHeight="1">
      <c r="A720" s="3" t="s">
        <v>44</v>
      </c>
      <c r="B720" s="3" t="s">
        <v>45</v>
      </c>
      <c r="C720" s="3" t="s">
        <v>46</v>
      </c>
      <c r="D720" s="3" t="s">
        <v>108</v>
      </c>
      <c r="E720" s="3" t="s">
        <v>48</v>
      </c>
      <c r="F720" s="3" t="s">
        <v>108</v>
      </c>
      <c r="G720" s="3" t="s">
        <v>317</v>
      </c>
      <c r="H720" s="4">
        <f>IF(DATEDIF(L720,S720,"m")&gt;12,DATEDIF(L720,S720,"y"),(DATEDIF(L720,S720,"m")/12))</f>
        <v>4</v>
      </c>
      <c r="I720" s="7">
        <f>DATEDIF(L720,S720,"M")</f>
        <v>56</v>
      </c>
      <c r="J720" s="7">
        <f>DATEDIF(L720,S720,"D")</f>
        <v>1724</v>
      </c>
      <c r="K720" s="3" t="s">
        <v>51</v>
      </c>
      <c r="L720" s="8">
        <v>43239</v>
      </c>
      <c r="M720" s="3" t="s">
        <v>45</v>
      </c>
      <c r="N720" s="3" t="s">
        <v>73</v>
      </c>
      <c r="O720" s="3" t="s">
        <v>52</v>
      </c>
      <c r="P720" s="3" t="s">
        <v>180</v>
      </c>
      <c r="Q720" s="7">
        <v>0</v>
      </c>
      <c r="R720" s="8">
        <v>44965</v>
      </c>
      <c r="S720" s="8">
        <v>44963</v>
      </c>
      <c r="T720" s="3" t="s">
        <v>54</v>
      </c>
      <c r="U720" s="3" t="s">
        <v>55</v>
      </c>
      <c r="V720" s="9"/>
      <c r="W720" s="10">
        <v>44971</v>
      </c>
      <c r="X720" s="7">
        <v>6</v>
      </c>
      <c r="Y720" s="7">
        <v>2</v>
      </c>
      <c r="Z720" s="7">
        <v>2</v>
      </c>
      <c r="AA720" s="7">
        <f>INT((S720-DATE(YEAR(S720-WEEKDAY(S720-0)+4),1,4)+WEEKDAY(DATE(YEAR(S720-WEEKDAY(S720-0)+4),1,4))+6)/7)</f>
        <v>6</v>
      </c>
      <c r="AB720" s="3" t="s">
        <v>318</v>
      </c>
      <c r="AC720" s="7">
        <v>246</v>
      </c>
      <c r="AD720" s="7">
        <v>0</v>
      </c>
      <c r="AE720" s="7">
        <v>0</v>
      </c>
      <c r="AF720" s="3" t="s">
        <v>48</v>
      </c>
      <c r="AG720" s="7">
        <v>2023</v>
      </c>
      <c r="AH720" s="3" t="s">
        <v>112</v>
      </c>
      <c r="AI720" s="3" t="s">
        <v>113</v>
      </c>
      <c r="AJ720" s="3" t="s">
        <v>48</v>
      </c>
      <c r="AK720" s="3" t="s">
        <v>199</v>
      </c>
      <c r="AL720" s="3" t="s">
        <v>59</v>
      </c>
      <c r="AM720" s="3" t="s">
        <v>115</v>
      </c>
      <c r="AN720" s="3" t="s">
        <v>61</v>
      </c>
      <c r="AO720" s="3" t="s">
        <v>62</v>
      </c>
      <c r="AP720" s="3" t="s">
        <v>69</v>
      </c>
      <c r="AQ720" s="3" t="s">
        <v>61</v>
      </c>
      <c r="AR720" s="3" t="s">
        <v>48</v>
      </c>
    </row>
    <row r="721" spans="1:44" ht="30" customHeight="1">
      <c r="A721" s="3" t="s">
        <v>44</v>
      </c>
      <c r="B721" s="3" t="s">
        <v>45</v>
      </c>
      <c r="C721" s="3" t="s">
        <v>46</v>
      </c>
      <c r="D721" s="3" t="s">
        <v>108</v>
      </c>
      <c r="E721" s="3" t="s">
        <v>48</v>
      </c>
      <c r="F721" s="3" t="s">
        <v>108</v>
      </c>
      <c r="G721" s="3" t="s">
        <v>373</v>
      </c>
      <c r="H721" s="4">
        <f>IF(DATEDIF(L721,S721,"m")&gt;12,DATEDIF(L721,S721,"y"),(DATEDIF(L721,S721,"m")/12))</f>
        <v>1</v>
      </c>
      <c r="I721" s="7">
        <f>DATEDIF(L721,S721,"M")</f>
        <v>12</v>
      </c>
      <c r="J721" s="7">
        <f>DATEDIF(L721,S721,"D")</f>
        <v>367</v>
      </c>
      <c r="K721" s="3" t="s">
        <v>64</v>
      </c>
      <c r="L721" s="8">
        <v>44595</v>
      </c>
      <c r="M721" s="3" t="s">
        <v>45</v>
      </c>
      <c r="N721" s="3" t="s">
        <v>73</v>
      </c>
      <c r="O721" s="3" t="s">
        <v>52</v>
      </c>
      <c r="P721" s="3" t="s">
        <v>169</v>
      </c>
      <c r="Q721" s="7">
        <v>0</v>
      </c>
      <c r="R721" s="8">
        <v>44964</v>
      </c>
      <c r="S721" s="8">
        <v>44962</v>
      </c>
      <c r="T721" s="3" t="s">
        <v>54</v>
      </c>
      <c r="U721" s="3" t="s">
        <v>55</v>
      </c>
      <c r="V721" s="9"/>
      <c r="W721" s="10">
        <v>44971</v>
      </c>
      <c r="X721" s="7">
        <v>7</v>
      </c>
      <c r="Y721" s="7">
        <v>2</v>
      </c>
      <c r="Z721" s="7">
        <v>2</v>
      </c>
      <c r="AA721" s="7">
        <f>INT((S721-DATE(YEAR(S721-WEEKDAY(S721-0)+4),1,4)+WEEKDAY(DATE(YEAR(S721-WEEKDAY(S721-0)+4),1,4))+6)/7)</f>
        <v>6</v>
      </c>
      <c r="AB721" s="3" t="s">
        <v>374</v>
      </c>
      <c r="AC721" s="7">
        <v>224</v>
      </c>
      <c r="AD721" s="7">
        <v>0</v>
      </c>
      <c r="AE721" s="7">
        <v>0</v>
      </c>
      <c r="AF721" s="3" t="s">
        <v>48</v>
      </c>
      <c r="AG721" s="7">
        <v>2023</v>
      </c>
      <c r="AH721" s="3" t="s">
        <v>112</v>
      </c>
      <c r="AI721" s="3" t="s">
        <v>113</v>
      </c>
      <c r="AJ721" s="3" t="s">
        <v>48</v>
      </c>
      <c r="AK721" s="3" t="s">
        <v>199</v>
      </c>
      <c r="AL721" s="3" t="s">
        <v>59</v>
      </c>
      <c r="AM721" s="3" t="s">
        <v>115</v>
      </c>
      <c r="AN721" s="3" t="s">
        <v>61</v>
      </c>
      <c r="AO721" s="3" t="s">
        <v>62</v>
      </c>
      <c r="AP721" s="3" t="s">
        <v>69</v>
      </c>
      <c r="AQ721" s="3" t="s">
        <v>61</v>
      </c>
      <c r="AR721" s="3" t="s">
        <v>48</v>
      </c>
    </row>
    <row r="722" spans="1:44" ht="30" customHeight="1">
      <c r="A722" s="3" t="s">
        <v>44</v>
      </c>
      <c r="B722" s="3" t="s">
        <v>45</v>
      </c>
      <c r="C722" s="3" t="s">
        <v>46</v>
      </c>
      <c r="D722" s="3" t="s">
        <v>70</v>
      </c>
      <c r="E722" s="3" t="s">
        <v>48</v>
      </c>
      <c r="F722" s="3" t="s">
        <v>71</v>
      </c>
      <c r="G722" s="3" t="s">
        <v>1495</v>
      </c>
      <c r="H722" s="5">
        <f>IF(DATEDIF(L722,S722,"m")&gt;12,DATEDIF(L722,S722,"y"),(DATEDIF(L722,S722,"m")/12))</f>
        <v>0.5</v>
      </c>
      <c r="I722" s="7">
        <f>DATEDIF(L722,S722,"M")</f>
        <v>6</v>
      </c>
      <c r="J722" s="7">
        <f>DATEDIF(L722,S722,"D")</f>
        <v>207</v>
      </c>
      <c r="K722" s="3" t="s">
        <v>64</v>
      </c>
      <c r="L722" s="8">
        <v>44789</v>
      </c>
      <c r="M722" s="3" t="s">
        <v>45</v>
      </c>
      <c r="N722" s="3" t="s">
        <v>90</v>
      </c>
      <c r="O722" s="3" t="s">
        <v>52</v>
      </c>
      <c r="P722" s="3" t="s">
        <v>786</v>
      </c>
      <c r="Q722" s="7">
        <v>1</v>
      </c>
      <c r="R722" s="8">
        <v>44997</v>
      </c>
      <c r="S722" s="8">
        <v>44996</v>
      </c>
      <c r="T722" s="3" t="s">
        <v>54</v>
      </c>
      <c r="U722" s="3" t="s">
        <v>55</v>
      </c>
      <c r="V722" s="9"/>
      <c r="W722" s="10">
        <v>44998</v>
      </c>
      <c r="X722" s="7">
        <v>1</v>
      </c>
      <c r="Y722" s="7">
        <v>1</v>
      </c>
      <c r="Z722" s="7">
        <v>3</v>
      </c>
      <c r="AA722" s="7">
        <f>INT((S722-DATE(YEAR(S722-WEEKDAY(S722-0)+4),1,4)+WEEKDAY(DATE(YEAR(S722-WEEKDAY(S722-0)+4),1,4))+6)/7)</f>
        <v>10</v>
      </c>
      <c r="AB722" s="3" t="s">
        <v>1496</v>
      </c>
      <c r="AC722" s="7">
        <v>725</v>
      </c>
      <c r="AD722" s="7">
        <v>0</v>
      </c>
      <c r="AE722" s="7">
        <v>1</v>
      </c>
      <c r="AF722" s="3" t="s">
        <v>48</v>
      </c>
      <c r="AG722" s="7">
        <v>2023</v>
      </c>
      <c r="AH722" s="3" t="s">
        <v>532</v>
      </c>
      <c r="AI722" s="3" t="s">
        <v>166</v>
      </c>
      <c r="AJ722" s="3" t="s">
        <v>78</v>
      </c>
      <c r="AK722" s="3" t="s">
        <v>844</v>
      </c>
      <c r="AL722" s="3" t="s">
        <v>59</v>
      </c>
      <c r="AM722" s="3" t="s">
        <v>60</v>
      </c>
      <c r="AN722" s="3" t="s">
        <v>61</v>
      </c>
      <c r="AO722" s="3" t="s">
        <v>62</v>
      </c>
      <c r="AP722" s="3" t="s">
        <v>69</v>
      </c>
      <c r="AQ722" s="3" t="s">
        <v>61</v>
      </c>
      <c r="AR722" s="3" t="s">
        <v>48</v>
      </c>
    </row>
    <row r="723" spans="1:44" ht="30" customHeight="1">
      <c r="A723" s="3" t="s">
        <v>44</v>
      </c>
      <c r="B723" s="3" t="s">
        <v>45</v>
      </c>
      <c r="C723" s="3" t="s">
        <v>46</v>
      </c>
      <c r="D723" s="3" t="s">
        <v>108</v>
      </c>
      <c r="E723" s="3" t="s">
        <v>48</v>
      </c>
      <c r="F723" s="3" t="s">
        <v>108</v>
      </c>
      <c r="G723" s="3" t="s">
        <v>425</v>
      </c>
      <c r="H723" s="4">
        <f>IF(DATEDIF(L723,S723,"m")&gt;12,DATEDIF(L723,S723,"y"),(DATEDIF(L723,S723,"m")/12))</f>
        <v>4</v>
      </c>
      <c r="I723" s="7">
        <f>DATEDIF(L723,S723,"M")</f>
        <v>48</v>
      </c>
      <c r="J723" s="7">
        <f>DATEDIF(L723,S723,"D")</f>
        <v>1480</v>
      </c>
      <c r="K723" s="3" t="s">
        <v>64</v>
      </c>
      <c r="L723" s="8">
        <v>43483</v>
      </c>
      <c r="M723" s="3" t="s">
        <v>45</v>
      </c>
      <c r="N723" s="3" t="s">
        <v>73</v>
      </c>
      <c r="O723" s="3" t="s">
        <v>52</v>
      </c>
      <c r="P723" s="3" t="s">
        <v>426</v>
      </c>
      <c r="Q723" s="7">
        <v>0</v>
      </c>
      <c r="R723" s="8">
        <v>44965</v>
      </c>
      <c r="S723" s="8">
        <v>44963</v>
      </c>
      <c r="T723" s="3" t="s">
        <v>54</v>
      </c>
      <c r="U723" s="3" t="s">
        <v>55</v>
      </c>
      <c r="V723" s="9"/>
      <c r="W723" s="10">
        <v>44971</v>
      </c>
      <c r="X723" s="7">
        <v>6</v>
      </c>
      <c r="Y723" s="7">
        <v>2</v>
      </c>
      <c r="Z723" s="7">
        <v>2</v>
      </c>
      <c r="AA723" s="7">
        <f>INT((S723-DATE(YEAR(S723-WEEKDAY(S723-0)+4),1,4)+WEEKDAY(DATE(YEAR(S723-WEEKDAY(S723-0)+4),1,4))+6)/7)</f>
        <v>6</v>
      </c>
      <c r="AB723" s="3" t="s">
        <v>427</v>
      </c>
      <c r="AC723" s="7">
        <v>249</v>
      </c>
      <c r="AD723" s="7">
        <v>0</v>
      </c>
      <c r="AE723" s="7">
        <v>0</v>
      </c>
      <c r="AF723" s="3" t="s">
        <v>48</v>
      </c>
      <c r="AG723" s="7">
        <v>2023</v>
      </c>
      <c r="AH723" s="3" t="s">
        <v>112</v>
      </c>
      <c r="AI723" s="3" t="s">
        <v>113</v>
      </c>
      <c r="AJ723" s="3" t="s">
        <v>48</v>
      </c>
      <c r="AK723" s="3" t="s">
        <v>199</v>
      </c>
      <c r="AL723" s="3" t="s">
        <v>59</v>
      </c>
      <c r="AM723" s="3" t="s">
        <v>115</v>
      </c>
      <c r="AN723" s="3" t="s">
        <v>61</v>
      </c>
      <c r="AO723" s="3" t="s">
        <v>62</v>
      </c>
      <c r="AP723" s="3" t="s">
        <v>69</v>
      </c>
      <c r="AQ723" s="3" t="s">
        <v>61</v>
      </c>
      <c r="AR723" s="3" t="s">
        <v>48</v>
      </c>
    </row>
    <row r="724" spans="1:44" ht="30" customHeight="1">
      <c r="A724" s="3" t="s">
        <v>44</v>
      </c>
      <c r="B724" s="3" t="s">
        <v>45</v>
      </c>
      <c r="C724" s="3" t="s">
        <v>46</v>
      </c>
      <c r="D724" s="3" t="s">
        <v>108</v>
      </c>
      <c r="E724" s="3" t="s">
        <v>48</v>
      </c>
      <c r="F724" s="3" t="s">
        <v>108</v>
      </c>
      <c r="G724" s="3" t="s">
        <v>602</v>
      </c>
      <c r="H724" s="4">
        <f>IF(DATEDIF(L724,S724,"m")&gt;12,DATEDIF(L724,S724,"y"),(DATEDIF(L724,S724,"m")/12))</f>
        <v>4</v>
      </c>
      <c r="I724" s="7">
        <f>DATEDIF(L724,S724,"M")</f>
        <v>54</v>
      </c>
      <c r="J724" s="7">
        <f>DATEDIF(L724,S724,"D")</f>
        <v>1666</v>
      </c>
      <c r="K724" s="3" t="s">
        <v>51</v>
      </c>
      <c r="L724" s="8">
        <v>43295</v>
      </c>
      <c r="M724" s="3" t="s">
        <v>45</v>
      </c>
      <c r="N724" s="3" t="s">
        <v>73</v>
      </c>
      <c r="O724" s="3" t="s">
        <v>52</v>
      </c>
      <c r="P724" s="3" t="s">
        <v>426</v>
      </c>
      <c r="Q724" s="7">
        <v>0</v>
      </c>
      <c r="R724" s="8">
        <v>44965</v>
      </c>
      <c r="S724" s="8">
        <v>44961</v>
      </c>
      <c r="T724" s="3" t="s">
        <v>54</v>
      </c>
      <c r="U724" s="3" t="s">
        <v>55</v>
      </c>
      <c r="V724" s="9"/>
      <c r="W724" s="10">
        <v>44971</v>
      </c>
      <c r="X724" s="7">
        <v>6</v>
      </c>
      <c r="Y724" s="7">
        <v>4</v>
      </c>
      <c r="Z724" s="7">
        <v>2</v>
      </c>
      <c r="AA724" s="7">
        <f>INT((S724-DATE(YEAR(S724-WEEKDAY(S724-0)+4),1,4)+WEEKDAY(DATE(YEAR(S724-WEEKDAY(S724-0)+4),1,4))+6)/7)</f>
        <v>5</v>
      </c>
      <c r="AB724" s="3" t="s">
        <v>603</v>
      </c>
      <c r="AC724" s="7">
        <v>245</v>
      </c>
      <c r="AD724" s="7">
        <v>0</v>
      </c>
      <c r="AE724" s="7">
        <v>0</v>
      </c>
      <c r="AF724" s="3" t="s">
        <v>48</v>
      </c>
      <c r="AG724" s="7">
        <v>2023</v>
      </c>
      <c r="AH724" s="3" t="s">
        <v>112</v>
      </c>
      <c r="AI724" s="3" t="s">
        <v>113</v>
      </c>
      <c r="AJ724" s="3" t="s">
        <v>48</v>
      </c>
      <c r="AK724" s="3" t="s">
        <v>199</v>
      </c>
      <c r="AL724" s="3" t="s">
        <v>59</v>
      </c>
      <c r="AM724" s="3" t="s">
        <v>115</v>
      </c>
      <c r="AN724" s="3" t="s">
        <v>61</v>
      </c>
      <c r="AO724" s="3" t="s">
        <v>62</v>
      </c>
      <c r="AP724" s="3" t="s">
        <v>69</v>
      </c>
      <c r="AQ724" s="3" t="s">
        <v>61</v>
      </c>
      <c r="AR724" s="3" t="s">
        <v>48</v>
      </c>
    </row>
    <row r="725" spans="1:44" ht="30" customHeight="1">
      <c r="A725" s="3" t="s">
        <v>44</v>
      </c>
      <c r="B725" s="3" t="s">
        <v>45</v>
      </c>
      <c r="C725" s="3" t="s">
        <v>46</v>
      </c>
      <c r="D725" s="3" t="s">
        <v>70</v>
      </c>
      <c r="E725" s="3" t="s">
        <v>48</v>
      </c>
      <c r="F725" s="3" t="s">
        <v>71</v>
      </c>
      <c r="G725" s="3" t="s">
        <v>1631</v>
      </c>
      <c r="H725" s="5">
        <f>IF(DATEDIF(L725,S725,"m")&gt;12,DATEDIF(L725,S725,"y"),(DATEDIF(L725,S725,"m")/12))</f>
        <v>0.41666666666666669</v>
      </c>
      <c r="I725" s="7">
        <f>DATEDIF(L725,S725,"M")</f>
        <v>5</v>
      </c>
      <c r="J725" s="7">
        <f>DATEDIF(L725,S725,"D")</f>
        <v>174</v>
      </c>
      <c r="K725" s="3" t="s">
        <v>64</v>
      </c>
      <c r="L725" s="8">
        <v>44821</v>
      </c>
      <c r="M725" s="3" t="s">
        <v>45</v>
      </c>
      <c r="N725" s="3" t="s">
        <v>90</v>
      </c>
      <c r="O725" s="3" t="s">
        <v>52</v>
      </c>
      <c r="P725" s="3" t="s">
        <v>169</v>
      </c>
      <c r="Q725" s="7">
        <v>1</v>
      </c>
      <c r="R725" s="8">
        <v>44996</v>
      </c>
      <c r="S725" s="8">
        <v>44995</v>
      </c>
      <c r="T725" s="3" t="s">
        <v>54</v>
      </c>
      <c r="U725" s="3" t="s">
        <v>55</v>
      </c>
      <c r="V725" s="9"/>
      <c r="W725" s="10">
        <v>44998</v>
      </c>
      <c r="X725" s="7">
        <v>2</v>
      </c>
      <c r="Y725" s="7">
        <v>1</v>
      </c>
      <c r="Z725" s="7">
        <v>3</v>
      </c>
      <c r="AA725" s="7">
        <f>INT((S725-DATE(YEAR(S725-WEEKDAY(S725-0)+4),1,4)+WEEKDAY(DATE(YEAR(S725-WEEKDAY(S725-0)+4),1,4))+6)/7)</f>
        <v>10</v>
      </c>
      <c r="AB725" s="3" t="s">
        <v>1632</v>
      </c>
      <c r="AC725" s="7">
        <v>723</v>
      </c>
      <c r="AD725" s="7">
        <v>0</v>
      </c>
      <c r="AE725" s="7">
        <v>1</v>
      </c>
      <c r="AF725" s="3" t="s">
        <v>48</v>
      </c>
      <c r="AG725" s="7">
        <v>2023</v>
      </c>
      <c r="AH725" s="3" t="s">
        <v>76</v>
      </c>
      <c r="AI725" s="3" t="s">
        <v>166</v>
      </c>
      <c r="AJ725" s="3" t="s">
        <v>78</v>
      </c>
      <c r="AK725" s="3" t="s">
        <v>535</v>
      </c>
      <c r="AL725" s="3" t="s">
        <v>59</v>
      </c>
      <c r="AM725" s="3" t="s">
        <v>60</v>
      </c>
      <c r="AN725" s="3" t="s">
        <v>61</v>
      </c>
      <c r="AO725" s="3" t="s">
        <v>62</v>
      </c>
      <c r="AP725" s="3" t="s">
        <v>69</v>
      </c>
      <c r="AQ725" s="3" t="s">
        <v>61</v>
      </c>
      <c r="AR725" s="3" t="s">
        <v>48</v>
      </c>
    </row>
    <row r="726" spans="1:44" ht="30" customHeight="1">
      <c r="A726" s="3" t="s">
        <v>44</v>
      </c>
      <c r="B726" s="3" t="s">
        <v>45</v>
      </c>
      <c r="C726" s="3" t="s">
        <v>46</v>
      </c>
      <c r="D726" s="3" t="s">
        <v>108</v>
      </c>
      <c r="E726" s="3" t="s">
        <v>48</v>
      </c>
      <c r="F726" s="3" t="s">
        <v>108</v>
      </c>
      <c r="G726" s="3" t="s">
        <v>753</v>
      </c>
      <c r="H726" s="4">
        <f>IF(DATEDIF(L726,S726,"m")&gt;12,DATEDIF(L726,S726,"y"),(DATEDIF(L726,S726,"m")/12))</f>
        <v>41</v>
      </c>
      <c r="I726" s="7">
        <f>DATEDIF(L726,S726,"M")</f>
        <v>499</v>
      </c>
      <c r="J726" s="7">
        <f>DATEDIF(L726,S726,"D")</f>
        <v>15210</v>
      </c>
      <c r="K726" s="3" t="s">
        <v>64</v>
      </c>
      <c r="L726" s="8">
        <v>29753</v>
      </c>
      <c r="M726" s="3" t="s">
        <v>45</v>
      </c>
      <c r="N726" s="3" t="s">
        <v>73</v>
      </c>
      <c r="O726" s="3" t="s">
        <v>52</v>
      </c>
      <c r="P726" s="3" t="s">
        <v>237</v>
      </c>
      <c r="Q726" s="7">
        <v>0</v>
      </c>
      <c r="R726" s="8">
        <v>44965</v>
      </c>
      <c r="S726" s="8">
        <v>44963</v>
      </c>
      <c r="T726" s="3" t="s">
        <v>54</v>
      </c>
      <c r="U726" s="3" t="s">
        <v>55</v>
      </c>
      <c r="V726" s="9"/>
      <c r="W726" s="10">
        <v>44971</v>
      </c>
      <c r="X726" s="7">
        <v>6</v>
      </c>
      <c r="Y726" s="7">
        <v>2</v>
      </c>
      <c r="Z726" s="7">
        <v>2</v>
      </c>
      <c r="AA726" s="7">
        <f>INT((S726-DATE(YEAR(S726-WEEKDAY(S726-0)+4),1,4)+WEEKDAY(DATE(YEAR(S726-WEEKDAY(S726-0)+4),1,4))+6)/7)</f>
        <v>6</v>
      </c>
      <c r="AB726" s="3" t="s">
        <v>754</v>
      </c>
      <c r="AC726" s="7">
        <v>248</v>
      </c>
      <c r="AD726" s="7">
        <v>0</v>
      </c>
      <c r="AE726" s="7">
        <v>0</v>
      </c>
      <c r="AF726" s="3" t="s">
        <v>48</v>
      </c>
      <c r="AG726" s="7">
        <v>2023</v>
      </c>
      <c r="AH726" s="3" t="s">
        <v>112</v>
      </c>
      <c r="AI726" s="3" t="s">
        <v>113</v>
      </c>
      <c r="AJ726" s="3" t="s">
        <v>48</v>
      </c>
      <c r="AK726" s="3" t="s">
        <v>199</v>
      </c>
      <c r="AL726" s="3" t="s">
        <v>59</v>
      </c>
      <c r="AM726" s="3" t="s">
        <v>115</v>
      </c>
      <c r="AN726" s="3" t="s">
        <v>61</v>
      </c>
      <c r="AO726" s="3" t="s">
        <v>62</v>
      </c>
      <c r="AP726" s="3" t="s">
        <v>69</v>
      </c>
      <c r="AQ726" s="3" t="s">
        <v>61</v>
      </c>
      <c r="AR726" s="3" t="s">
        <v>48</v>
      </c>
    </row>
    <row r="727" spans="1:44" ht="30" customHeight="1">
      <c r="A727" s="3" t="s">
        <v>44</v>
      </c>
      <c r="B727" s="3" t="s">
        <v>45</v>
      </c>
      <c r="C727" s="3" t="s">
        <v>46</v>
      </c>
      <c r="D727" s="3" t="s">
        <v>70</v>
      </c>
      <c r="E727" s="3" t="s">
        <v>48</v>
      </c>
      <c r="F727" s="3" t="s">
        <v>71</v>
      </c>
      <c r="G727" s="3" t="s">
        <v>1809</v>
      </c>
      <c r="H727" s="4">
        <f>IF(DATEDIF(L727,S727,"m")&gt;12,DATEDIF(L727,S727,"y"),(DATEDIF(L727,S727,"m")/12))</f>
        <v>10</v>
      </c>
      <c r="I727" s="7">
        <f>DATEDIF(L727,S727,"M")</f>
        <v>122</v>
      </c>
      <c r="J727" s="7">
        <f>DATEDIF(L727,S727,"D")</f>
        <v>3722</v>
      </c>
      <c r="K727" s="3" t="s">
        <v>51</v>
      </c>
      <c r="L727" s="8">
        <v>41275</v>
      </c>
      <c r="M727" s="3" t="s">
        <v>45</v>
      </c>
      <c r="N727" s="3" t="s">
        <v>159</v>
      </c>
      <c r="O727" s="3" t="s">
        <v>52</v>
      </c>
      <c r="P727" s="3" t="s">
        <v>287</v>
      </c>
      <c r="Q727" s="7">
        <v>1</v>
      </c>
      <c r="R727" s="8">
        <v>44998</v>
      </c>
      <c r="S727" s="8">
        <v>44997</v>
      </c>
      <c r="T727" s="3" t="s">
        <v>54</v>
      </c>
      <c r="U727" s="3" t="s">
        <v>55</v>
      </c>
      <c r="V727" s="9"/>
      <c r="W727" s="10">
        <v>44998</v>
      </c>
      <c r="X727" s="7">
        <v>0</v>
      </c>
      <c r="Y727" s="7">
        <v>1</v>
      </c>
      <c r="Z727" s="7">
        <v>3</v>
      </c>
      <c r="AA727" s="7">
        <f>INT((S727-DATE(YEAR(S727-WEEKDAY(S727-0)+4),1,4)+WEEKDAY(DATE(YEAR(S727-WEEKDAY(S727-0)+4),1,4))+6)/7)</f>
        <v>11</v>
      </c>
      <c r="AB727" s="3" t="s">
        <v>1810</v>
      </c>
      <c r="AC727" s="7">
        <v>726</v>
      </c>
      <c r="AD727" s="7">
        <v>0</v>
      </c>
      <c r="AE727" s="7">
        <v>1</v>
      </c>
      <c r="AF727" s="3" t="s">
        <v>48</v>
      </c>
      <c r="AG727" s="7">
        <v>2023</v>
      </c>
      <c r="AH727" s="3" t="s">
        <v>532</v>
      </c>
      <c r="AI727" s="3" t="s">
        <v>77</v>
      </c>
      <c r="AJ727" s="3" t="s">
        <v>78</v>
      </c>
      <c r="AK727" s="18" t="s">
        <v>162</v>
      </c>
      <c r="AL727" s="3" t="s">
        <v>59</v>
      </c>
      <c r="AM727" s="3" t="s">
        <v>60</v>
      </c>
      <c r="AN727" s="3" t="s">
        <v>61</v>
      </c>
      <c r="AO727" s="3" t="s">
        <v>62</v>
      </c>
      <c r="AP727" s="3" t="s">
        <v>69</v>
      </c>
      <c r="AQ727" s="3" t="s">
        <v>61</v>
      </c>
      <c r="AR727" s="3" t="s">
        <v>48</v>
      </c>
    </row>
    <row r="728" spans="1:44" ht="30" customHeight="1">
      <c r="A728" s="3" t="s">
        <v>44</v>
      </c>
      <c r="B728" s="3" t="s">
        <v>45</v>
      </c>
      <c r="C728" s="3" t="s">
        <v>46</v>
      </c>
      <c r="D728" s="3" t="s">
        <v>108</v>
      </c>
      <c r="E728" s="3" t="s">
        <v>48</v>
      </c>
      <c r="F728" s="3" t="s">
        <v>108</v>
      </c>
      <c r="G728" s="3" t="s">
        <v>955</v>
      </c>
      <c r="H728" s="4">
        <f>IF(DATEDIF(L728,S728,"m")&gt;12,DATEDIF(L728,S728,"y"),(DATEDIF(L728,S728,"m")/12))</f>
        <v>11</v>
      </c>
      <c r="I728" s="7">
        <f>DATEDIF(L728,S728,"M")</f>
        <v>138</v>
      </c>
      <c r="J728" s="7">
        <f>DATEDIF(L728,S728,"D")</f>
        <v>4215</v>
      </c>
      <c r="K728" s="3" t="s">
        <v>64</v>
      </c>
      <c r="L728" s="8">
        <v>40746</v>
      </c>
      <c r="M728" s="3" t="s">
        <v>45</v>
      </c>
      <c r="N728" s="3" t="s">
        <v>73</v>
      </c>
      <c r="O728" s="3" t="s">
        <v>52</v>
      </c>
      <c r="P728" s="3" t="s">
        <v>142</v>
      </c>
      <c r="Q728" s="7">
        <v>0</v>
      </c>
      <c r="R728" s="8">
        <v>44964</v>
      </c>
      <c r="S728" s="8">
        <v>44961</v>
      </c>
      <c r="T728" s="3" t="s">
        <v>54</v>
      </c>
      <c r="U728" s="3" t="s">
        <v>55</v>
      </c>
      <c r="V728" s="9"/>
      <c r="W728" s="10">
        <v>44971</v>
      </c>
      <c r="X728" s="7">
        <v>7</v>
      </c>
      <c r="Y728" s="7">
        <v>3</v>
      </c>
      <c r="Z728" s="7">
        <v>2</v>
      </c>
      <c r="AA728" s="7">
        <f>INT((S728-DATE(YEAR(S728-WEEKDAY(S728-0)+4),1,4)+WEEKDAY(DATE(YEAR(S728-WEEKDAY(S728-0)+4),1,4))+6)/7)</f>
        <v>5</v>
      </c>
      <c r="AB728" s="3" t="s">
        <v>956</v>
      </c>
      <c r="AC728" s="7">
        <v>231</v>
      </c>
      <c r="AD728" s="7">
        <v>0</v>
      </c>
      <c r="AE728" s="7">
        <v>0</v>
      </c>
      <c r="AF728" s="3" t="s">
        <v>48</v>
      </c>
      <c r="AG728" s="7">
        <v>2023</v>
      </c>
      <c r="AH728" s="3" t="s">
        <v>112</v>
      </c>
      <c r="AI728" s="3" t="s">
        <v>113</v>
      </c>
      <c r="AJ728" s="3" t="s">
        <v>48</v>
      </c>
      <c r="AK728" s="3" t="s">
        <v>199</v>
      </c>
      <c r="AL728" s="3" t="s">
        <v>59</v>
      </c>
      <c r="AM728" s="3" t="s">
        <v>115</v>
      </c>
      <c r="AN728" s="3" t="s">
        <v>61</v>
      </c>
      <c r="AO728" s="3" t="s">
        <v>62</v>
      </c>
      <c r="AP728" s="3" t="s">
        <v>69</v>
      </c>
      <c r="AQ728" s="3" t="s">
        <v>61</v>
      </c>
      <c r="AR728" s="3" t="s">
        <v>48</v>
      </c>
    </row>
    <row r="729" spans="1:44" ht="30" customHeight="1">
      <c r="A729" s="3" t="s">
        <v>44</v>
      </c>
      <c r="B729" s="3" t="s">
        <v>45</v>
      </c>
      <c r="C729" s="3" t="s">
        <v>46</v>
      </c>
      <c r="D729" s="3" t="s">
        <v>186</v>
      </c>
      <c r="E729" s="3" t="s">
        <v>48</v>
      </c>
      <c r="F729" s="3" t="s">
        <v>271</v>
      </c>
      <c r="G729" s="3" t="s">
        <v>1859</v>
      </c>
      <c r="H729" s="4">
        <f>IF(DATEDIF(L729,S729,"m")&gt;12,DATEDIF(L729,S729,"y"),(DATEDIF(L729,S729,"m")/12))</f>
        <v>9</v>
      </c>
      <c r="I729" s="7">
        <f>DATEDIF(L729,S729,"M")</f>
        <v>116</v>
      </c>
      <c r="J729" s="7">
        <f>DATEDIF(L729,S729,"D")</f>
        <v>3536</v>
      </c>
      <c r="K729" s="3" t="s">
        <v>51</v>
      </c>
      <c r="L729" s="8">
        <v>41460</v>
      </c>
      <c r="M729" s="3" t="s">
        <v>45</v>
      </c>
      <c r="N729" s="3" t="s">
        <v>187</v>
      </c>
      <c r="O729" s="3" t="s">
        <v>52</v>
      </c>
      <c r="P729" s="3" t="s">
        <v>1860</v>
      </c>
      <c r="Q729" s="7">
        <v>0</v>
      </c>
      <c r="R729" s="8">
        <v>44996</v>
      </c>
      <c r="S729" s="8">
        <v>44996</v>
      </c>
      <c r="T729" s="3" t="s">
        <v>54</v>
      </c>
      <c r="U729" s="3" t="s">
        <v>55</v>
      </c>
      <c r="V729" s="9"/>
      <c r="W729" s="10">
        <v>44998</v>
      </c>
      <c r="X729" s="7">
        <v>2</v>
      </c>
      <c r="Y729" s="7">
        <v>0</v>
      </c>
      <c r="Z729" s="7">
        <v>3</v>
      </c>
      <c r="AA729" s="7">
        <f>INT((S729-DATE(YEAR(S729-WEEKDAY(S729-0)+4),1,4)+WEEKDAY(DATE(YEAR(S729-WEEKDAY(S729-0)+4),1,4))+6)/7)</f>
        <v>10</v>
      </c>
      <c r="AB729" s="3" t="s">
        <v>1861</v>
      </c>
      <c r="AC729" s="7">
        <v>128</v>
      </c>
      <c r="AD729" s="7">
        <v>0</v>
      </c>
      <c r="AE729" s="7">
        <v>0</v>
      </c>
      <c r="AF729" s="3" t="s">
        <v>48</v>
      </c>
      <c r="AG729" s="7">
        <v>2023</v>
      </c>
      <c r="AH729" s="3" t="s">
        <v>276</v>
      </c>
      <c r="AI729" s="3" t="s">
        <v>191</v>
      </c>
      <c r="AJ729" s="3" t="s">
        <v>186</v>
      </c>
      <c r="AK729" s="3" t="s">
        <v>192</v>
      </c>
      <c r="AL729" s="3" t="s">
        <v>59</v>
      </c>
      <c r="AM729" s="3" t="s">
        <v>60</v>
      </c>
      <c r="AN729" s="3" t="s">
        <v>61</v>
      </c>
      <c r="AO729" s="3" t="s">
        <v>62</v>
      </c>
      <c r="AP729" s="3" t="s">
        <v>69</v>
      </c>
      <c r="AQ729" s="3" t="s">
        <v>61</v>
      </c>
      <c r="AR729" s="3" t="s">
        <v>48</v>
      </c>
    </row>
    <row r="730" spans="1:44" ht="30" customHeight="1">
      <c r="A730" s="3" t="s">
        <v>44</v>
      </c>
      <c r="B730" s="3" t="s">
        <v>45</v>
      </c>
      <c r="C730" s="3" t="s">
        <v>80</v>
      </c>
      <c r="D730" s="3" t="s">
        <v>81</v>
      </c>
      <c r="E730" s="3" t="s">
        <v>48</v>
      </c>
      <c r="F730" s="3" t="s">
        <v>81</v>
      </c>
      <c r="G730" s="3" t="s">
        <v>1871</v>
      </c>
      <c r="H730" s="5">
        <f>IF(DATEDIF(L730,S730,"m")&gt;12,DATEDIF(L730,S730,"y"),(DATEDIF(L730,S730,"m")/12))</f>
        <v>0.5</v>
      </c>
      <c r="I730" s="7">
        <f>DATEDIF(L730,S730,"M")</f>
        <v>6</v>
      </c>
      <c r="J730" s="7">
        <f>DATEDIF(L730,S730,"D")</f>
        <v>199</v>
      </c>
      <c r="K730" s="3" t="s">
        <v>51</v>
      </c>
      <c r="L730" s="8">
        <v>44791</v>
      </c>
      <c r="M730" s="3" t="s">
        <v>45</v>
      </c>
      <c r="N730" s="3" t="s">
        <v>83</v>
      </c>
      <c r="O730" s="3" t="s">
        <v>52</v>
      </c>
      <c r="P730" s="3" t="s">
        <v>1872</v>
      </c>
      <c r="Q730" s="7">
        <v>1</v>
      </c>
      <c r="R730" s="8">
        <v>44990</v>
      </c>
      <c r="S730" s="8">
        <v>44990</v>
      </c>
      <c r="T730" s="3" t="s">
        <v>54</v>
      </c>
      <c r="U730" s="3" t="s">
        <v>55</v>
      </c>
      <c r="V730" s="9"/>
      <c r="W730" s="10">
        <v>44998</v>
      </c>
      <c r="X730" s="7">
        <v>8</v>
      </c>
      <c r="Y730" s="7">
        <v>0</v>
      </c>
      <c r="Z730" s="7">
        <v>3</v>
      </c>
      <c r="AA730" s="7">
        <f>INT((S730-DATE(YEAR(S730-WEEKDAY(S730-0)+4),1,4)+WEEKDAY(DATE(YEAR(S730-WEEKDAY(S730-0)+4),1,4))+6)/7)</f>
        <v>10</v>
      </c>
      <c r="AB730" s="3" t="s">
        <v>1873</v>
      </c>
      <c r="AC730" s="7">
        <v>14071</v>
      </c>
      <c r="AD730" s="7">
        <v>0</v>
      </c>
      <c r="AE730" s="7">
        <v>0</v>
      </c>
      <c r="AF730" s="3" t="s">
        <v>48</v>
      </c>
      <c r="AG730" s="7">
        <v>2023</v>
      </c>
      <c r="AH730" s="3" t="s">
        <v>86</v>
      </c>
      <c r="AI730" s="3" t="s">
        <v>48</v>
      </c>
      <c r="AJ730" s="3" t="s">
        <v>48</v>
      </c>
      <c r="AK730" s="3" t="s">
        <v>162</v>
      </c>
      <c r="AL730" s="3" t="s">
        <v>59</v>
      </c>
      <c r="AM730" s="3" t="s">
        <v>60</v>
      </c>
      <c r="AN730" s="3" t="s">
        <v>69</v>
      </c>
      <c r="AO730" s="3" t="s">
        <v>62</v>
      </c>
      <c r="AP730" s="3" t="s">
        <v>69</v>
      </c>
      <c r="AQ730" s="3" t="s">
        <v>61</v>
      </c>
      <c r="AR730" s="3" t="s">
        <v>48</v>
      </c>
    </row>
    <row r="731" spans="1:44" ht="30" customHeight="1">
      <c r="A731" s="3" t="s">
        <v>44</v>
      </c>
      <c r="B731" s="3" t="s">
        <v>45</v>
      </c>
      <c r="C731" s="3" t="s">
        <v>46</v>
      </c>
      <c r="D731" s="3" t="s">
        <v>108</v>
      </c>
      <c r="E731" s="3" t="s">
        <v>48</v>
      </c>
      <c r="F731" s="3" t="s">
        <v>108</v>
      </c>
      <c r="G731" s="3" t="s">
        <v>959</v>
      </c>
      <c r="H731" s="4">
        <f>IF(DATEDIF(L731,S731,"m")&gt;12,DATEDIF(L731,S731,"y"),(DATEDIF(L731,S731,"m")/12))</f>
        <v>2</v>
      </c>
      <c r="I731" s="7">
        <f>DATEDIF(L731,S731,"M")</f>
        <v>27</v>
      </c>
      <c r="J731" s="7">
        <f>DATEDIF(L731,S731,"D")</f>
        <v>834</v>
      </c>
      <c r="K731" s="3" t="s">
        <v>64</v>
      </c>
      <c r="L731" s="8">
        <v>44124</v>
      </c>
      <c r="M731" s="3" t="s">
        <v>45</v>
      </c>
      <c r="N731" s="3" t="s">
        <v>73</v>
      </c>
      <c r="O731" s="3" t="s">
        <v>52</v>
      </c>
      <c r="P731" s="3" t="s">
        <v>103</v>
      </c>
      <c r="Q731" s="7">
        <v>0</v>
      </c>
      <c r="R731" s="8">
        <v>44964</v>
      </c>
      <c r="S731" s="8">
        <v>44958</v>
      </c>
      <c r="T731" s="3" t="s">
        <v>54</v>
      </c>
      <c r="U731" s="3" t="s">
        <v>55</v>
      </c>
      <c r="V731" s="9"/>
      <c r="W731" s="10">
        <v>44971</v>
      </c>
      <c r="X731" s="7">
        <v>7</v>
      </c>
      <c r="Y731" s="7">
        <v>6</v>
      </c>
      <c r="Z731" s="7">
        <v>2</v>
      </c>
      <c r="AA731" s="7">
        <f>INT((S731-DATE(YEAR(S731-WEEKDAY(S731-0)+4),1,4)+WEEKDAY(DATE(YEAR(S731-WEEKDAY(S731-0)+4),1,4))+6)/7)</f>
        <v>5</v>
      </c>
      <c r="AB731" s="3" t="s">
        <v>960</v>
      </c>
      <c r="AC731" s="7">
        <v>232</v>
      </c>
      <c r="AD731" s="7">
        <v>0</v>
      </c>
      <c r="AE731" s="7">
        <v>0</v>
      </c>
      <c r="AF731" s="3" t="s">
        <v>48</v>
      </c>
      <c r="AG731" s="7">
        <v>2023</v>
      </c>
      <c r="AH731" s="3" t="s">
        <v>112</v>
      </c>
      <c r="AI731" s="3" t="s">
        <v>113</v>
      </c>
      <c r="AJ731" s="3" t="s">
        <v>48</v>
      </c>
      <c r="AK731" s="3" t="s">
        <v>199</v>
      </c>
      <c r="AL731" s="3" t="s">
        <v>59</v>
      </c>
      <c r="AM731" s="3" t="s">
        <v>115</v>
      </c>
      <c r="AN731" s="3" t="s">
        <v>61</v>
      </c>
      <c r="AO731" s="3" t="s">
        <v>62</v>
      </c>
      <c r="AP731" s="3" t="s">
        <v>69</v>
      </c>
      <c r="AQ731" s="3" t="s">
        <v>61</v>
      </c>
      <c r="AR731" s="3" t="s">
        <v>48</v>
      </c>
    </row>
    <row r="732" spans="1:44" ht="30" customHeight="1">
      <c r="A732" s="3" t="s">
        <v>44</v>
      </c>
      <c r="B732" s="3" t="s">
        <v>45</v>
      </c>
      <c r="C732" s="3" t="s">
        <v>46</v>
      </c>
      <c r="D732" s="3" t="s">
        <v>108</v>
      </c>
      <c r="E732" s="3" t="s">
        <v>48</v>
      </c>
      <c r="F732" s="3" t="s">
        <v>108</v>
      </c>
      <c r="G732" s="3" t="s">
        <v>1529</v>
      </c>
      <c r="H732" s="5">
        <f>IF(DATEDIF(L732,S732,"m")&gt;12,DATEDIF(L732,S732,"y"),(DATEDIF(L732,S732,"m")/12))</f>
        <v>8.3333333333333329E-2</v>
      </c>
      <c r="I732" s="7">
        <f>DATEDIF(L732,S732,"M")</f>
        <v>1</v>
      </c>
      <c r="J732" s="7">
        <f>DATEDIF(L732,S732,"D")</f>
        <v>32</v>
      </c>
      <c r="K732" s="3" t="s">
        <v>51</v>
      </c>
      <c r="L732" s="8">
        <v>44928</v>
      </c>
      <c r="M732" s="3" t="s">
        <v>45</v>
      </c>
      <c r="N732" s="3" t="s">
        <v>73</v>
      </c>
      <c r="O732" s="3" t="s">
        <v>52</v>
      </c>
      <c r="P732" s="3" t="s">
        <v>169</v>
      </c>
      <c r="Q732" s="7">
        <v>0</v>
      </c>
      <c r="R732" s="8">
        <v>44961</v>
      </c>
      <c r="S732" s="8">
        <v>44960</v>
      </c>
      <c r="T732" s="3" t="s">
        <v>54</v>
      </c>
      <c r="U732" s="3" t="s">
        <v>55</v>
      </c>
      <c r="V732" s="9"/>
      <c r="W732" s="10">
        <v>44971</v>
      </c>
      <c r="X732" s="7">
        <v>10</v>
      </c>
      <c r="Y732" s="7">
        <v>1</v>
      </c>
      <c r="Z732" s="7">
        <v>2</v>
      </c>
      <c r="AA732" s="7">
        <f>INT((S732-DATE(YEAR(S732-WEEKDAY(S732-0)+4),1,4)+WEEKDAY(DATE(YEAR(S732-WEEKDAY(S732-0)+4),1,4))+6)/7)</f>
        <v>5</v>
      </c>
      <c r="AB732" s="3" t="s">
        <v>1530</v>
      </c>
      <c r="AC732" s="7">
        <v>213</v>
      </c>
      <c r="AD732" s="7">
        <v>0</v>
      </c>
      <c r="AE732" s="7">
        <v>0</v>
      </c>
      <c r="AF732" s="3" t="s">
        <v>48</v>
      </c>
      <c r="AG732" s="7">
        <v>2023</v>
      </c>
      <c r="AH732" s="3" t="s">
        <v>112</v>
      </c>
      <c r="AI732" s="3" t="s">
        <v>113</v>
      </c>
      <c r="AJ732" s="3" t="s">
        <v>48</v>
      </c>
      <c r="AK732" s="3" t="s">
        <v>199</v>
      </c>
      <c r="AL732" s="3" t="s">
        <v>59</v>
      </c>
      <c r="AM732" s="3" t="s">
        <v>115</v>
      </c>
      <c r="AN732" s="3" t="s">
        <v>61</v>
      </c>
      <c r="AO732" s="3" t="s">
        <v>62</v>
      </c>
      <c r="AP732" s="3" t="s">
        <v>69</v>
      </c>
      <c r="AQ732" s="3" t="s">
        <v>61</v>
      </c>
      <c r="AR732" s="3" t="s">
        <v>48</v>
      </c>
    </row>
    <row r="733" spans="1:44" ht="30" customHeight="1">
      <c r="A733" s="3" t="s">
        <v>44</v>
      </c>
      <c r="B733" s="3" t="s">
        <v>45</v>
      </c>
      <c r="C733" s="3" t="s">
        <v>46</v>
      </c>
      <c r="D733" s="3" t="s">
        <v>186</v>
      </c>
      <c r="E733" s="3" t="s">
        <v>48</v>
      </c>
      <c r="F733" s="3" t="s">
        <v>271</v>
      </c>
      <c r="G733" s="3" t="s">
        <v>1949</v>
      </c>
      <c r="H733" s="5">
        <f>IF(DATEDIF(L733,S733,"m")&gt;12,DATEDIF(L733,S733,"y"),(DATEDIF(L733,S733,"m")/12))</f>
        <v>0.33333333333333331</v>
      </c>
      <c r="I733" s="7">
        <f>DATEDIF(L733,S733,"M")</f>
        <v>4</v>
      </c>
      <c r="J733" s="7">
        <f>DATEDIF(L733,S733,"D")</f>
        <v>122</v>
      </c>
      <c r="K733" s="3" t="s">
        <v>64</v>
      </c>
      <c r="L733" s="8">
        <v>44871</v>
      </c>
      <c r="M733" s="3" t="s">
        <v>45</v>
      </c>
      <c r="N733" s="3" t="s">
        <v>187</v>
      </c>
      <c r="O733" s="3" t="s">
        <v>52</v>
      </c>
      <c r="P733" s="3" t="s">
        <v>258</v>
      </c>
      <c r="Q733" s="7">
        <v>0</v>
      </c>
      <c r="R733" s="8">
        <v>44995</v>
      </c>
      <c r="S733" s="8">
        <v>44993</v>
      </c>
      <c r="T733" s="3" t="s">
        <v>54</v>
      </c>
      <c r="U733" s="3" t="s">
        <v>55</v>
      </c>
      <c r="V733" s="9"/>
      <c r="W733" s="10">
        <v>44998</v>
      </c>
      <c r="X733" s="7">
        <v>3</v>
      </c>
      <c r="Y733" s="7">
        <v>2</v>
      </c>
      <c r="Z733" s="7">
        <v>3</v>
      </c>
      <c r="AA733" s="7">
        <f>INT((S733-DATE(YEAR(S733-WEEKDAY(S733-0)+4),1,4)+WEEKDAY(DATE(YEAR(S733-WEEKDAY(S733-0)+4),1,4))+6)/7)</f>
        <v>10</v>
      </c>
      <c r="AB733" s="3" t="s">
        <v>1950</v>
      </c>
      <c r="AC733" s="7">
        <v>129</v>
      </c>
      <c r="AD733" s="7">
        <v>0</v>
      </c>
      <c r="AE733" s="7">
        <v>0</v>
      </c>
      <c r="AF733" s="3" t="s">
        <v>48</v>
      </c>
      <c r="AG733" s="7">
        <v>2023</v>
      </c>
      <c r="AH733" s="18" t="s">
        <v>276</v>
      </c>
      <c r="AI733" s="3" t="s">
        <v>191</v>
      </c>
      <c r="AJ733" s="3" t="s">
        <v>186</v>
      </c>
      <c r="AK733" s="3" t="s">
        <v>260</v>
      </c>
      <c r="AL733" s="3" t="s">
        <v>59</v>
      </c>
      <c r="AM733" s="3" t="s">
        <v>60</v>
      </c>
      <c r="AN733" s="3" t="s">
        <v>61</v>
      </c>
      <c r="AO733" s="3" t="s">
        <v>62</v>
      </c>
      <c r="AP733" s="3" t="s">
        <v>69</v>
      </c>
      <c r="AQ733" s="3" t="s">
        <v>61</v>
      </c>
      <c r="AR733" s="3" t="s">
        <v>48</v>
      </c>
    </row>
    <row r="734" spans="1:44" ht="30" customHeight="1">
      <c r="A734" s="3" t="s">
        <v>44</v>
      </c>
      <c r="B734" s="3" t="s">
        <v>45</v>
      </c>
      <c r="C734" s="3" t="s">
        <v>46</v>
      </c>
      <c r="D734" s="3" t="s">
        <v>108</v>
      </c>
      <c r="E734" s="3" t="s">
        <v>48</v>
      </c>
      <c r="F734" s="3" t="s">
        <v>108</v>
      </c>
      <c r="G734" s="3" t="s">
        <v>1633</v>
      </c>
      <c r="H734" s="4">
        <f>IF(DATEDIF(L734,S734,"m")&gt;12,DATEDIF(L734,S734,"y"),(DATEDIF(L734,S734,"m")/12))</f>
        <v>8</v>
      </c>
      <c r="I734" s="7">
        <f>DATEDIF(L734,S734,"M")</f>
        <v>97</v>
      </c>
      <c r="J734" s="7">
        <f>DATEDIF(L734,S734,"D")</f>
        <v>2978</v>
      </c>
      <c r="K734" s="3" t="s">
        <v>51</v>
      </c>
      <c r="L734" s="8">
        <v>41987</v>
      </c>
      <c r="M734" s="3" t="s">
        <v>45</v>
      </c>
      <c r="N734" s="3" t="s">
        <v>73</v>
      </c>
      <c r="O734" s="3" t="s">
        <v>52</v>
      </c>
      <c r="P734" s="3" t="s">
        <v>142</v>
      </c>
      <c r="Q734" s="7">
        <v>0</v>
      </c>
      <c r="R734" s="8">
        <v>44967</v>
      </c>
      <c r="S734" s="8">
        <v>44965</v>
      </c>
      <c r="T734" s="3" t="s">
        <v>54</v>
      </c>
      <c r="U734" s="3" t="s">
        <v>55</v>
      </c>
      <c r="V734" s="9"/>
      <c r="W734" s="10">
        <v>44971</v>
      </c>
      <c r="X734" s="7">
        <v>4</v>
      </c>
      <c r="Y734" s="7">
        <v>2</v>
      </c>
      <c r="Z734" s="7">
        <v>2</v>
      </c>
      <c r="AA734" s="7">
        <f>INT((S734-DATE(YEAR(S734-WEEKDAY(S734-0)+4),1,4)+WEEKDAY(DATE(YEAR(S734-WEEKDAY(S734-0)+4),1,4))+6)/7)</f>
        <v>6</v>
      </c>
      <c r="AB734" s="3" t="s">
        <v>1634</v>
      </c>
      <c r="AC734" s="7">
        <v>255</v>
      </c>
      <c r="AD734" s="7">
        <v>0</v>
      </c>
      <c r="AE734" s="7">
        <v>0</v>
      </c>
      <c r="AF734" s="3" t="s">
        <v>48</v>
      </c>
      <c r="AG734" s="7">
        <v>2023</v>
      </c>
      <c r="AH734" s="3" t="s">
        <v>112</v>
      </c>
      <c r="AI734" s="3" t="s">
        <v>113</v>
      </c>
      <c r="AJ734" s="3" t="s">
        <v>48</v>
      </c>
      <c r="AK734" s="3" t="s">
        <v>199</v>
      </c>
      <c r="AL734" s="3" t="s">
        <v>59</v>
      </c>
      <c r="AM734" s="3" t="s">
        <v>115</v>
      </c>
      <c r="AN734" s="3" t="s">
        <v>61</v>
      </c>
      <c r="AO734" s="3" t="s">
        <v>62</v>
      </c>
      <c r="AP734" s="3" t="s">
        <v>69</v>
      </c>
      <c r="AQ734" s="3" t="s">
        <v>61</v>
      </c>
      <c r="AR734" s="3" t="s">
        <v>48</v>
      </c>
    </row>
    <row r="735" spans="1:44" ht="30" customHeight="1">
      <c r="A735" s="3" t="s">
        <v>44</v>
      </c>
      <c r="B735" s="3" t="s">
        <v>45</v>
      </c>
      <c r="C735" s="3" t="s">
        <v>46</v>
      </c>
      <c r="D735" s="3" t="s">
        <v>70</v>
      </c>
      <c r="E735" s="3" t="s">
        <v>48</v>
      </c>
      <c r="F735" s="3" t="s">
        <v>71</v>
      </c>
      <c r="G735" s="3" t="s">
        <v>2005</v>
      </c>
      <c r="H735" s="4">
        <f>IF(DATEDIF(L735,S735,"m")&gt;12,DATEDIF(L735,S735,"y"),(DATEDIF(L735,S735,"m")/12))</f>
        <v>5</v>
      </c>
      <c r="I735" s="7">
        <f>DATEDIF(L735,S735,"M")</f>
        <v>63</v>
      </c>
      <c r="J735" s="7">
        <f>DATEDIF(L735,S735,"D")</f>
        <v>1929</v>
      </c>
      <c r="K735" s="3" t="s">
        <v>64</v>
      </c>
      <c r="L735" s="8">
        <v>43066</v>
      </c>
      <c r="M735" s="3" t="s">
        <v>45</v>
      </c>
      <c r="N735" s="3" t="s">
        <v>159</v>
      </c>
      <c r="O735" s="3" t="s">
        <v>52</v>
      </c>
      <c r="P735" s="3" t="s">
        <v>685</v>
      </c>
      <c r="Q735" s="7">
        <v>1</v>
      </c>
      <c r="R735" s="8">
        <v>44996</v>
      </c>
      <c r="S735" s="8">
        <v>44995</v>
      </c>
      <c r="T735" s="3" t="s">
        <v>54</v>
      </c>
      <c r="U735" s="3" t="s">
        <v>55</v>
      </c>
      <c r="V735" s="9"/>
      <c r="W735" s="10">
        <v>44998</v>
      </c>
      <c r="X735" s="7">
        <v>2</v>
      </c>
      <c r="Y735" s="7">
        <v>1</v>
      </c>
      <c r="Z735" s="7">
        <v>3</v>
      </c>
      <c r="AA735" s="7">
        <f>INT((S735-DATE(YEAR(S735-WEEKDAY(S735-0)+4),1,4)+WEEKDAY(DATE(YEAR(S735-WEEKDAY(S735-0)+4),1,4))+6)/7)</f>
        <v>10</v>
      </c>
      <c r="AB735" s="3" t="s">
        <v>2006</v>
      </c>
      <c r="AC735" s="7">
        <v>722</v>
      </c>
      <c r="AD735" s="7">
        <v>0</v>
      </c>
      <c r="AE735" s="7">
        <v>1</v>
      </c>
      <c r="AF735" s="3" t="s">
        <v>48</v>
      </c>
      <c r="AG735" s="7">
        <v>2023</v>
      </c>
      <c r="AH735" s="3" t="s">
        <v>76</v>
      </c>
      <c r="AI735" s="3" t="s">
        <v>166</v>
      </c>
      <c r="AJ735" s="3" t="s">
        <v>78</v>
      </c>
      <c r="AK735" s="3" t="s">
        <v>162</v>
      </c>
      <c r="AL735" s="3" t="s">
        <v>59</v>
      </c>
      <c r="AM735" s="3" t="s">
        <v>60</v>
      </c>
      <c r="AN735" s="3" t="s">
        <v>61</v>
      </c>
      <c r="AO735" s="3" t="s">
        <v>62</v>
      </c>
      <c r="AP735" s="3" t="s">
        <v>69</v>
      </c>
      <c r="AQ735" s="3" t="s">
        <v>61</v>
      </c>
      <c r="AR735" s="3" t="s">
        <v>48</v>
      </c>
    </row>
    <row r="736" spans="1:44" ht="30" customHeight="1">
      <c r="A736" s="3" t="s">
        <v>44</v>
      </c>
      <c r="B736" s="3" t="s">
        <v>45</v>
      </c>
      <c r="C736" s="3" t="s">
        <v>46</v>
      </c>
      <c r="D736" s="3" t="s">
        <v>108</v>
      </c>
      <c r="E736" s="3" t="s">
        <v>48</v>
      </c>
      <c r="F736" s="3" t="s">
        <v>108</v>
      </c>
      <c r="G736" s="3" t="s">
        <v>1635</v>
      </c>
      <c r="H736" s="4">
        <f>IF(DATEDIF(L736,S736,"m")&gt;12,DATEDIF(L736,S736,"y"),(DATEDIF(L736,S736,"m")/12))</f>
        <v>7</v>
      </c>
      <c r="I736" s="7">
        <f>DATEDIF(L736,S736,"M")</f>
        <v>84</v>
      </c>
      <c r="J736" s="7">
        <f>DATEDIF(L736,S736,"D")</f>
        <v>2567</v>
      </c>
      <c r="K736" s="3" t="s">
        <v>51</v>
      </c>
      <c r="L736" s="8">
        <v>42398</v>
      </c>
      <c r="M736" s="3" t="s">
        <v>45</v>
      </c>
      <c r="N736" s="3" t="s">
        <v>73</v>
      </c>
      <c r="O736" s="3" t="s">
        <v>52</v>
      </c>
      <c r="P736" s="3" t="s">
        <v>169</v>
      </c>
      <c r="Q736" s="7">
        <v>0</v>
      </c>
      <c r="R736" s="8">
        <v>44967</v>
      </c>
      <c r="S736" s="8">
        <v>44965</v>
      </c>
      <c r="T736" s="3" t="s">
        <v>54</v>
      </c>
      <c r="U736" s="3" t="s">
        <v>55</v>
      </c>
      <c r="V736" s="9"/>
      <c r="W736" s="10">
        <v>44971</v>
      </c>
      <c r="X736" s="7">
        <v>4</v>
      </c>
      <c r="Y736" s="7">
        <v>2</v>
      </c>
      <c r="Z736" s="7">
        <v>2</v>
      </c>
      <c r="AA736" s="7">
        <f>INT((S736-DATE(YEAR(S736-WEEKDAY(S736-0)+4),1,4)+WEEKDAY(DATE(YEAR(S736-WEEKDAY(S736-0)+4),1,4))+6)/7)</f>
        <v>6</v>
      </c>
      <c r="AB736" s="3" t="s">
        <v>1636</v>
      </c>
      <c r="AC736" s="7">
        <v>256</v>
      </c>
      <c r="AD736" s="7">
        <v>0</v>
      </c>
      <c r="AE736" s="7">
        <v>0</v>
      </c>
      <c r="AF736" s="3" t="s">
        <v>48</v>
      </c>
      <c r="AG736" s="7">
        <v>2023</v>
      </c>
      <c r="AH736" s="3" t="s">
        <v>112</v>
      </c>
      <c r="AI736" s="3" t="s">
        <v>113</v>
      </c>
      <c r="AJ736" s="3" t="s">
        <v>48</v>
      </c>
      <c r="AK736" s="3" t="s">
        <v>199</v>
      </c>
      <c r="AL736" s="3" t="s">
        <v>59</v>
      </c>
      <c r="AM736" s="3" t="s">
        <v>115</v>
      </c>
      <c r="AN736" s="3" t="s">
        <v>61</v>
      </c>
      <c r="AO736" s="3" t="s">
        <v>62</v>
      </c>
      <c r="AP736" s="3" t="s">
        <v>69</v>
      </c>
      <c r="AQ736" s="3" t="s">
        <v>61</v>
      </c>
      <c r="AR736" s="3" t="s">
        <v>48</v>
      </c>
    </row>
    <row r="737" spans="1:44" ht="30" customHeight="1">
      <c r="A737" s="3" t="s">
        <v>44</v>
      </c>
      <c r="B737" s="3" t="s">
        <v>45</v>
      </c>
      <c r="C737" s="3" t="s">
        <v>46</v>
      </c>
      <c r="D737" s="3" t="s">
        <v>200</v>
      </c>
      <c r="E737" s="3" t="s">
        <v>48</v>
      </c>
      <c r="F737" s="3" t="s">
        <v>201</v>
      </c>
      <c r="G737" s="3" t="s">
        <v>2294</v>
      </c>
      <c r="H737" s="4">
        <f>IF(DATEDIF(L737,S737,"m")&gt;12,DATEDIF(L737,S737,"y"),(DATEDIF(L737,S737,"m")/12))</f>
        <v>9</v>
      </c>
      <c r="I737" s="7">
        <f>DATEDIF(L737,S737,"M")</f>
        <v>112</v>
      </c>
      <c r="J737" s="7">
        <f>DATEDIF(L737,S737,"D")</f>
        <v>3409</v>
      </c>
      <c r="K737" s="3" t="s">
        <v>64</v>
      </c>
      <c r="L737" s="8">
        <v>41581</v>
      </c>
      <c r="M737" s="3" t="s">
        <v>45</v>
      </c>
      <c r="N737" s="3" t="s">
        <v>159</v>
      </c>
      <c r="O737" s="3" t="s">
        <v>52</v>
      </c>
      <c r="P737" s="3" t="s">
        <v>2295</v>
      </c>
      <c r="Q737" s="7">
        <v>1</v>
      </c>
      <c r="R737" s="8">
        <v>44992</v>
      </c>
      <c r="S737" s="8">
        <v>44990</v>
      </c>
      <c r="T737" s="3" t="s">
        <v>54</v>
      </c>
      <c r="U737" s="3" t="s">
        <v>55</v>
      </c>
      <c r="V737" s="9"/>
      <c r="W737" s="10">
        <v>44998</v>
      </c>
      <c r="X737" s="7">
        <v>6</v>
      </c>
      <c r="Y737" s="7">
        <v>2</v>
      </c>
      <c r="Z737" s="7">
        <v>3</v>
      </c>
      <c r="AA737" s="7">
        <f>INT((S737-DATE(YEAR(S737-WEEKDAY(S737-0)+4),1,4)+WEEKDAY(DATE(YEAR(S737-WEEKDAY(S737-0)+4),1,4))+6)/7)</f>
        <v>10</v>
      </c>
      <c r="AB737" s="3" t="s">
        <v>2296</v>
      </c>
      <c r="AC737" s="7">
        <v>17</v>
      </c>
      <c r="AD737" s="7">
        <v>0</v>
      </c>
      <c r="AE737" s="7">
        <v>0</v>
      </c>
      <c r="AF737" s="3" t="s">
        <v>48</v>
      </c>
      <c r="AG737" s="7">
        <v>2023</v>
      </c>
      <c r="AH737" s="12" t="s">
        <v>206</v>
      </c>
      <c r="AI737" s="3" t="s">
        <v>113</v>
      </c>
      <c r="AJ737" s="3" t="s">
        <v>208</v>
      </c>
      <c r="AK737" s="3" t="s">
        <v>162</v>
      </c>
      <c r="AL737" s="3" t="s">
        <v>59</v>
      </c>
      <c r="AM737" s="3" t="s">
        <v>99</v>
      </c>
      <c r="AN737" s="3" t="s">
        <v>61</v>
      </c>
      <c r="AO737" s="3" t="s">
        <v>62</v>
      </c>
      <c r="AP737" s="3" t="s">
        <v>69</v>
      </c>
      <c r="AQ737" s="3" t="s">
        <v>61</v>
      </c>
      <c r="AR737" s="3" t="s">
        <v>48</v>
      </c>
    </row>
    <row r="738" spans="1:44" ht="30" customHeight="1">
      <c r="A738" s="3" t="s">
        <v>44</v>
      </c>
      <c r="B738" s="3" t="s">
        <v>45</v>
      </c>
      <c r="C738" s="3" t="s">
        <v>46</v>
      </c>
      <c r="D738" s="3" t="s">
        <v>108</v>
      </c>
      <c r="E738" s="3" t="s">
        <v>48</v>
      </c>
      <c r="F738" s="3" t="s">
        <v>108</v>
      </c>
      <c r="G738" s="3" t="s">
        <v>1728</v>
      </c>
      <c r="H738" s="4">
        <f>IF(DATEDIF(L738,S738,"m")&gt;12,DATEDIF(L738,S738,"y"),(DATEDIF(L738,S738,"m")/12))</f>
        <v>2</v>
      </c>
      <c r="I738" s="7">
        <f>DATEDIF(L738,S738,"M")</f>
        <v>26</v>
      </c>
      <c r="J738" s="7">
        <f>DATEDIF(L738,S738,"D")</f>
        <v>806</v>
      </c>
      <c r="K738" s="3" t="s">
        <v>64</v>
      </c>
      <c r="L738" s="8">
        <v>44156</v>
      </c>
      <c r="M738" s="3" t="s">
        <v>45</v>
      </c>
      <c r="N738" s="3" t="s">
        <v>73</v>
      </c>
      <c r="O738" s="3" t="s">
        <v>52</v>
      </c>
      <c r="P738" s="3" t="s">
        <v>927</v>
      </c>
      <c r="Q738" s="7">
        <v>0</v>
      </c>
      <c r="R738" s="8">
        <v>44964</v>
      </c>
      <c r="S738" s="8">
        <v>44962</v>
      </c>
      <c r="T738" s="3" t="s">
        <v>54</v>
      </c>
      <c r="U738" s="3" t="s">
        <v>55</v>
      </c>
      <c r="V738" s="9"/>
      <c r="W738" s="10">
        <v>44971</v>
      </c>
      <c r="X738" s="7">
        <v>7</v>
      </c>
      <c r="Y738" s="7">
        <v>2</v>
      </c>
      <c r="Z738" s="7">
        <v>2</v>
      </c>
      <c r="AA738" s="7">
        <f>INT((S738-DATE(YEAR(S738-WEEKDAY(S738-0)+4),1,4)+WEEKDAY(DATE(YEAR(S738-WEEKDAY(S738-0)+4),1,4))+6)/7)</f>
        <v>6</v>
      </c>
      <c r="AB738" s="3" t="s">
        <v>1729</v>
      </c>
      <c r="AC738" s="7">
        <v>235</v>
      </c>
      <c r="AD738" s="7">
        <v>0</v>
      </c>
      <c r="AE738" s="7">
        <v>0</v>
      </c>
      <c r="AF738" s="3" t="s">
        <v>48</v>
      </c>
      <c r="AG738" s="7">
        <v>2023</v>
      </c>
      <c r="AH738" s="3" t="s">
        <v>112</v>
      </c>
      <c r="AI738" s="3" t="s">
        <v>113</v>
      </c>
      <c r="AJ738" s="3" t="s">
        <v>48</v>
      </c>
      <c r="AK738" s="3" t="s">
        <v>199</v>
      </c>
      <c r="AL738" s="3" t="s">
        <v>59</v>
      </c>
      <c r="AM738" s="3" t="s">
        <v>115</v>
      </c>
      <c r="AN738" s="3" t="s">
        <v>61</v>
      </c>
      <c r="AO738" s="3" t="s">
        <v>62</v>
      </c>
      <c r="AP738" s="3" t="s">
        <v>69</v>
      </c>
      <c r="AQ738" s="3" t="s">
        <v>61</v>
      </c>
      <c r="AR738" s="3" t="s">
        <v>48</v>
      </c>
    </row>
    <row r="739" spans="1:44" ht="30" customHeight="1">
      <c r="A739" s="3" t="s">
        <v>44</v>
      </c>
      <c r="B739" s="3" t="s">
        <v>45</v>
      </c>
      <c r="C739" s="3" t="s">
        <v>46</v>
      </c>
      <c r="D739" s="3" t="s">
        <v>70</v>
      </c>
      <c r="E739" s="3" t="s">
        <v>48</v>
      </c>
      <c r="F739" s="3" t="s">
        <v>71</v>
      </c>
      <c r="G739" s="3" t="s">
        <v>2320</v>
      </c>
      <c r="H739" s="5">
        <f>IF(DATEDIF(L739,S739,"m")&gt;12,DATEDIF(L739,S739,"y"),(DATEDIF(L739,S739,"m")/12))</f>
        <v>0.41666666666666669</v>
      </c>
      <c r="I739" s="7">
        <f>DATEDIF(L739,S739,"M")</f>
        <v>5</v>
      </c>
      <c r="J739" s="7">
        <f>DATEDIF(L739,S739,"D")</f>
        <v>174</v>
      </c>
      <c r="K739" s="3" t="s">
        <v>51</v>
      </c>
      <c r="L739" s="8">
        <v>44821</v>
      </c>
      <c r="M739" s="3" t="s">
        <v>45</v>
      </c>
      <c r="N739" s="3" t="s">
        <v>159</v>
      </c>
      <c r="O739" s="3" t="s">
        <v>52</v>
      </c>
      <c r="P739" s="3" t="s">
        <v>103</v>
      </c>
      <c r="Q739" s="7">
        <v>1</v>
      </c>
      <c r="R739" s="8">
        <v>44996</v>
      </c>
      <c r="S739" s="8">
        <v>44995</v>
      </c>
      <c r="T739" s="3" t="s">
        <v>54</v>
      </c>
      <c r="U739" s="3" t="s">
        <v>55</v>
      </c>
      <c r="V739" s="9"/>
      <c r="W739" s="10">
        <v>44998</v>
      </c>
      <c r="X739" s="7">
        <v>2</v>
      </c>
      <c r="Y739" s="7">
        <v>1</v>
      </c>
      <c r="Z739" s="7">
        <v>3</v>
      </c>
      <c r="AA739" s="7">
        <f>INT((S739-DATE(YEAR(S739-WEEKDAY(S739-0)+4),1,4)+WEEKDAY(DATE(YEAR(S739-WEEKDAY(S739-0)+4),1,4))+6)/7)</f>
        <v>10</v>
      </c>
      <c r="AB739" s="3" t="s">
        <v>2321</v>
      </c>
      <c r="AC739" s="7">
        <v>724</v>
      </c>
      <c r="AD739" s="7">
        <v>0</v>
      </c>
      <c r="AE739" s="7">
        <v>1</v>
      </c>
      <c r="AF739" s="3" t="s">
        <v>48</v>
      </c>
      <c r="AG739" s="7">
        <v>2023</v>
      </c>
      <c r="AH739" s="3" t="s">
        <v>76</v>
      </c>
      <c r="AI739" s="3" t="s">
        <v>77</v>
      </c>
      <c r="AJ739" s="3" t="s">
        <v>78</v>
      </c>
      <c r="AK739" s="3" t="s">
        <v>468</v>
      </c>
      <c r="AL739" s="3" t="s">
        <v>59</v>
      </c>
      <c r="AM739" s="3" t="s">
        <v>60</v>
      </c>
      <c r="AN739" s="3" t="s">
        <v>61</v>
      </c>
      <c r="AO739" s="3" t="s">
        <v>62</v>
      </c>
      <c r="AP739" s="3" t="s">
        <v>69</v>
      </c>
      <c r="AQ739" s="3" t="s">
        <v>61</v>
      </c>
      <c r="AR739" s="3" t="s">
        <v>48</v>
      </c>
    </row>
    <row r="740" spans="1:44" ht="30" customHeight="1">
      <c r="A740" s="3" t="s">
        <v>44</v>
      </c>
      <c r="B740" s="3" t="s">
        <v>45</v>
      </c>
      <c r="C740" s="3" t="s">
        <v>80</v>
      </c>
      <c r="D740" s="3" t="s">
        <v>81</v>
      </c>
      <c r="E740" s="3" t="s">
        <v>48</v>
      </c>
      <c r="F740" s="3" t="s">
        <v>81</v>
      </c>
      <c r="G740" s="3" t="s">
        <v>2335</v>
      </c>
      <c r="H740" s="4">
        <f>IF(DATEDIF(L740,S740,"m")&gt;12,DATEDIF(L740,S740,"y"),(DATEDIF(L740,S740,"m")/12))</f>
        <v>28</v>
      </c>
      <c r="I740" s="7">
        <f>DATEDIF(L740,S740,"M")</f>
        <v>337</v>
      </c>
      <c r="J740" s="7">
        <f>DATEDIF(L740,S740,"D")</f>
        <v>10276</v>
      </c>
      <c r="K740" s="3" t="s">
        <v>64</v>
      </c>
      <c r="L740" s="8">
        <v>34709</v>
      </c>
      <c r="M740" s="3" t="s">
        <v>45</v>
      </c>
      <c r="N740" s="3" t="s">
        <v>159</v>
      </c>
      <c r="O740" s="3" t="s">
        <v>52</v>
      </c>
      <c r="P740" s="3" t="s">
        <v>137</v>
      </c>
      <c r="Q740" s="7">
        <v>1</v>
      </c>
      <c r="R740" s="8">
        <v>44987</v>
      </c>
      <c r="S740" s="8">
        <v>44985</v>
      </c>
      <c r="T740" s="3" t="s">
        <v>54</v>
      </c>
      <c r="U740" s="3" t="s">
        <v>55</v>
      </c>
      <c r="V740" s="9"/>
      <c r="W740" s="10">
        <v>44998</v>
      </c>
      <c r="X740" s="7">
        <v>11</v>
      </c>
      <c r="Y740" s="7">
        <v>2</v>
      </c>
      <c r="Z740" s="7">
        <v>2</v>
      </c>
      <c r="AA740" s="7">
        <f>INT((S740-DATE(YEAR(S740-WEEKDAY(S740-0)+4),1,4)+WEEKDAY(DATE(YEAR(S740-WEEKDAY(S740-0)+4),1,4))+6)/7)</f>
        <v>9</v>
      </c>
      <c r="AB740" s="3" t="s">
        <v>2336</v>
      </c>
      <c r="AC740" s="7">
        <v>14065</v>
      </c>
      <c r="AD740" s="7">
        <v>0</v>
      </c>
      <c r="AE740" s="7">
        <v>0</v>
      </c>
      <c r="AF740" s="3" t="s">
        <v>48</v>
      </c>
      <c r="AG740" s="7">
        <v>2023</v>
      </c>
      <c r="AH740" s="3" t="s">
        <v>86</v>
      </c>
      <c r="AI740" s="3" t="s">
        <v>48</v>
      </c>
      <c r="AJ740" s="3" t="s">
        <v>48</v>
      </c>
      <c r="AK740" s="3" t="s">
        <v>162</v>
      </c>
      <c r="AL740" s="3" t="s">
        <v>59</v>
      </c>
      <c r="AM740" s="3" t="s">
        <v>60</v>
      </c>
      <c r="AN740" s="3" t="s">
        <v>69</v>
      </c>
      <c r="AO740" s="3" t="s">
        <v>62</v>
      </c>
      <c r="AP740" s="3" t="s">
        <v>69</v>
      </c>
      <c r="AQ740" s="3" t="s">
        <v>61</v>
      </c>
      <c r="AR740" s="3" t="s">
        <v>48</v>
      </c>
    </row>
    <row r="741" spans="1:44" ht="30" customHeight="1">
      <c r="A741" s="3" t="s">
        <v>44</v>
      </c>
      <c r="B741" s="3" t="s">
        <v>45</v>
      </c>
      <c r="C741" s="3" t="s">
        <v>80</v>
      </c>
      <c r="D741" s="3" t="s">
        <v>81</v>
      </c>
      <c r="E741" s="3" t="s">
        <v>48</v>
      </c>
      <c r="F741" s="3" t="s">
        <v>81</v>
      </c>
      <c r="G741" s="3" t="s">
        <v>2363</v>
      </c>
      <c r="H741" s="4">
        <f>IF(DATEDIF(L741,S741,"m")&gt;12,DATEDIF(L741,S741,"y"),(DATEDIF(L741,S741,"m")/12))</f>
        <v>4</v>
      </c>
      <c r="I741" s="7">
        <f>DATEDIF(L741,S741,"M")</f>
        <v>55</v>
      </c>
      <c r="J741" s="7">
        <f>DATEDIF(L741,S741,"D")</f>
        <v>1687</v>
      </c>
      <c r="K741" s="3" t="s">
        <v>64</v>
      </c>
      <c r="L741" s="8">
        <v>43301</v>
      </c>
      <c r="M741" s="3" t="s">
        <v>45</v>
      </c>
      <c r="N741" s="3" t="s">
        <v>65</v>
      </c>
      <c r="O741" s="3" t="s">
        <v>52</v>
      </c>
      <c r="P741" s="3" t="s">
        <v>2364</v>
      </c>
      <c r="Q741" s="7">
        <v>1</v>
      </c>
      <c r="R741" s="8">
        <v>44988</v>
      </c>
      <c r="S741" s="8">
        <v>44988</v>
      </c>
      <c r="T741" s="3" t="s">
        <v>54</v>
      </c>
      <c r="U741" s="3" t="s">
        <v>55</v>
      </c>
      <c r="V741" s="9"/>
      <c r="W741" s="10">
        <v>44998</v>
      </c>
      <c r="X741" s="7">
        <v>10</v>
      </c>
      <c r="Y741" s="7">
        <v>0</v>
      </c>
      <c r="Z741" s="7">
        <v>3</v>
      </c>
      <c r="AA741" s="7">
        <f>INT((S741-DATE(YEAR(S741-WEEKDAY(S741-0)+4),1,4)+WEEKDAY(DATE(YEAR(S741-WEEKDAY(S741-0)+4),1,4))+6)/7)</f>
        <v>9</v>
      </c>
      <c r="AB741" s="3" t="s">
        <v>2365</v>
      </c>
      <c r="AC741" s="7">
        <v>14067</v>
      </c>
      <c r="AD741" s="7">
        <v>0</v>
      </c>
      <c r="AE741" s="7">
        <v>0</v>
      </c>
      <c r="AF741" s="3" t="s">
        <v>48</v>
      </c>
      <c r="AG741" s="7">
        <v>2023</v>
      </c>
      <c r="AH741" s="3" t="s">
        <v>86</v>
      </c>
      <c r="AI741" s="3" t="s">
        <v>48</v>
      </c>
      <c r="AJ741" s="3" t="s">
        <v>48</v>
      </c>
      <c r="AK741" s="3" t="s">
        <v>162</v>
      </c>
      <c r="AL741" s="3" t="s">
        <v>59</v>
      </c>
      <c r="AM741" s="3" t="s">
        <v>60</v>
      </c>
      <c r="AN741" s="3" t="s">
        <v>69</v>
      </c>
      <c r="AO741" s="3" t="s">
        <v>62</v>
      </c>
      <c r="AP741" s="3" t="s">
        <v>69</v>
      </c>
      <c r="AQ741" s="3" t="s">
        <v>61</v>
      </c>
      <c r="AR741" s="3" t="s">
        <v>48</v>
      </c>
    </row>
    <row r="742" spans="1:44" ht="30" customHeight="1">
      <c r="A742" s="3" t="s">
        <v>44</v>
      </c>
      <c r="B742" s="3" t="s">
        <v>45</v>
      </c>
      <c r="C742" s="3" t="s">
        <v>46</v>
      </c>
      <c r="D742" s="3" t="s">
        <v>186</v>
      </c>
      <c r="E742" s="3" t="s">
        <v>48</v>
      </c>
      <c r="F742" s="3" t="s">
        <v>271</v>
      </c>
      <c r="G742" s="3" t="s">
        <v>2413</v>
      </c>
      <c r="H742" s="4">
        <f>IF(DATEDIF(L742,S742,"m")&gt;12,DATEDIF(L742,S742,"y"),(DATEDIF(L742,S742,"m")/12))</f>
        <v>3</v>
      </c>
      <c r="I742" s="7">
        <f>DATEDIF(L742,S742,"M")</f>
        <v>36</v>
      </c>
      <c r="J742" s="7">
        <f>DATEDIF(L742,S742,"D")</f>
        <v>1110</v>
      </c>
      <c r="K742" s="3" t="s">
        <v>51</v>
      </c>
      <c r="L742" s="8">
        <v>43880</v>
      </c>
      <c r="M742" s="3" t="s">
        <v>45</v>
      </c>
      <c r="N742" s="3" t="s">
        <v>65</v>
      </c>
      <c r="O742" s="3" t="s">
        <v>52</v>
      </c>
      <c r="P742" s="3" t="s">
        <v>84</v>
      </c>
      <c r="Q742" s="7">
        <v>1</v>
      </c>
      <c r="R742" s="8">
        <v>44991</v>
      </c>
      <c r="S742" s="8">
        <v>44990</v>
      </c>
      <c r="T742" s="3" t="s">
        <v>274</v>
      </c>
      <c r="U742" s="3" t="s">
        <v>55</v>
      </c>
      <c r="V742" s="9"/>
      <c r="W742" s="10">
        <v>44998</v>
      </c>
      <c r="X742" s="7">
        <v>7</v>
      </c>
      <c r="Y742" s="7">
        <v>1</v>
      </c>
      <c r="Z742" s="7">
        <v>3</v>
      </c>
      <c r="AA742" s="7">
        <f>INT((S742-DATE(YEAR(S742-WEEKDAY(S742-0)+4),1,4)+WEEKDAY(DATE(YEAR(S742-WEEKDAY(S742-0)+4),1,4))+6)/7)</f>
        <v>10</v>
      </c>
      <c r="AB742" s="3" t="s">
        <v>2414</v>
      </c>
      <c r="AC742" s="7">
        <v>130</v>
      </c>
      <c r="AD742" s="7">
        <v>0</v>
      </c>
      <c r="AE742" s="7">
        <v>0</v>
      </c>
      <c r="AF742" s="3" t="s">
        <v>48</v>
      </c>
      <c r="AG742" s="7">
        <v>2023</v>
      </c>
      <c r="AH742" s="3" t="s">
        <v>276</v>
      </c>
      <c r="AI742" s="3" t="s">
        <v>191</v>
      </c>
      <c r="AJ742" s="3" t="s">
        <v>186</v>
      </c>
      <c r="AK742" s="3" t="s">
        <v>1379</v>
      </c>
      <c r="AL742" s="3" t="s">
        <v>278</v>
      </c>
      <c r="AM742" s="3" t="s">
        <v>60</v>
      </c>
      <c r="AN742" s="3" t="s">
        <v>61</v>
      </c>
      <c r="AO742" s="3" t="s">
        <v>279</v>
      </c>
      <c r="AP742" s="3" t="s">
        <v>69</v>
      </c>
      <c r="AQ742" s="3" t="s">
        <v>61</v>
      </c>
      <c r="AR742" s="3" t="s">
        <v>48</v>
      </c>
    </row>
    <row r="743" spans="1:44" ht="30" customHeight="1">
      <c r="A743" s="3" t="s">
        <v>44</v>
      </c>
      <c r="B743" s="3" t="s">
        <v>45</v>
      </c>
      <c r="C743" s="3" t="s">
        <v>46</v>
      </c>
      <c r="D743" s="3" t="s">
        <v>100</v>
      </c>
      <c r="E743" s="3" t="s">
        <v>48</v>
      </c>
      <c r="F743" s="3" t="s">
        <v>48</v>
      </c>
      <c r="G743" s="3" t="s">
        <v>382</v>
      </c>
      <c r="H743" s="4">
        <f>IF(DATEDIF(L743,S743,"m")&gt;12,DATEDIF(L743,S743,"y"),(DATEDIF(L743,S743,"m")/12))</f>
        <v>62</v>
      </c>
      <c r="I743" s="7">
        <f>DATEDIF(L743,S743,"M")</f>
        <v>744</v>
      </c>
      <c r="J743" s="7">
        <f>DATEDIF(L743,S743,"D")</f>
        <v>22662</v>
      </c>
      <c r="K743" s="3" t="s">
        <v>51</v>
      </c>
      <c r="L743" s="8">
        <v>22320</v>
      </c>
      <c r="M743" s="3" t="s">
        <v>45</v>
      </c>
      <c r="N743" s="3" t="s">
        <v>101</v>
      </c>
      <c r="O743" s="3" t="s">
        <v>52</v>
      </c>
      <c r="P743" s="3" t="s">
        <v>176</v>
      </c>
      <c r="Q743" s="7">
        <v>1</v>
      </c>
      <c r="R743" s="8">
        <v>44988</v>
      </c>
      <c r="S743" s="8">
        <v>44982</v>
      </c>
      <c r="T743" s="3" t="s">
        <v>54</v>
      </c>
      <c r="U743" s="3" t="s">
        <v>55</v>
      </c>
      <c r="V743" s="9"/>
      <c r="W743" s="10">
        <v>44999</v>
      </c>
      <c r="X743" s="7">
        <v>11</v>
      </c>
      <c r="Y743" s="7">
        <v>6</v>
      </c>
      <c r="Z743" s="7">
        <v>2</v>
      </c>
      <c r="AA743" s="7">
        <f>INT((S743-DATE(YEAR(S743-WEEKDAY(S743-0)+4),1,4)+WEEKDAY(DATE(YEAR(S743-WEEKDAY(S743-0)+4),1,4))+6)/7)</f>
        <v>8</v>
      </c>
      <c r="AB743" s="3" t="s">
        <v>383</v>
      </c>
      <c r="AC743" s="7">
        <v>115</v>
      </c>
      <c r="AD743" s="7">
        <v>0</v>
      </c>
      <c r="AE743" s="7">
        <v>0</v>
      </c>
      <c r="AF743" s="3" t="s">
        <v>48</v>
      </c>
      <c r="AG743" s="7">
        <v>2023</v>
      </c>
      <c r="AH743" s="3" t="s">
        <v>223</v>
      </c>
      <c r="AI743" s="3" t="s">
        <v>106</v>
      </c>
      <c r="AJ743" s="3" t="s">
        <v>100</v>
      </c>
      <c r="AK743" s="3" t="s">
        <v>162</v>
      </c>
      <c r="AL743" s="3" t="s">
        <v>59</v>
      </c>
      <c r="AM743" s="3" t="s">
        <v>99</v>
      </c>
      <c r="AN743" s="3" t="s">
        <v>61</v>
      </c>
      <c r="AO743" s="3" t="s">
        <v>62</v>
      </c>
      <c r="AP743" s="3" t="s">
        <v>69</v>
      </c>
      <c r="AQ743" s="3" t="s">
        <v>61</v>
      </c>
      <c r="AR743" s="3" t="s">
        <v>48</v>
      </c>
    </row>
    <row r="744" spans="1:44" ht="30" customHeight="1">
      <c r="A744" s="3" t="s">
        <v>44</v>
      </c>
      <c r="B744" s="3" t="s">
        <v>45</v>
      </c>
      <c r="C744" s="3" t="s">
        <v>80</v>
      </c>
      <c r="D744" s="3" t="s">
        <v>93</v>
      </c>
      <c r="E744" s="3" t="s">
        <v>48</v>
      </c>
      <c r="F744" s="3" t="s">
        <v>94</v>
      </c>
      <c r="G744" s="3" t="s">
        <v>460</v>
      </c>
      <c r="H744" s="4">
        <f>IF(DATEDIF(L744,S744,"m")&gt;12,DATEDIF(L744,S744,"y"),(DATEDIF(L744,S744,"m")/12))</f>
        <v>1</v>
      </c>
      <c r="I744" s="7">
        <f>DATEDIF(L744,S744,"M")</f>
        <v>16</v>
      </c>
      <c r="J744" s="7">
        <f>DATEDIF(L744,S744,"D")</f>
        <v>494</v>
      </c>
      <c r="K744" s="3" t="s">
        <v>51</v>
      </c>
      <c r="L744" s="8">
        <v>44501</v>
      </c>
      <c r="M744" s="3" t="s">
        <v>45</v>
      </c>
      <c r="N744" s="3" t="s">
        <v>83</v>
      </c>
      <c r="O744" s="3" t="s">
        <v>52</v>
      </c>
      <c r="P744" s="3" t="s">
        <v>156</v>
      </c>
      <c r="Q744" s="7">
        <v>0</v>
      </c>
      <c r="R744" s="8">
        <v>44995</v>
      </c>
      <c r="S744" s="8">
        <v>44995</v>
      </c>
      <c r="T744" s="3" t="s">
        <v>54</v>
      </c>
      <c r="U744" s="3" t="s">
        <v>55</v>
      </c>
      <c r="V744" s="9"/>
      <c r="W744" s="10">
        <v>44999</v>
      </c>
      <c r="X744" s="7">
        <v>4</v>
      </c>
      <c r="Y744" s="7">
        <v>0</v>
      </c>
      <c r="Z744" s="7">
        <v>3</v>
      </c>
      <c r="AA744" s="7">
        <f>INT((S744-DATE(YEAR(S744-WEEKDAY(S744-0)+4),1,4)+WEEKDAY(DATE(YEAR(S744-WEEKDAY(S744-0)+4),1,4))+6)/7)</f>
        <v>10</v>
      </c>
      <c r="AB744" s="3" t="s">
        <v>461</v>
      </c>
      <c r="AC744" s="7">
        <v>714</v>
      </c>
      <c r="AD744" s="7">
        <v>0</v>
      </c>
      <c r="AE744" s="7">
        <v>0</v>
      </c>
      <c r="AF744" s="3" t="s">
        <v>48</v>
      </c>
      <c r="AG744" s="7">
        <v>2023</v>
      </c>
      <c r="AH744" s="3" t="s">
        <v>97</v>
      </c>
      <c r="AI744" s="3" t="s">
        <v>48</v>
      </c>
      <c r="AJ744" s="3" t="s">
        <v>48</v>
      </c>
      <c r="AK744" s="3" t="s">
        <v>216</v>
      </c>
      <c r="AL744" s="3" t="s">
        <v>59</v>
      </c>
      <c r="AM744" s="3" t="s">
        <v>99</v>
      </c>
      <c r="AN744" s="3" t="s">
        <v>61</v>
      </c>
      <c r="AO744" s="3" t="s">
        <v>48</v>
      </c>
      <c r="AP744" s="3" t="s">
        <v>69</v>
      </c>
      <c r="AQ744" s="3" t="s">
        <v>61</v>
      </c>
      <c r="AR744" s="3" t="s">
        <v>48</v>
      </c>
    </row>
    <row r="745" spans="1:44" ht="30" customHeight="1">
      <c r="A745" s="3" t="s">
        <v>44</v>
      </c>
      <c r="B745" s="3" t="s">
        <v>45</v>
      </c>
      <c r="C745" s="3" t="s">
        <v>46</v>
      </c>
      <c r="D745" s="3" t="s">
        <v>100</v>
      </c>
      <c r="E745" s="3" t="s">
        <v>48</v>
      </c>
      <c r="F745" s="3" t="s">
        <v>101</v>
      </c>
      <c r="G745" s="3" t="s">
        <v>568</v>
      </c>
      <c r="H745" s="4">
        <f>IF(DATEDIF(L745,S745,"m")&gt;12,DATEDIF(L745,S745,"y"),(DATEDIF(L745,S745,"m")/12))</f>
        <v>2</v>
      </c>
      <c r="I745" s="7">
        <f>DATEDIF(L745,S745,"M")</f>
        <v>30</v>
      </c>
      <c r="J745" s="7">
        <f>DATEDIF(L745,S745,"D")</f>
        <v>928</v>
      </c>
      <c r="K745" s="3" t="s">
        <v>64</v>
      </c>
      <c r="L745" s="8">
        <v>44063</v>
      </c>
      <c r="M745" s="3" t="s">
        <v>45</v>
      </c>
      <c r="N745" s="3" t="s">
        <v>101</v>
      </c>
      <c r="O745" s="3" t="s">
        <v>52</v>
      </c>
      <c r="P745" s="3" t="s">
        <v>91</v>
      </c>
      <c r="Q745" s="7">
        <v>0</v>
      </c>
      <c r="R745" s="8">
        <v>44994</v>
      </c>
      <c r="S745" s="8">
        <v>44991</v>
      </c>
      <c r="T745" s="3" t="s">
        <v>54</v>
      </c>
      <c r="U745" s="3" t="s">
        <v>55</v>
      </c>
      <c r="V745" s="9"/>
      <c r="W745" s="10">
        <v>44999</v>
      </c>
      <c r="X745" s="7">
        <v>5</v>
      </c>
      <c r="Y745" s="7">
        <v>3</v>
      </c>
      <c r="Z745" s="7">
        <v>3</v>
      </c>
      <c r="AA745" s="7">
        <f>INT((S745-DATE(YEAR(S745-WEEKDAY(S745-0)+4),1,4)+WEEKDAY(DATE(YEAR(S745-WEEKDAY(S745-0)+4),1,4))+6)/7)</f>
        <v>10</v>
      </c>
      <c r="AB745" s="3" t="s">
        <v>569</v>
      </c>
      <c r="AC745" s="7">
        <v>109</v>
      </c>
      <c r="AD745" s="7">
        <v>0</v>
      </c>
      <c r="AE745" s="7">
        <v>0</v>
      </c>
      <c r="AF745" s="3" t="s">
        <v>48</v>
      </c>
      <c r="AG745" s="7">
        <v>2023</v>
      </c>
      <c r="AH745" s="3" t="s">
        <v>105</v>
      </c>
      <c r="AI745" s="3" t="s">
        <v>106</v>
      </c>
      <c r="AJ745" s="3" t="s">
        <v>48</v>
      </c>
      <c r="AK745" s="3" t="s">
        <v>241</v>
      </c>
      <c r="AL745" s="3" t="s">
        <v>59</v>
      </c>
      <c r="AM745" s="3" t="s">
        <v>99</v>
      </c>
      <c r="AN745" s="3" t="s">
        <v>61</v>
      </c>
      <c r="AO745" s="3" t="s">
        <v>62</v>
      </c>
      <c r="AP745" s="3" t="s">
        <v>69</v>
      </c>
      <c r="AQ745" s="3" t="s">
        <v>61</v>
      </c>
      <c r="AR745" s="3" t="s">
        <v>48</v>
      </c>
    </row>
    <row r="746" spans="1:44" ht="30" customHeight="1">
      <c r="A746" s="3" t="s">
        <v>44</v>
      </c>
      <c r="B746" s="3" t="s">
        <v>45</v>
      </c>
      <c r="C746" s="3" t="s">
        <v>46</v>
      </c>
      <c r="D746" s="3" t="s">
        <v>100</v>
      </c>
      <c r="E746" s="3" t="s">
        <v>48</v>
      </c>
      <c r="F746" s="3" t="s">
        <v>101</v>
      </c>
      <c r="G746" s="3" t="s">
        <v>698</v>
      </c>
      <c r="H746" s="4">
        <f>IF(DATEDIF(L746,S746,"m")&gt;12,DATEDIF(L746,S746,"y"),(DATEDIF(L746,S746,"m")/12))</f>
        <v>3</v>
      </c>
      <c r="I746" s="7">
        <f>DATEDIF(L746,S746,"M")</f>
        <v>36</v>
      </c>
      <c r="J746" s="7">
        <f>DATEDIF(L746,S746,"D")</f>
        <v>1102</v>
      </c>
      <c r="K746" s="3" t="s">
        <v>64</v>
      </c>
      <c r="L746" s="8">
        <v>43889</v>
      </c>
      <c r="M746" s="3" t="s">
        <v>45</v>
      </c>
      <c r="N746" s="3" t="s">
        <v>101</v>
      </c>
      <c r="O746" s="3" t="s">
        <v>52</v>
      </c>
      <c r="P746" s="3" t="s">
        <v>169</v>
      </c>
      <c r="Q746" s="7">
        <v>0</v>
      </c>
      <c r="R746" s="8">
        <v>44993</v>
      </c>
      <c r="S746" s="8">
        <v>44991</v>
      </c>
      <c r="T746" s="3" t="s">
        <v>54</v>
      </c>
      <c r="U746" s="3" t="s">
        <v>55</v>
      </c>
      <c r="V746" s="9"/>
      <c r="W746" s="10">
        <v>44999</v>
      </c>
      <c r="X746" s="7">
        <v>6</v>
      </c>
      <c r="Y746" s="7">
        <v>2</v>
      </c>
      <c r="Z746" s="7">
        <v>3</v>
      </c>
      <c r="AA746" s="7">
        <f>INT((S746-DATE(YEAR(S746-WEEKDAY(S746-0)+4),1,4)+WEEKDAY(DATE(YEAR(S746-WEEKDAY(S746-0)+4),1,4))+6)/7)</f>
        <v>10</v>
      </c>
      <c r="AB746" s="3" t="s">
        <v>699</v>
      </c>
      <c r="AC746" s="7">
        <v>107</v>
      </c>
      <c r="AD746" s="7">
        <v>0</v>
      </c>
      <c r="AE746" s="7">
        <v>0</v>
      </c>
      <c r="AF746" s="3" t="s">
        <v>48</v>
      </c>
      <c r="AG746" s="7">
        <v>2023</v>
      </c>
      <c r="AH746" s="3" t="s">
        <v>105</v>
      </c>
      <c r="AI746" s="3" t="s">
        <v>106</v>
      </c>
      <c r="AJ746" s="3" t="s">
        <v>100</v>
      </c>
      <c r="AK746" s="3" t="s">
        <v>381</v>
      </c>
      <c r="AL746" s="3" t="s">
        <v>59</v>
      </c>
      <c r="AM746" s="3" t="s">
        <v>99</v>
      </c>
      <c r="AN746" s="3" t="s">
        <v>61</v>
      </c>
      <c r="AO746" s="3" t="s">
        <v>62</v>
      </c>
      <c r="AP746" s="3" t="s">
        <v>69</v>
      </c>
      <c r="AQ746" s="3" t="s">
        <v>61</v>
      </c>
      <c r="AR746" s="3" t="s">
        <v>48</v>
      </c>
    </row>
    <row r="747" spans="1:44" ht="30" customHeight="1">
      <c r="A747" s="3" t="s">
        <v>44</v>
      </c>
      <c r="B747" s="3" t="s">
        <v>45</v>
      </c>
      <c r="C747" s="3" t="s">
        <v>46</v>
      </c>
      <c r="D747" s="3" t="s">
        <v>130</v>
      </c>
      <c r="E747" s="3" t="s">
        <v>48</v>
      </c>
      <c r="F747" s="3" t="s">
        <v>130</v>
      </c>
      <c r="G747" s="3" t="s">
        <v>191</v>
      </c>
      <c r="H747" s="4">
        <f>IF(DATEDIF(L747,S747,"m")&gt;12,DATEDIF(L747,S747,"y"),(DATEDIF(L747,S747,"m")/12))</f>
        <v>54</v>
      </c>
      <c r="I747" s="7">
        <f>DATEDIF(L747,S747,"M")</f>
        <v>658</v>
      </c>
      <c r="J747" s="7">
        <f>DATEDIF(L747,S747,"D")</f>
        <v>20048</v>
      </c>
      <c r="K747" s="3" t="s">
        <v>64</v>
      </c>
      <c r="L747" s="8">
        <v>24941</v>
      </c>
      <c r="M747" s="3" t="s">
        <v>45</v>
      </c>
      <c r="N747" s="3" t="s">
        <v>83</v>
      </c>
      <c r="O747" s="3" t="s">
        <v>52</v>
      </c>
      <c r="P747" s="3" t="s">
        <v>176</v>
      </c>
      <c r="Q747" s="7">
        <v>0</v>
      </c>
      <c r="R747" s="8">
        <v>44991</v>
      </c>
      <c r="S747" s="8">
        <v>44989</v>
      </c>
      <c r="T747" s="3" t="s">
        <v>54</v>
      </c>
      <c r="U747" s="3" t="s">
        <v>55</v>
      </c>
      <c r="V747" s="9"/>
      <c r="W747" s="10">
        <v>44999</v>
      </c>
      <c r="X747" s="7">
        <v>8</v>
      </c>
      <c r="Y747" s="7">
        <v>2</v>
      </c>
      <c r="Z747" s="7">
        <v>3</v>
      </c>
      <c r="AA747" s="7">
        <f>INT((S747-DATE(YEAR(S747-WEEKDAY(S747-0)+4),1,4)+WEEKDAY(DATE(YEAR(S747-WEEKDAY(S747-0)+4),1,4))+6)/7)</f>
        <v>9</v>
      </c>
      <c r="AB747" s="3" t="s">
        <v>911</v>
      </c>
      <c r="AC747" s="7">
        <v>111</v>
      </c>
      <c r="AD747" s="7">
        <v>0</v>
      </c>
      <c r="AE747" s="7">
        <v>0</v>
      </c>
      <c r="AF747" s="3" t="s">
        <v>48</v>
      </c>
      <c r="AG747" s="7">
        <v>2023</v>
      </c>
      <c r="AH747" s="3" t="s">
        <v>133</v>
      </c>
      <c r="AI747" s="3" t="s">
        <v>106</v>
      </c>
      <c r="AJ747" s="3" t="s">
        <v>130</v>
      </c>
      <c r="AK747" s="3" t="s">
        <v>912</v>
      </c>
      <c r="AL747" s="3" t="s">
        <v>59</v>
      </c>
      <c r="AM747" s="3" t="s">
        <v>115</v>
      </c>
      <c r="AN747" s="3" t="s">
        <v>61</v>
      </c>
      <c r="AO747" s="3" t="s">
        <v>62</v>
      </c>
      <c r="AP747" s="3" t="s">
        <v>69</v>
      </c>
      <c r="AQ747" s="3" t="s">
        <v>61</v>
      </c>
      <c r="AR747" s="3" t="s">
        <v>48</v>
      </c>
    </row>
    <row r="748" spans="1:44" ht="30" customHeight="1">
      <c r="A748" s="3" t="s">
        <v>44</v>
      </c>
      <c r="B748" s="3" t="s">
        <v>45</v>
      </c>
      <c r="C748" s="3" t="s">
        <v>46</v>
      </c>
      <c r="D748" s="3" t="s">
        <v>100</v>
      </c>
      <c r="E748" s="3" t="s">
        <v>48</v>
      </c>
      <c r="F748" s="3" t="s">
        <v>48</v>
      </c>
      <c r="G748" s="3" t="s">
        <v>957</v>
      </c>
      <c r="H748" s="4">
        <f>IF(DATEDIF(L748,S748,"m")&gt;12,DATEDIF(L748,S748,"y"),(DATEDIF(L748,S748,"m")/12))</f>
        <v>8</v>
      </c>
      <c r="I748" s="7">
        <f>DATEDIF(L748,S748,"M")</f>
        <v>100</v>
      </c>
      <c r="J748" s="7">
        <f>DATEDIF(L748,S748,"D")</f>
        <v>3066</v>
      </c>
      <c r="K748" s="3" t="s">
        <v>64</v>
      </c>
      <c r="L748" s="8">
        <v>41920</v>
      </c>
      <c r="M748" s="3" t="s">
        <v>45</v>
      </c>
      <c r="N748" s="3" t="s">
        <v>101</v>
      </c>
      <c r="O748" s="3" t="s">
        <v>52</v>
      </c>
      <c r="P748" s="3" t="s">
        <v>84</v>
      </c>
      <c r="Q748" s="7">
        <v>1</v>
      </c>
      <c r="R748" s="8">
        <v>44988</v>
      </c>
      <c r="S748" s="8">
        <v>44986</v>
      </c>
      <c r="T748" s="3" t="s">
        <v>54</v>
      </c>
      <c r="U748" s="3" t="s">
        <v>55</v>
      </c>
      <c r="V748" s="9"/>
      <c r="W748" s="10">
        <v>44999</v>
      </c>
      <c r="X748" s="7">
        <v>11</v>
      </c>
      <c r="Y748" s="7">
        <v>2</v>
      </c>
      <c r="Z748" s="7">
        <v>3</v>
      </c>
      <c r="AA748" s="7">
        <f>INT((S748-DATE(YEAR(S748-WEEKDAY(S748-0)+4),1,4)+WEEKDAY(DATE(YEAR(S748-WEEKDAY(S748-0)+4),1,4))+6)/7)</f>
        <v>9</v>
      </c>
      <c r="AB748" s="3" t="s">
        <v>958</v>
      </c>
      <c r="AC748" s="7">
        <v>117</v>
      </c>
      <c r="AD748" s="7">
        <v>0</v>
      </c>
      <c r="AE748" s="7">
        <v>0</v>
      </c>
      <c r="AF748" s="3" t="s">
        <v>48</v>
      </c>
      <c r="AG748" s="7">
        <v>2023</v>
      </c>
      <c r="AH748" s="3" t="s">
        <v>223</v>
      </c>
      <c r="AI748" s="3" t="s">
        <v>106</v>
      </c>
      <c r="AJ748" s="3" t="s">
        <v>100</v>
      </c>
      <c r="AK748" s="3" t="s">
        <v>316</v>
      </c>
      <c r="AL748" s="3" t="s">
        <v>59</v>
      </c>
      <c r="AM748" s="3" t="s">
        <v>99</v>
      </c>
      <c r="AN748" s="3" t="s">
        <v>61</v>
      </c>
      <c r="AO748" s="3" t="s">
        <v>62</v>
      </c>
      <c r="AP748" s="3" t="s">
        <v>69</v>
      </c>
      <c r="AQ748" s="3" t="s">
        <v>61</v>
      </c>
      <c r="AR748" s="3" t="s">
        <v>48</v>
      </c>
    </row>
    <row r="749" spans="1:44" ht="30" customHeight="1">
      <c r="A749" s="3" t="s">
        <v>44</v>
      </c>
      <c r="B749" s="3" t="s">
        <v>45</v>
      </c>
      <c r="C749" s="3" t="s">
        <v>46</v>
      </c>
      <c r="D749" s="3" t="s">
        <v>100</v>
      </c>
      <c r="E749" s="3" t="s">
        <v>48</v>
      </c>
      <c r="F749" s="3" t="s">
        <v>48</v>
      </c>
      <c r="G749" s="3" t="s">
        <v>48</v>
      </c>
      <c r="H749" s="4">
        <f>IF(DATEDIF(L749,S749,"m")&gt;12,DATEDIF(L749,S749,"y"),(DATEDIF(L749,S749,"m")/12))</f>
        <v>16</v>
      </c>
      <c r="I749" s="7">
        <f>DATEDIF(L749,S749,"M")</f>
        <v>202</v>
      </c>
      <c r="J749" s="7">
        <f>DATEDIF(L749,S749,"D")</f>
        <v>6158</v>
      </c>
      <c r="K749" s="3" t="s">
        <v>51</v>
      </c>
      <c r="L749" s="8">
        <v>38832</v>
      </c>
      <c r="M749" s="3" t="s">
        <v>45</v>
      </c>
      <c r="N749" s="3" t="s">
        <v>90</v>
      </c>
      <c r="O749" s="3" t="s">
        <v>52</v>
      </c>
      <c r="P749" s="3" t="s">
        <v>84</v>
      </c>
      <c r="Q749" s="7">
        <v>1</v>
      </c>
      <c r="R749" s="8">
        <v>44993</v>
      </c>
      <c r="S749" s="8">
        <v>44990</v>
      </c>
      <c r="T749" s="3" t="s">
        <v>54</v>
      </c>
      <c r="U749" s="3" t="s">
        <v>55</v>
      </c>
      <c r="V749" s="9"/>
      <c r="W749" s="10">
        <v>44999</v>
      </c>
      <c r="X749" s="7">
        <v>6</v>
      </c>
      <c r="Y749" s="7">
        <v>3</v>
      </c>
      <c r="Z749" s="7">
        <v>3</v>
      </c>
      <c r="AA749" s="7">
        <f>INT((S749-DATE(YEAR(S749-WEEKDAY(S749-0)+4),1,4)+WEEKDAY(DATE(YEAR(S749-WEEKDAY(S749-0)+4),1,4))+6)/7)</f>
        <v>10</v>
      </c>
      <c r="AB749" s="3" t="s">
        <v>988</v>
      </c>
      <c r="AC749" s="7">
        <v>113</v>
      </c>
      <c r="AD749" s="7">
        <v>0</v>
      </c>
      <c r="AE749" s="7">
        <v>0</v>
      </c>
      <c r="AF749" s="3" t="s">
        <v>48</v>
      </c>
      <c r="AG749" s="7">
        <v>2023</v>
      </c>
      <c r="AH749" s="3" t="s">
        <v>223</v>
      </c>
      <c r="AI749" s="3" t="s">
        <v>191</v>
      </c>
      <c r="AJ749" s="3" t="s">
        <v>989</v>
      </c>
      <c r="AK749" s="3" t="s">
        <v>162</v>
      </c>
      <c r="AL749" s="3" t="s">
        <v>59</v>
      </c>
      <c r="AM749" s="3" t="s">
        <v>99</v>
      </c>
      <c r="AN749" s="3" t="s">
        <v>61</v>
      </c>
      <c r="AO749" s="3" t="s">
        <v>62</v>
      </c>
      <c r="AP749" s="3" t="s">
        <v>69</v>
      </c>
      <c r="AQ749" s="3" t="s">
        <v>61</v>
      </c>
      <c r="AR749" s="3" t="s">
        <v>48</v>
      </c>
    </row>
    <row r="750" spans="1:44" ht="30" customHeight="1">
      <c r="A750" s="3" t="s">
        <v>44</v>
      </c>
      <c r="B750" s="3" t="s">
        <v>45</v>
      </c>
      <c r="C750" s="3" t="s">
        <v>46</v>
      </c>
      <c r="D750" s="3" t="s">
        <v>100</v>
      </c>
      <c r="E750" s="3" t="s">
        <v>48</v>
      </c>
      <c r="F750" s="3" t="s">
        <v>48</v>
      </c>
      <c r="G750" s="3" t="s">
        <v>48</v>
      </c>
      <c r="H750" s="4">
        <f>IF(DATEDIF(L750,S750,"m")&gt;12,DATEDIF(L750,S750,"y"),(DATEDIF(L750,S750,"m")/12))</f>
        <v>51</v>
      </c>
      <c r="I750" s="7">
        <f>DATEDIF(L750,S750,"M")</f>
        <v>618</v>
      </c>
      <c r="J750" s="7">
        <f>DATEDIF(L750,S750,"D")</f>
        <v>18836</v>
      </c>
      <c r="K750" s="3" t="s">
        <v>64</v>
      </c>
      <c r="L750" s="8">
        <v>26150</v>
      </c>
      <c r="M750" s="3" t="s">
        <v>45</v>
      </c>
      <c r="N750" s="3" t="s">
        <v>101</v>
      </c>
      <c r="O750" s="3" t="s">
        <v>52</v>
      </c>
      <c r="P750" s="3" t="s">
        <v>91</v>
      </c>
      <c r="Q750" s="7">
        <v>1</v>
      </c>
      <c r="R750" s="8">
        <v>44989</v>
      </c>
      <c r="S750" s="8">
        <v>44986</v>
      </c>
      <c r="T750" s="3" t="s">
        <v>54</v>
      </c>
      <c r="U750" s="3" t="s">
        <v>55</v>
      </c>
      <c r="V750" s="9"/>
      <c r="W750" s="10">
        <v>44999</v>
      </c>
      <c r="X750" s="7">
        <v>10</v>
      </c>
      <c r="Y750" s="7">
        <v>3</v>
      </c>
      <c r="Z750" s="7">
        <v>3</v>
      </c>
      <c r="AA750" s="7">
        <f>INT((S750-DATE(YEAR(S750-WEEKDAY(S750-0)+4),1,4)+WEEKDAY(DATE(YEAR(S750-WEEKDAY(S750-0)+4),1,4))+6)/7)</f>
        <v>9</v>
      </c>
      <c r="AB750" s="3" t="s">
        <v>1546</v>
      </c>
      <c r="AC750" s="7">
        <v>112</v>
      </c>
      <c r="AD750" s="7">
        <v>0</v>
      </c>
      <c r="AE750" s="7">
        <v>0</v>
      </c>
      <c r="AF750" s="3" t="s">
        <v>48</v>
      </c>
      <c r="AG750" s="7">
        <v>2023</v>
      </c>
      <c r="AH750" s="3" t="s">
        <v>223</v>
      </c>
      <c r="AI750" s="3" t="s">
        <v>106</v>
      </c>
      <c r="AJ750" s="3" t="s">
        <v>100</v>
      </c>
      <c r="AK750" s="3" t="s">
        <v>162</v>
      </c>
      <c r="AL750" s="3" t="s">
        <v>59</v>
      </c>
      <c r="AM750" s="3" t="s">
        <v>99</v>
      </c>
      <c r="AN750" s="3" t="s">
        <v>61</v>
      </c>
      <c r="AO750" s="3" t="s">
        <v>62</v>
      </c>
      <c r="AP750" s="3" t="s">
        <v>69</v>
      </c>
      <c r="AQ750" s="3" t="s">
        <v>61</v>
      </c>
      <c r="AR750" s="3" t="s">
        <v>48</v>
      </c>
    </row>
    <row r="751" spans="1:44" ht="30" customHeight="1">
      <c r="A751" s="3" t="s">
        <v>44</v>
      </c>
      <c r="B751" s="3" t="s">
        <v>45</v>
      </c>
      <c r="C751" s="3" t="s">
        <v>80</v>
      </c>
      <c r="D751" s="3" t="s">
        <v>81</v>
      </c>
      <c r="E751" s="3" t="s">
        <v>48</v>
      </c>
      <c r="F751" s="3" t="s">
        <v>483</v>
      </c>
      <c r="G751" s="3" t="s">
        <v>1698</v>
      </c>
      <c r="H751" s="4">
        <f>IF(DATEDIF(L751,S751,"m")&gt;12,DATEDIF(L751,S751,"y"),(DATEDIF(L751,S751,"m")/12))</f>
        <v>13</v>
      </c>
      <c r="I751" s="7">
        <f>DATEDIF(L751,S751,"M")</f>
        <v>164</v>
      </c>
      <c r="J751" s="7">
        <f>DATEDIF(L751,S751,"D")</f>
        <v>5015</v>
      </c>
      <c r="K751" s="3" t="s">
        <v>64</v>
      </c>
      <c r="L751" s="8">
        <v>39975</v>
      </c>
      <c r="M751" s="3" t="s">
        <v>45</v>
      </c>
      <c r="N751" s="3" t="s">
        <v>49</v>
      </c>
      <c r="O751" s="3" t="s">
        <v>52</v>
      </c>
      <c r="P751" s="3" t="s">
        <v>84</v>
      </c>
      <c r="Q751" s="7">
        <v>1</v>
      </c>
      <c r="R751" s="8">
        <v>44996</v>
      </c>
      <c r="S751" s="8">
        <v>44990</v>
      </c>
      <c r="T751" s="3" t="s">
        <v>54</v>
      </c>
      <c r="U751" s="3" t="s">
        <v>55</v>
      </c>
      <c r="V751" s="9"/>
      <c r="W751" s="10">
        <v>44999</v>
      </c>
      <c r="X751" s="7">
        <v>3</v>
      </c>
      <c r="Y751" s="7">
        <v>6</v>
      </c>
      <c r="Z751" s="7">
        <v>3</v>
      </c>
      <c r="AA751" s="7">
        <f>INT((S751-DATE(YEAR(S751-WEEKDAY(S751-0)+4),1,4)+WEEKDAY(DATE(YEAR(S751-WEEKDAY(S751-0)+4),1,4))+6)/7)</f>
        <v>10</v>
      </c>
      <c r="AB751" s="3" t="s">
        <v>1699</v>
      </c>
      <c r="AC751" s="7">
        <v>539</v>
      </c>
      <c r="AD751" s="7">
        <v>0</v>
      </c>
      <c r="AE751" s="7">
        <v>1</v>
      </c>
      <c r="AF751" s="3" t="s">
        <v>48</v>
      </c>
      <c r="AG751" s="7">
        <v>2023</v>
      </c>
      <c r="AH751" s="3" t="s">
        <v>486</v>
      </c>
      <c r="AI751" s="3" t="s">
        <v>48</v>
      </c>
      <c r="AJ751" s="3" t="s">
        <v>48</v>
      </c>
      <c r="AK751" s="3" t="s">
        <v>1172</v>
      </c>
      <c r="AL751" s="3" t="s">
        <v>59</v>
      </c>
      <c r="AM751" s="3" t="s">
        <v>99</v>
      </c>
      <c r="AN751" s="3" t="s">
        <v>61</v>
      </c>
      <c r="AO751" s="3" t="s">
        <v>62</v>
      </c>
      <c r="AP751" s="3" t="s">
        <v>69</v>
      </c>
      <c r="AQ751" s="3" t="s">
        <v>61</v>
      </c>
      <c r="AR751" s="3" t="s">
        <v>48</v>
      </c>
    </row>
    <row r="752" spans="1:44" ht="30" customHeight="1">
      <c r="A752" s="3" t="s">
        <v>44</v>
      </c>
      <c r="B752" s="3" t="s">
        <v>45</v>
      </c>
      <c r="C752" s="3" t="s">
        <v>46</v>
      </c>
      <c r="D752" s="3" t="s">
        <v>100</v>
      </c>
      <c r="E752" s="3" t="s">
        <v>48</v>
      </c>
      <c r="F752" s="3" t="s">
        <v>48</v>
      </c>
      <c r="G752" s="3" t="s">
        <v>1801</v>
      </c>
      <c r="H752" s="4">
        <f>IF(DATEDIF(L752,S752,"m")&gt;12,DATEDIF(L752,S752,"y"),(DATEDIF(L752,S752,"m")/12))</f>
        <v>8</v>
      </c>
      <c r="I752" s="7">
        <f>DATEDIF(L752,S752,"M")</f>
        <v>100</v>
      </c>
      <c r="J752" s="7">
        <f>DATEDIF(L752,S752,"D")</f>
        <v>3067</v>
      </c>
      <c r="K752" s="3" t="s">
        <v>64</v>
      </c>
      <c r="L752" s="8">
        <v>41920</v>
      </c>
      <c r="M752" s="3" t="s">
        <v>45</v>
      </c>
      <c r="N752" s="3" t="s">
        <v>101</v>
      </c>
      <c r="O752" s="3" t="s">
        <v>52</v>
      </c>
      <c r="P752" s="3" t="s">
        <v>84</v>
      </c>
      <c r="Q752" s="7">
        <v>1</v>
      </c>
      <c r="R752" s="8">
        <v>44989</v>
      </c>
      <c r="S752" s="8">
        <v>44987</v>
      </c>
      <c r="T752" s="3" t="s">
        <v>54</v>
      </c>
      <c r="U752" s="3" t="s">
        <v>55</v>
      </c>
      <c r="V752" s="9"/>
      <c r="W752" s="10">
        <v>44999</v>
      </c>
      <c r="X752" s="7">
        <v>10</v>
      </c>
      <c r="Y752" s="7">
        <v>2</v>
      </c>
      <c r="Z752" s="7">
        <v>3</v>
      </c>
      <c r="AA752" s="7">
        <f>INT((S752-DATE(YEAR(S752-WEEKDAY(S752-0)+4),1,4)+WEEKDAY(DATE(YEAR(S752-WEEKDAY(S752-0)+4),1,4))+6)/7)</f>
        <v>9</v>
      </c>
      <c r="AB752" s="3" t="s">
        <v>1802</v>
      </c>
      <c r="AC752" s="7">
        <v>118</v>
      </c>
      <c r="AD752" s="7">
        <v>0</v>
      </c>
      <c r="AE752" s="7">
        <v>0</v>
      </c>
      <c r="AF752" s="3" t="s">
        <v>48</v>
      </c>
      <c r="AG752" s="7">
        <v>2023</v>
      </c>
      <c r="AH752" s="3" t="s">
        <v>223</v>
      </c>
      <c r="AI752" s="3" t="s">
        <v>106</v>
      </c>
      <c r="AJ752" s="3" t="s">
        <v>100</v>
      </c>
      <c r="AK752" s="3" t="s">
        <v>316</v>
      </c>
      <c r="AL752" s="3" t="s">
        <v>59</v>
      </c>
      <c r="AM752" s="3" t="s">
        <v>99</v>
      </c>
      <c r="AN752" s="3" t="s">
        <v>61</v>
      </c>
      <c r="AO752" s="3" t="s">
        <v>62</v>
      </c>
      <c r="AP752" s="3" t="s">
        <v>69</v>
      </c>
      <c r="AQ752" s="3" t="s">
        <v>61</v>
      </c>
      <c r="AR752" s="3" t="s">
        <v>48</v>
      </c>
    </row>
    <row r="753" spans="1:44" ht="30" customHeight="1">
      <c r="A753" s="3" t="s">
        <v>44</v>
      </c>
      <c r="B753" s="3" t="s">
        <v>45</v>
      </c>
      <c r="C753" s="3" t="s">
        <v>46</v>
      </c>
      <c r="D753" s="3" t="s">
        <v>100</v>
      </c>
      <c r="E753" s="3" t="s">
        <v>48</v>
      </c>
      <c r="F753" s="3" t="s">
        <v>101</v>
      </c>
      <c r="G753" s="3" t="s">
        <v>1912</v>
      </c>
      <c r="H753" s="4">
        <f>IF(DATEDIF(L753,S753,"m")&gt;12,DATEDIF(L753,S753,"y"),(DATEDIF(L753,S753,"m")/12))</f>
        <v>2</v>
      </c>
      <c r="I753" s="7">
        <f>DATEDIF(L753,S753,"M")</f>
        <v>34</v>
      </c>
      <c r="J753" s="7">
        <f>DATEDIF(L753,S753,"D")</f>
        <v>1038</v>
      </c>
      <c r="K753" s="3" t="s">
        <v>64</v>
      </c>
      <c r="L753" s="8">
        <v>43955</v>
      </c>
      <c r="M753" s="3" t="s">
        <v>45</v>
      </c>
      <c r="N753" s="3" t="s">
        <v>101</v>
      </c>
      <c r="O753" s="3" t="s">
        <v>52</v>
      </c>
      <c r="P753" s="3" t="s">
        <v>298</v>
      </c>
      <c r="Q753" s="7">
        <v>0</v>
      </c>
      <c r="R753" s="8">
        <v>44994</v>
      </c>
      <c r="S753" s="8">
        <v>44993</v>
      </c>
      <c r="T753" s="3" t="s">
        <v>54</v>
      </c>
      <c r="U753" s="3" t="s">
        <v>55</v>
      </c>
      <c r="V753" s="9"/>
      <c r="W753" s="10">
        <v>44999</v>
      </c>
      <c r="X753" s="7">
        <v>5</v>
      </c>
      <c r="Y753" s="7">
        <v>1</v>
      </c>
      <c r="Z753" s="7">
        <v>3</v>
      </c>
      <c r="AA753" s="7">
        <f>INT((S753-DATE(YEAR(S753-WEEKDAY(S753-0)+4),1,4)+WEEKDAY(DATE(YEAR(S753-WEEKDAY(S753-0)+4),1,4))+6)/7)</f>
        <v>10</v>
      </c>
      <c r="AB753" s="3" t="s">
        <v>1913</v>
      </c>
      <c r="AC753" s="7">
        <v>108</v>
      </c>
      <c r="AD753" s="7">
        <v>0</v>
      </c>
      <c r="AE753" s="7">
        <v>0</v>
      </c>
      <c r="AF753" s="3" t="s">
        <v>48</v>
      </c>
      <c r="AG753" s="7">
        <v>2023</v>
      </c>
      <c r="AH753" s="3" t="s">
        <v>105</v>
      </c>
      <c r="AI753" s="3" t="s">
        <v>106</v>
      </c>
      <c r="AJ753" s="3" t="s">
        <v>100</v>
      </c>
      <c r="AK753" s="18" t="s">
        <v>865</v>
      </c>
      <c r="AL753" s="3" t="s">
        <v>59</v>
      </c>
      <c r="AM753" s="3" t="s">
        <v>99</v>
      </c>
      <c r="AN753" s="3" t="s">
        <v>61</v>
      </c>
      <c r="AO753" s="3" t="s">
        <v>62</v>
      </c>
      <c r="AP753" s="3" t="s">
        <v>69</v>
      </c>
      <c r="AQ753" s="3" t="s">
        <v>61</v>
      </c>
      <c r="AR753" s="3" t="s">
        <v>48</v>
      </c>
    </row>
    <row r="754" spans="1:44" ht="30" customHeight="1">
      <c r="A754" s="3" t="s">
        <v>44</v>
      </c>
      <c r="B754" s="3" t="s">
        <v>45</v>
      </c>
      <c r="C754" s="3" t="s">
        <v>46</v>
      </c>
      <c r="D754" s="3" t="s">
        <v>108</v>
      </c>
      <c r="E754" s="3" t="s">
        <v>48</v>
      </c>
      <c r="F754" s="3" t="s">
        <v>108</v>
      </c>
      <c r="G754" s="3" t="s">
        <v>1979</v>
      </c>
      <c r="H754" s="4">
        <f>IF(DATEDIF(L754,S754,"m")&gt;12,DATEDIF(L754,S754,"y"),(DATEDIF(L754,S754,"m")/12))</f>
        <v>11</v>
      </c>
      <c r="I754" s="7">
        <f>DATEDIF(L754,S754,"M")</f>
        <v>137</v>
      </c>
      <c r="J754" s="7">
        <f>DATEDIF(L754,S754,"D")</f>
        <v>4201</v>
      </c>
      <c r="K754" s="3" t="s">
        <v>51</v>
      </c>
      <c r="L754" s="8">
        <v>40753</v>
      </c>
      <c r="M754" s="3" t="s">
        <v>45</v>
      </c>
      <c r="N754" s="3" t="s">
        <v>73</v>
      </c>
      <c r="O754" s="3" t="s">
        <v>52</v>
      </c>
      <c r="P754" s="3" t="s">
        <v>169</v>
      </c>
      <c r="Q754" s="7">
        <v>0</v>
      </c>
      <c r="R754" s="8">
        <v>44963</v>
      </c>
      <c r="S754" s="8">
        <v>44954</v>
      </c>
      <c r="T754" s="3" t="s">
        <v>54</v>
      </c>
      <c r="U754" s="3" t="s">
        <v>55</v>
      </c>
      <c r="V754" s="9"/>
      <c r="W754" s="10">
        <v>44971</v>
      </c>
      <c r="X754" s="7">
        <v>8</v>
      </c>
      <c r="Y754" s="7">
        <v>9</v>
      </c>
      <c r="Z754" s="7">
        <v>1</v>
      </c>
      <c r="AA754" s="7">
        <f>INT((S754-DATE(YEAR(S754-WEEKDAY(S754-0)+4),1,4)+WEEKDAY(DATE(YEAR(S754-WEEKDAY(S754-0)+4),1,4))+6)/7)</f>
        <v>4</v>
      </c>
      <c r="AB754" s="3" t="s">
        <v>1980</v>
      </c>
      <c r="AC754" s="7">
        <v>208</v>
      </c>
      <c r="AD754" s="7">
        <v>0</v>
      </c>
      <c r="AE754" s="7">
        <v>0</v>
      </c>
      <c r="AF754" s="3" t="s">
        <v>48</v>
      </c>
      <c r="AG754" s="7">
        <v>2023</v>
      </c>
      <c r="AH754" s="3" t="s">
        <v>112</v>
      </c>
      <c r="AI754" s="3" t="s">
        <v>113</v>
      </c>
      <c r="AJ754" s="3" t="s">
        <v>48</v>
      </c>
      <c r="AK754" s="3" t="s">
        <v>199</v>
      </c>
      <c r="AL754" s="3" t="s">
        <v>59</v>
      </c>
      <c r="AM754" s="3" t="s">
        <v>115</v>
      </c>
      <c r="AN754" s="3" t="s">
        <v>61</v>
      </c>
      <c r="AO754" s="3" t="s">
        <v>62</v>
      </c>
      <c r="AP754" s="3" t="s">
        <v>69</v>
      </c>
      <c r="AQ754" s="3" t="s">
        <v>61</v>
      </c>
      <c r="AR754" s="3" t="s">
        <v>48</v>
      </c>
    </row>
    <row r="755" spans="1:44" ht="30" customHeight="1">
      <c r="A755" s="3" t="s">
        <v>44</v>
      </c>
      <c r="B755" s="3" t="s">
        <v>45</v>
      </c>
      <c r="C755" s="3" t="s">
        <v>121</v>
      </c>
      <c r="D755" s="3" t="s">
        <v>121</v>
      </c>
      <c r="E755" s="3" t="s">
        <v>48</v>
      </c>
      <c r="F755" s="3" t="s">
        <v>449</v>
      </c>
      <c r="G755" s="3" t="s">
        <v>450</v>
      </c>
      <c r="H755" s="4">
        <f>IF(DATEDIF(L755,S755,"m")&gt;12,DATEDIF(L755,S755,"y"),(DATEDIF(L755,S755,"m")/12))</f>
        <v>52</v>
      </c>
      <c r="I755" s="7">
        <f>DATEDIF(L755,S755,"M")</f>
        <v>632</v>
      </c>
      <c r="J755" s="7">
        <f>DATEDIF(L755,S755,"D")</f>
        <v>19236</v>
      </c>
      <c r="K755" s="3" t="s">
        <v>64</v>
      </c>
      <c r="L755" s="8">
        <v>25759</v>
      </c>
      <c r="M755" s="3" t="s">
        <v>45</v>
      </c>
      <c r="N755" s="3" t="s">
        <v>90</v>
      </c>
      <c r="O755" s="3" t="s">
        <v>52</v>
      </c>
      <c r="P755" s="3" t="s">
        <v>84</v>
      </c>
      <c r="Q755" s="7">
        <v>1</v>
      </c>
      <c r="R755" s="8">
        <v>44997</v>
      </c>
      <c r="S755" s="8">
        <v>44995</v>
      </c>
      <c r="T755" s="3" t="s">
        <v>54</v>
      </c>
      <c r="U755" s="3" t="s">
        <v>55</v>
      </c>
      <c r="V755" s="9"/>
      <c r="W755" s="10">
        <v>45000</v>
      </c>
      <c r="X755" s="7">
        <v>3</v>
      </c>
      <c r="Y755" s="7">
        <v>2</v>
      </c>
      <c r="Z755" s="7">
        <v>3</v>
      </c>
      <c r="AA755" s="7">
        <f>INT((S755-DATE(YEAR(S755-WEEKDAY(S755-0)+4),1,4)+WEEKDAY(DATE(YEAR(S755-WEEKDAY(S755-0)+4),1,4))+6)/7)</f>
        <v>10</v>
      </c>
      <c r="AB755" s="3" t="s">
        <v>451</v>
      </c>
      <c r="AC755" s="7">
        <v>39576</v>
      </c>
      <c r="AD755" s="7">
        <v>0</v>
      </c>
      <c r="AE755" s="7">
        <v>1</v>
      </c>
      <c r="AF755" s="3" t="s">
        <v>48</v>
      </c>
      <c r="AG755" s="7">
        <v>2023</v>
      </c>
      <c r="AH755" s="12" t="s">
        <v>452</v>
      </c>
      <c r="AI755" s="3" t="s">
        <v>453</v>
      </c>
      <c r="AJ755" s="3" t="s">
        <v>48</v>
      </c>
      <c r="AK755" s="3" t="s">
        <v>162</v>
      </c>
      <c r="AL755" s="3" t="s">
        <v>59</v>
      </c>
      <c r="AM755" s="3" t="s">
        <v>60</v>
      </c>
      <c r="AN755" s="3" t="s">
        <v>69</v>
      </c>
      <c r="AO755" s="3" t="s">
        <v>62</v>
      </c>
      <c r="AP755" s="3" t="s">
        <v>69</v>
      </c>
      <c r="AQ755" s="3" t="s">
        <v>61</v>
      </c>
      <c r="AR755" s="3" t="s">
        <v>48</v>
      </c>
    </row>
    <row r="756" spans="1:44" ht="30" customHeight="1">
      <c r="A756" s="3" t="s">
        <v>44</v>
      </c>
      <c r="B756" s="3" t="s">
        <v>45</v>
      </c>
      <c r="C756" s="3" t="s">
        <v>46</v>
      </c>
      <c r="D756" s="3" t="s">
        <v>130</v>
      </c>
      <c r="E756" s="3" t="s">
        <v>48</v>
      </c>
      <c r="F756" s="3" t="s">
        <v>130</v>
      </c>
      <c r="G756" s="3" t="s">
        <v>1520</v>
      </c>
      <c r="H756" s="4">
        <f>IF(DATEDIF(L756,S756,"m")&gt;12,DATEDIF(L756,S756,"y"),(DATEDIF(L756,S756,"m")/12))</f>
        <v>5</v>
      </c>
      <c r="I756" s="7">
        <f>DATEDIF(L756,S756,"M")</f>
        <v>70</v>
      </c>
      <c r="J756" s="7">
        <f>DATEDIF(L756,S756,"D")</f>
        <v>2155</v>
      </c>
      <c r="K756" s="3" t="s">
        <v>51</v>
      </c>
      <c r="L756" s="8">
        <v>42841</v>
      </c>
      <c r="M756" s="3" t="s">
        <v>45</v>
      </c>
      <c r="N756" s="3" t="s">
        <v>83</v>
      </c>
      <c r="O756" s="3" t="s">
        <v>52</v>
      </c>
      <c r="P756" s="3" t="s">
        <v>137</v>
      </c>
      <c r="Q756" s="7">
        <v>0</v>
      </c>
      <c r="R756" s="8">
        <v>44999</v>
      </c>
      <c r="S756" s="8">
        <v>44996</v>
      </c>
      <c r="T756" s="3" t="s">
        <v>54</v>
      </c>
      <c r="U756" s="3" t="s">
        <v>55</v>
      </c>
      <c r="V756" s="9"/>
      <c r="W756" s="10">
        <v>45000</v>
      </c>
      <c r="X756" s="7">
        <v>1</v>
      </c>
      <c r="Y756" s="7">
        <v>3</v>
      </c>
      <c r="Z756" s="7">
        <v>3</v>
      </c>
      <c r="AA756" s="7">
        <f>INT((S756-DATE(YEAR(S756-WEEKDAY(S756-0)+4),1,4)+WEEKDAY(DATE(YEAR(S756-WEEKDAY(S756-0)+4),1,4))+6)/7)</f>
        <v>10</v>
      </c>
      <c r="AB756" s="3" t="s">
        <v>1521</v>
      </c>
      <c r="AC756" s="7">
        <v>108</v>
      </c>
      <c r="AD756" s="7">
        <v>0</v>
      </c>
      <c r="AE756" s="7">
        <v>0</v>
      </c>
      <c r="AF756" s="3" t="s">
        <v>48</v>
      </c>
      <c r="AG756" s="7">
        <v>2023</v>
      </c>
      <c r="AH756" s="3" t="s">
        <v>139</v>
      </c>
      <c r="AI756" s="3" t="s">
        <v>113</v>
      </c>
      <c r="AJ756" s="3" t="s">
        <v>48</v>
      </c>
      <c r="AK756" s="3" t="s">
        <v>606</v>
      </c>
      <c r="AL756" s="3" t="s">
        <v>59</v>
      </c>
      <c r="AM756" s="3" t="s">
        <v>60</v>
      </c>
      <c r="AN756" s="3" t="s">
        <v>61</v>
      </c>
      <c r="AO756" s="3" t="s">
        <v>62</v>
      </c>
      <c r="AP756" s="3" t="s">
        <v>69</v>
      </c>
      <c r="AQ756" s="3" t="s">
        <v>69</v>
      </c>
      <c r="AR756" s="3" t="s">
        <v>519</v>
      </c>
    </row>
    <row r="757" spans="1:44" ht="30" customHeight="1">
      <c r="A757" s="3" t="s">
        <v>44</v>
      </c>
      <c r="B757" s="3" t="s">
        <v>45</v>
      </c>
      <c r="C757" s="3" t="s">
        <v>121</v>
      </c>
      <c r="D757" s="3" t="s">
        <v>121</v>
      </c>
      <c r="E757" s="3" t="s">
        <v>48</v>
      </c>
      <c r="F757" s="3" t="s">
        <v>449</v>
      </c>
      <c r="G757" s="3" t="s">
        <v>1878</v>
      </c>
      <c r="H757" s="5">
        <f>IF(DATEDIF(L757,S757,"m")&gt;12,DATEDIF(L757,S757,"y"),(DATEDIF(L757,S757,"m")/12))</f>
        <v>0.91666666666666663</v>
      </c>
      <c r="I757" s="7">
        <f>DATEDIF(L757,S757,"M")</f>
        <v>11</v>
      </c>
      <c r="J757" s="7">
        <f>DATEDIF(L757,S757,"D")</f>
        <v>338</v>
      </c>
      <c r="K757" s="3" t="s">
        <v>64</v>
      </c>
      <c r="L757" s="8">
        <v>44640</v>
      </c>
      <c r="M757" s="3" t="s">
        <v>45</v>
      </c>
      <c r="N757" s="3" t="s">
        <v>203</v>
      </c>
      <c r="O757" s="3" t="s">
        <v>52</v>
      </c>
      <c r="P757" s="3" t="s">
        <v>169</v>
      </c>
      <c r="Q757" s="7">
        <v>1</v>
      </c>
      <c r="R757" s="8">
        <v>44998</v>
      </c>
      <c r="S757" s="8">
        <v>44978</v>
      </c>
      <c r="T757" s="3" t="s">
        <v>54</v>
      </c>
      <c r="U757" s="3" t="s">
        <v>55</v>
      </c>
      <c r="V757" s="9"/>
      <c r="W757" s="10">
        <v>45000</v>
      </c>
      <c r="X757" s="7">
        <v>2</v>
      </c>
      <c r="Y757" s="7">
        <v>20</v>
      </c>
      <c r="Z757" s="7">
        <v>2</v>
      </c>
      <c r="AA757" s="7">
        <f>INT((S757-DATE(YEAR(S757-WEEKDAY(S757-0)+4),1,4)+WEEKDAY(DATE(YEAR(S757-WEEKDAY(S757-0)+4),1,4))+6)/7)</f>
        <v>8</v>
      </c>
      <c r="AB757" s="3" t="s">
        <v>1879</v>
      </c>
      <c r="AC757" s="7">
        <v>39569</v>
      </c>
      <c r="AD757" s="7">
        <v>0</v>
      </c>
      <c r="AE757" s="7">
        <v>1</v>
      </c>
      <c r="AF757" s="3" t="s">
        <v>48</v>
      </c>
      <c r="AG757" s="7">
        <v>2023</v>
      </c>
      <c r="AH757" s="12" t="s">
        <v>452</v>
      </c>
      <c r="AI757" s="3" t="s">
        <v>453</v>
      </c>
      <c r="AJ757" s="3" t="s">
        <v>48</v>
      </c>
      <c r="AK757" s="3" t="s">
        <v>725</v>
      </c>
      <c r="AL757" s="3" t="s">
        <v>59</v>
      </c>
      <c r="AM757" s="3" t="s">
        <v>60</v>
      </c>
      <c r="AN757" s="3" t="s">
        <v>61</v>
      </c>
      <c r="AO757" s="3" t="s">
        <v>62</v>
      </c>
      <c r="AP757" s="3" t="s">
        <v>69</v>
      </c>
      <c r="AQ757" s="3" t="s">
        <v>61</v>
      </c>
      <c r="AR757" s="3" t="s">
        <v>48</v>
      </c>
    </row>
    <row r="758" spans="1:44" ht="30" customHeight="1">
      <c r="A758" s="3" t="s">
        <v>44</v>
      </c>
      <c r="B758" s="3" t="s">
        <v>45</v>
      </c>
      <c r="C758" s="3" t="s">
        <v>46</v>
      </c>
      <c r="D758" s="3" t="s">
        <v>47</v>
      </c>
      <c r="E758" s="3" t="s">
        <v>48</v>
      </c>
      <c r="F758" s="3" t="s">
        <v>49</v>
      </c>
      <c r="G758" s="3" t="s">
        <v>63</v>
      </c>
      <c r="H758" s="4">
        <f>IF(DATEDIF(L758,S758,"m")&gt;12,DATEDIF(L758,S758,"y"),(DATEDIF(L758,S758,"m")/12))</f>
        <v>22</v>
      </c>
      <c r="I758" s="7">
        <f>DATEDIF(L758,S758,"M")</f>
        <v>266</v>
      </c>
      <c r="J758" s="7">
        <f>DATEDIF(L758,S758,"D")</f>
        <v>8121</v>
      </c>
      <c r="K758" s="3" t="s">
        <v>64</v>
      </c>
      <c r="L758" s="8">
        <v>36874</v>
      </c>
      <c r="M758" s="3" t="s">
        <v>45</v>
      </c>
      <c r="N758" s="3" t="s">
        <v>65</v>
      </c>
      <c r="O758" s="3" t="s">
        <v>52</v>
      </c>
      <c r="P758" s="3" t="s">
        <v>66</v>
      </c>
      <c r="Q758" s="7">
        <v>0</v>
      </c>
      <c r="R758" s="8">
        <v>44999</v>
      </c>
      <c r="S758" s="8">
        <v>44995</v>
      </c>
      <c r="T758" s="3" t="s">
        <v>54</v>
      </c>
      <c r="U758" s="3" t="s">
        <v>55</v>
      </c>
      <c r="V758" s="9"/>
      <c r="W758" s="10">
        <v>45001</v>
      </c>
      <c r="X758" s="7">
        <v>2</v>
      </c>
      <c r="Y758" s="7">
        <v>4</v>
      </c>
      <c r="Z758" s="7">
        <v>3</v>
      </c>
      <c r="AA758" s="7">
        <f>INT((S758-DATE(YEAR(S758-WEEKDAY(S758-0)+4),1,4)+WEEKDAY(DATE(YEAR(S758-WEEKDAY(S758-0)+4),1,4))+6)/7)</f>
        <v>10</v>
      </c>
      <c r="AB758" s="3" t="s">
        <v>67</v>
      </c>
      <c r="AC758" s="7">
        <v>126</v>
      </c>
      <c r="AD758" s="7">
        <v>0</v>
      </c>
      <c r="AE758" s="7">
        <v>0</v>
      </c>
      <c r="AF758" s="3" t="s">
        <v>48</v>
      </c>
      <c r="AG758" s="7">
        <v>2023</v>
      </c>
      <c r="AH758" s="3" t="s">
        <v>57</v>
      </c>
      <c r="AI758" s="3" t="s">
        <v>48</v>
      </c>
      <c r="AJ758" s="3" t="s">
        <v>48</v>
      </c>
      <c r="AK758" s="3" t="s">
        <v>68</v>
      </c>
      <c r="AL758" s="3" t="s">
        <v>59</v>
      </c>
      <c r="AM758" s="3" t="s">
        <v>60</v>
      </c>
      <c r="AN758" s="3" t="s">
        <v>61</v>
      </c>
      <c r="AO758" s="3" t="s">
        <v>62</v>
      </c>
      <c r="AP758" s="3" t="s">
        <v>69</v>
      </c>
      <c r="AQ758" s="3" t="s">
        <v>61</v>
      </c>
      <c r="AR758" s="3" t="s">
        <v>48</v>
      </c>
    </row>
    <row r="759" spans="1:44" ht="30" customHeight="1">
      <c r="A759" s="3" t="s">
        <v>44</v>
      </c>
      <c r="B759" s="3" t="s">
        <v>45</v>
      </c>
      <c r="C759" s="3" t="s">
        <v>46</v>
      </c>
      <c r="D759" s="3" t="s">
        <v>108</v>
      </c>
      <c r="E759" s="3" t="s">
        <v>48</v>
      </c>
      <c r="F759" s="3" t="s">
        <v>108</v>
      </c>
      <c r="G759" s="3" t="s">
        <v>2116</v>
      </c>
      <c r="H759" s="4">
        <f>IF(DATEDIF(L759,S759,"m")&gt;12,DATEDIF(L759,S759,"y"),(DATEDIF(L759,S759,"m")/12))</f>
        <v>9</v>
      </c>
      <c r="I759" s="7">
        <f>DATEDIF(L759,S759,"M")</f>
        <v>110</v>
      </c>
      <c r="J759" s="7">
        <f>DATEDIF(L759,S759,"D")</f>
        <v>3368</v>
      </c>
      <c r="K759" s="3" t="s">
        <v>51</v>
      </c>
      <c r="L759" s="8">
        <v>41596</v>
      </c>
      <c r="M759" s="3" t="s">
        <v>45</v>
      </c>
      <c r="N759" s="3" t="s">
        <v>73</v>
      </c>
      <c r="O759" s="3" t="s">
        <v>52</v>
      </c>
      <c r="P759" s="3" t="s">
        <v>962</v>
      </c>
      <c r="Q759" s="7">
        <v>0</v>
      </c>
      <c r="R759" s="8">
        <v>44964</v>
      </c>
      <c r="S759" s="8">
        <v>44964</v>
      </c>
      <c r="T759" s="3" t="s">
        <v>54</v>
      </c>
      <c r="U759" s="3" t="s">
        <v>55</v>
      </c>
      <c r="V759" s="9"/>
      <c r="W759" s="10">
        <v>44971</v>
      </c>
      <c r="X759" s="7">
        <v>7</v>
      </c>
      <c r="Y759" s="7">
        <v>0</v>
      </c>
      <c r="Z759" s="7">
        <v>2</v>
      </c>
      <c r="AA759" s="7">
        <f>INT((S759-DATE(YEAR(S759-WEEKDAY(S759-0)+4),1,4)+WEEKDAY(DATE(YEAR(S759-WEEKDAY(S759-0)+4),1,4))+6)/7)</f>
        <v>6</v>
      </c>
      <c r="AB759" s="3" t="s">
        <v>2117</v>
      </c>
      <c r="AC759" s="7">
        <v>228</v>
      </c>
      <c r="AD759" s="7">
        <v>0</v>
      </c>
      <c r="AE759" s="7">
        <v>0</v>
      </c>
      <c r="AF759" s="3" t="s">
        <v>48</v>
      </c>
      <c r="AG759" s="7">
        <v>2023</v>
      </c>
      <c r="AH759" s="3" t="s">
        <v>112</v>
      </c>
      <c r="AI759" s="3" t="s">
        <v>113</v>
      </c>
      <c r="AJ759" s="3" t="s">
        <v>48</v>
      </c>
      <c r="AK759" s="3" t="s">
        <v>199</v>
      </c>
      <c r="AL759" s="3" t="s">
        <v>59</v>
      </c>
      <c r="AM759" s="3" t="s">
        <v>115</v>
      </c>
      <c r="AN759" s="3" t="s">
        <v>61</v>
      </c>
      <c r="AO759" s="3" t="s">
        <v>62</v>
      </c>
      <c r="AP759" s="3" t="s">
        <v>69</v>
      </c>
      <c r="AQ759" s="3" t="s">
        <v>61</v>
      </c>
      <c r="AR759" s="3" t="s">
        <v>48</v>
      </c>
    </row>
    <row r="760" spans="1:44" ht="30" customHeight="1">
      <c r="A760" s="3" t="s">
        <v>44</v>
      </c>
      <c r="B760" s="3" t="s">
        <v>45</v>
      </c>
      <c r="C760" s="3" t="s">
        <v>46</v>
      </c>
      <c r="D760" s="3" t="s">
        <v>47</v>
      </c>
      <c r="E760" s="3" t="s">
        <v>48</v>
      </c>
      <c r="F760" s="3" t="s">
        <v>49</v>
      </c>
      <c r="G760" s="3" t="s">
        <v>474</v>
      </c>
      <c r="H760" s="4">
        <f>IF(DATEDIF(L760,S760,"m")&gt;12,DATEDIF(L760,S760,"y"),(DATEDIF(L760,S760,"m")/12))</f>
        <v>19</v>
      </c>
      <c r="I760" s="7">
        <f>DATEDIF(L760,S760,"M")</f>
        <v>230</v>
      </c>
      <c r="J760" s="7">
        <f>DATEDIF(L760,S760,"D")</f>
        <v>7024</v>
      </c>
      <c r="K760" s="3" t="s">
        <v>51</v>
      </c>
      <c r="L760" s="8">
        <v>37972</v>
      </c>
      <c r="M760" s="3" t="s">
        <v>45</v>
      </c>
      <c r="N760" s="3" t="s">
        <v>65</v>
      </c>
      <c r="O760" s="3" t="s">
        <v>52</v>
      </c>
      <c r="P760" s="3" t="s">
        <v>91</v>
      </c>
      <c r="Q760" s="7">
        <v>0</v>
      </c>
      <c r="R760" s="8">
        <v>44999</v>
      </c>
      <c r="S760" s="8">
        <v>44996</v>
      </c>
      <c r="T760" s="3" t="s">
        <v>54</v>
      </c>
      <c r="U760" s="3" t="s">
        <v>55</v>
      </c>
      <c r="V760" s="9"/>
      <c r="W760" s="10">
        <v>45001</v>
      </c>
      <c r="X760" s="7">
        <v>2</v>
      </c>
      <c r="Y760" s="7">
        <v>3</v>
      </c>
      <c r="Z760" s="7">
        <v>3</v>
      </c>
      <c r="AA760" s="7">
        <f>INT((S760-DATE(YEAR(S760-WEEKDAY(S760-0)+4),1,4)+WEEKDAY(DATE(YEAR(S760-WEEKDAY(S760-0)+4),1,4))+6)/7)</f>
        <v>10</v>
      </c>
      <c r="AB760" s="3" t="s">
        <v>475</v>
      </c>
      <c r="AC760" s="7">
        <v>121</v>
      </c>
      <c r="AD760" s="7">
        <v>0</v>
      </c>
      <c r="AE760" s="7">
        <v>0</v>
      </c>
      <c r="AF760" s="3" t="s">
        <v>48</v>
      </c>
      <c r="AG760" s="7">
        <v>2023</v>
      </c>
      <c r="AH760" s="3" t="s">
        <v>57</v>
      </c>
      <c r="AI760" s="3" t="s">
        <v>48</v>
      </c>
      <c r="AJ760" s="3" t="s">
        <v>48</v>
      </c>
      <c r="AK760" s="3" t="s">
        <v>282</v>
      </c>
      <c r="AL760" s="3" t="s">
        <v>59</v>
      </c>
      <c r="AM760" s="3" t="s">
        <v>60</v>
      </c>
      <c r="AN760" s="3" t="s">
        <v>61</v>
      </c>
      <c r="AO760" s="3" t="s">
        <v>62</v>
      </c>
      <c r="AP760" s="3" t="s">
        <v>69</v>
      </c>
      <c r="AQ760" s="3" t="s">
        <v>61</v>
      </c>
      <c r="AR760" s="3" t="s">
        <v>48</v>
      </c>
    </row>
    <row r="761" spans="1:44" ht="30" customHeight="1">
      <c r="A761" s="3" t="s">
        <v>44</v>
      </c>
      <c r="B761" s="3" t="s">
        <v>45</v>
      </c>
      <c r="C761" s="3" t="s">
        <v>46</v>
      </c>
      <c r="D761" s="3" t="s">
        <v>47</v>
      </c>
      <c r="E761" s="3" t="s">
        <v>48</v>
      </c>
      <c r="F761" s="3" t="s">
        <v>49</v>
      </c>
      <c r="G761" s="3" t="s">
        <v>513</v>
      </c>
      <c r="H761" s="4">
        <f>IF(DATEDIF(L761,S761,"m")&gt;12,DATEDIF(L761,S761,"y"),(DATEDIF(L761,S761,"m")/12))</f>
        <v>10</v>
      </c>
      <c r="I761" s="7">
        <f>DATEDIF(L761,S761,"M")</f>
        <v>124</v>
      </c>
      <c r="J761" s="7">
        <f>DATEDIF(L761,S761,"D")</f>
        <v>3781</v>
      </c>
      <c r="K761" s="3" t="s">
        <v>64</v>
      </c>
      <c r="L761" s="8">
        <v>41211</v>
      </c>
      <c r="M761" s="3" t="s">
        <v>45</v>
      </c>
      <c r="N761" s="3" t="s">
        <v>65</v>
      </c>
      <c r="O761" s="3" t="s">
        <v>52</v>
      </c>
      <c r="P761" s="3" t="s">
        <v>137</v>
      </c>
      <c r="Q761" s="7">
        <v>0</v>
      </c>
      <c r="R761" s="8">
        <v>44998</v>
      </c>
      <c r="S761" s="8">
        <v>44992</v>
      </c>
      <c r="T761" s="3" t="s">
        <v>54</v>
      </c>
      <c r="U761" s="3" t="s">
        <v>55</v>
      </c>
      <c r="V761" s="9"/>
      <c r="W761" s="10">
        <v>45001</v>
      </c>
      <c r="X761" s="7">
        <v>3</v>
      </c>
      <c r="Y761" s="7">
        <v>6</v>
      </c>
      <c r="Z761" s="7">
        <v>3</v>
      </c>
      <c r="AA761" s="7">
        <f>INT((S761-DATE(YEAR(S761-WEEKDAY(S761-0)+4),1,4)+WEEKDAY(DATE(YEAR(S761-WEEKDAY(S761-0)+4),1,4))+6)/7)</f>
        <v>10</v>
      </c>
      <c r="AB761" s="3" t="s">
        <v>514</v>
      </c>
      <c r="AC761" s="7">
        <v>117</v>
      </c>
      <c r="AD761" s="7">
        <v>0</v>
      </c>
      <c r="AE761" s="7">
        <v>0</v>
      </c>
      <c r="AF761" s="3" t="s">
        <v>48</v>
      </c>
      <c r="AG761" s="7">
        <v>2023</v>
      </c>
      <c r="AH761" s="3" t="s">
        <v>57</v>
      </c>
      <c r="AI761" s="3" t="s">
        <v>48</v>
      </c>
      <c r="AJ761" s="3" t="s">
        <v>48</v>
      </c>
      <c r="AK761" s="18" t="s">
        <v>182</v>
      </c>
      <c r="AL761" s="3" t="s">
        <v>59</v>
      </c>
      <c r="AM761" s="3" t="s">
        <v>60</v>
      </c>
      <c r="AN761" s="3" t="s">
        <v>61</v>
      </c>
      <c r="AO761" s="3" t="s">
        <v>62</v>
      </c>
      <c r="AP761" s="3" t="s">
        <v>69</v>
      </c>
      <c r="AQ761" s="3" t="s">
        <v>61</v>
      </c>
      <c r="AR761" s="3" t="s">
        <v>48</v>
      </c>
    </row>
    <row r="762" spans="1:44" ht="30" customHeight="1">
      <c r="A762" s="3" t="s">
        <v>44</v>
      </c>
      <c r="B762" s="3" t="s">
        <v>45</v>
      </c>
      <c r="C762" s="3" t="s">
        <v>46</v>
      </c>
      <c r="D762" s="3" t="s">
        <v>108</v>
      </c>
      <c r="E762" s="3" t="s">
        <v>48</v>
      </c>
      <c r="F762" s="3" t="s">
        <v>108</v>
      </c>
      <c r="G762" s="3" t="s">
        <v>2148</v>
      </c>
      <c r="H762" s="4">
        <f>IF(DATEDIF(L762,S762,"m")&gt;12,DATEDIF(L762,S762,"y"),(DATEDIF(L762,S762,"m")/12))</f>
        <v>1</v>
      </c>
      <c r="I762" s="7">
        <f>DATEDIF(L762,S762,"M")</f>
        <v>14</v>
      </c>
      <c r="J762" s="7">
        <f>DATEDIF(L762,S762,"D")</f>
        <v>430</v>
      </c>
      <c r="K762" s="3" t="s">
        <v>64</v>
      </c>
      <c r="L762" s="8">
        <v>44533</v>
      </c>
      <c r="M762" s="3" t="s">
        <v>45</v>
      </c>
      <c r="N762" s="3" t="s">
        <v>73</v>
      </c>
      <c r="O762" s="3" t="s">
        <v>52</v>
      </c>
      <c r="P762" s="3" t="s">
        <v>237</v>
      </c>
      <c r="Q762" s="7">
        <v>0</v>
      </c>
      <c r="R762" s="8">
        <v>44965</v>
      </c>
      <c r="S762" s="8">
        <v>44963</v>
      </c>
      <c r="T762" s="3" t="s">
        <v>54</v>
      </c>
      <c r="U762" s="3" t="s">
        <v>55</v>
      </c>
      <c r="V762" s="9"/>
      <c r="W762" s="10">
        <v>44971</v>
      </c>
      <c r="X762" s="7">
        <v>6</v>
      </c>
      <c r="Y762" s="7">
        <v>2</v>
      </c>
      <c r="Z762" s="7">
        <v>2</v>
      </c>
      <c r="AA762" s="7">
        <f>INT((S762-DATE(YEAR(S762-WEEKDAY(S762-0)+4),1,4)+WEEKDAY(DATE(YEAR(S762-WEEKDAY(S762-0)+4),1,4))+6)/7)</f>
        <v>6</v>
      </c>
      <c r="AB762" s="3" t="s">
        <v>2149</v>
      </c>
      <c r="AC762" s="7">
        <v>247</v>
      </c>
      <c r="AD762" s="7">
        <v>0</v>
      </c>
      <c r="AE762" s="7">
        <v>0</v>
      </c>
      <c r="AF762" s="3" t="s">
        <v>48</v>
      </c>
      <c r="AG762" s="7">
        <v>2023</v>
      </c>
      <c r="AH762" s="3" t="s">
        <v>112</v>
      </c>
      <c r="AI762" s="3" t="s">
        <v>113</v>
      </c>
      <c r="AJ762" s="3" t="s">
        <v>48</v>
      </c>
      <c r="AK762" s="3" t="s">
        <v>199</v>
      </c>
      <c r="AL762" s="3" t="s">
        <v>59</v>
      </c>
      <c r="AM762" s="3" t="s">
        <v>115</v>
      </c>
      <c r="AN762" s="3" t="s">
        <v>61</v>
      </c>
      <c r="AO762" s="3" t="s">
        <v>62</v>
      </c>
      <c r="AP762" s="3" t="s">
        <v>69</v>
      </c>
      <c r="AQ762" s="3" t="s">
        <v>61</v>
      </c>
      <c r="AR762" s="3" t="s">
        <v>48</v>
      </c>
    </row>
    <row r="763" spans="1:44" ht="30" customHeight="1">
      <c r="A763" s="3" t="s">
        <v>44</v>
      </c>
      <c r="B763" s="3" t="s">
        <v>45</v>
      </c>
      <c r="C763" s="3" t="s">
        <v>46</v>
      </c>
      <c r="D763" s="3" t="s">
        <v>47</v>
      </c>
      <c r="E763" s="3" t="s">
        <v>48</v>
      </c>
      <c r="F763" s="3" t="s">
        <v>49</v>
      </c>
      <c r="G763" s="3" t="s">
        <v>672</v>
      </c>
      <c r="H763" s="4">
        <f>IF(DATEDIF(L763,S763,"m")&gt;12,DATEDIF(L763,S763,"y"),(DATEDIF(L763,S763,"m")/12))</f>
        <v>1</v>
      </c>
      <c r="I763" s="7">
        <f>DATEDIF(L763,S763,"M")</f>
        <v>14</v>
      </c>
      <c r="J763" s="7">
        <f>DATEDIF(L763,S763,"D")</f>
        <v>440</v>
      </c>
      <c r="K763" s="3" t="s">
        <v>64</v>
      </c>
      <c r="L763" s="8">
        <v>44556</v>
      </c>
      <c r="M763" s="3" t="s">
        <v>45</v>
      </c>
      <c r="N763" s="3" t="s">
        <v>49</v>
      </c>
      <c r="O763" s="3" t="s">
        <v>52</v>
      </c>
      <c r="P763" s="3" t="s">
        <v>169</v>
      </c>
      <c r="Q763" s="7">
        <v>0</v>
      </c>
      <c r="R763" s="8">
        <v>45000</v>
      </c>
      <c r="S763" s="8">
        <v>44996</v>
      </c>
      <c r="T763" s="3" t="s">
        <v>54</v>
      </c>
      <c r="U763" s="3" t="s">
        <v>55</v>
      </c>
      <c r="V763" s="9"/>
      <c r="W763" s="10">
        <v>45001</v>
      </c>
      <c r="X763" s="7">
        <v>1</v>
      </c>
      <c r="Y763" s="7">
        <v>4</v>
      </c>
      <c r="Z763" s="7">
        <v>3</v>
      </c>
      <c r="AA763" s="7">
        <f>INT((S763-DATE(YEAR(S763-WEEKDAY(S763-0)+4),1,4)+WEEKDAY(DATE(YEAR(S763-WEEKDAY(S763-0)+4),1,4))+6)/7)</f>
        <v>10</v>
      </c>
      <c r="AB763" s="3" t="s">
        <v>673</v>
      </c>
      <c r="AC763" s="7">
        <v>130</v>
      </c>
      <c r="AD763" s="7">
        <v>0</v>
      </c>
      <c r="AE763" s="7">
        <v>0</v>
      </c>
      <c r="AF763" s="3" t="s">
        <v>48</v>
      </c>
      <c r="AG763" s="7">
        <v>2023</v>
      </c>
      <c r="AH763" s="3" t="s">
        <v>57</v>
      </c>
      <c r="AI763" s="3" t="s">
        <v>48</v>
      </c>
      <c r="AJ763" s="3" t="s">
        <v>48</v>
      </c>
      <c r="AK763" s="3" t="s">
        <v>567</v>
      </c>
      <c r="AL763" s="3" t="s">
        <v>59</v>
      </c>
      <c r="AM763" s="3" t="s">
        <v>60</v>
      </c>
      <c r="AN763" s="3" t="s">
        <v>61</v>
      </c>
      <c r="AO763" s="3" t="s">
        <v>62</v>
      </c>
      <c r="AP763" s="3" t="s">
        <v>69</v>
      </c>
      <c r="AQ763" s="3" t="s">
        <v>61</v>
      </c>
      <c r="AR763" s="3" t="s">
        <v>48</v>
      </c>
    </row>
    <row r="764" spans="1:44" ht="30" customHeight="1">
      <c r="A764" s="3" t="s">
        <v>44</v>
      </c>
      <c r="B764" s="3" t="s">
        <v>45</v>
      </c>
      <c r="C764" s="3" t="s">
        <v>46</v>
      </c>
      <c r="D764" s="3" t="s">
        <v>47</v>
      </c>
      <c r="E764" s="3" t="s">
        <v>48</v>
      </c>
      <c r="F764" s="3" t="s">
        <v>49</v>
      </c>
      <c r="G764" s="3" t="s">
        <v>513</v>
      </c>
      <c r="H764" s="4">
        <f>IF(DATEDIF(L764,S764,"m")&gt;12,DATEDIF(L764,S764,"y"),(DATEDIF(L764,S764,"m")/12))</f>
        <v>19</v>
      </c>
      <c r="I764" s="7">
        <f>DATEDIF(L764,S764,"M")</f>
        <v>232</v>
      </c>
      <c r="J764" s="7">
        <f>DATEDIF(L764,S764,"D")</f>
        <v>7086</v>
      </c>
      <c r="K764" s="3" t="s">
        <v>51</v>
      </c>
      <c r="L764" s="8">
        <v>37898</v>
      </c>
      <c r="M764" s="3" t="s">
        <v>45</v>
      </c>
      <c r="N764" s="3" t="s">
        <v>49</v>
      </c>
      <c r="O764" s="3" t="s">
        <v>52</v>
      </c>
      <c r="P764" s="3" t="s">
        <v>463</v>
      </c>
      <c r="Q764" s="7">
        <v>0</v>
      </c>
      <c r="R764" s="8">
        <v>44998</v>
      </c>
      <c r="S764" s="8">
        <v>44984</v>
      </c>
      <c r="T764" s="3" t="s">
        <v>54</v>
      </c>
      <c r="U764" s="3" t="s">
        <v>55</v>
      </c>
      <c r="V764" s="9"/>
      <c r="W764" s="10">
        <v>45001</v>
      </c>
      <c r="X764" s="7">
        <v>3</v>
      </c>
      <c r="Y764" s="7">
        <v>14</v>
      </c>
      <c r="Z764" s="7">
        <v>2</v>
      </c>
      <c r="AA764" s="7">
        <f>INT((S764-DATE(YEAR(S764-WEEKDAY(S764-0)+4),1,4)+WEEKDAY(DATE(YEAR(S764-WEEKDAY(S764-0)+4),1,4))+6)/7)</f>
        <v>9</v>
      </c>
      <c r="AB764" s="3" t="s">
        <v>720</v>
      </c>
      <c r="AC764" s="7">
        <v>118</v>
      </c>
      <c r="AD764" s="7">
        <v>0</v>
      </c>
      <c r="AE764" s="7">
        <v>0</v>
      </c>
      <c r="AF764" s="3" t="s">
        <v>48</v>
      </c>
      <c r="AG764" s="7">
        <v>2023</v>
      </c>
      <c r="AH764" s="3" t="s">
        <v>57</v>
      </c>
      <c r="AI764" s="3" t="s">
        <v>48</v>
      </c>
      <c r="AJ764" s="3" t="s">
        <v>48</v>
      </c>
      <c r="AK764" s="3" t="s">
        <v>220</v>
      </c>
      <c r="AL764" s="3" t="s">
        <v>59</v>
      </c>
      <c r="AM764" s="3" t="s">
        <v>60</v>
      </c>
      <c r="AN764" s="3" t="s">
        <v>61</v>
      </c>
      <c r="AO764" s="3" t="s">
        <v>62</v>
      </c>
      <c r="AP764" s="3" t="s">
        <v>69</v>
      </c>
      <c r="AQ764" s="3" t="s">
        <v>61</v>
      </c>
      <c r="AR764" s="3" t="s">
        <v>48</v>
      </c>
    </row>
    <row r="765" spans="1:44" ht="30" customHeight="1">
      <c r="A765" s="3" t="s">
        <v>44</v>
      </c>
      <c r="B765" s="3" t="s">
        <v>45</v>
      </c>
      <c r="C765" s="3" t="s">
        <v>46</v>
      </c>
      <c r="D765" s="3" t="s">
        <v>47</v>
      </c>
      <c r="E765" s="3" t="s">
        <v>48</v>
      </c>
      <c r="F765" s="3" t="s">
        <v>49</v>
      </c>
      <c r="G765" s="3" t="s">
        <v>1149</v>
      </c>
      <c r="H765" s="4">
        <f>IF(DATEDIF(L765,S765,"m")&gt;12,DATEDIF(L765,S765,"y"),(DATEDIF(L765,S765,"m")/12))</f>
        <v>11</v>
      </c>
      <c r="I765" s="7">
        <f>DATEDIF(L765,S765,"M")</f>
        <v>136</v>
      </c>
      <c r="J765" s="7">
        <f>DATEDIF(L765,S765,"D")</f>
        <v>4156</v>
      </c>
      <c r="K765" s="3" t="s">
        <v>64</v>
      </c>
      <c r="L765" s="8">
        <v>40841</v>
      </c>
      <c r="M765" s="3" t="s">
        <v>45</v>
      </c>
      <c r="N765" s="3" t="s">
        <v>49</v>
      </c>
      <c r="O765" s="3" t="s">
        <v>52</v>
      </c>
      <c r="P765" s="3" t="s">
        <v>298</v>
      </c>
      <c r="Q765" s="7">
        <v>0</v>
      </c>
      <c r="R765" s="8">
        <v>44998</v>
      </c>
      <c r="S765" s="8">
        <v>44997</v>
      </c>
      <c r="T765" s="3" t="s">
        <v>54</v>
      </c>
      <c r="U765" s="3" t="s">
        <v>55</v>
      </c>
      <c r="V765" s="9"/>
      <c r="W765" s="10">
        <v>45001</v>
      </c>
      <c r="X765" s="7">
        <v>3</v>
      </c>
      <c r="Y765" s="7">
        <v>1</v>
      </c>
      <c r="Z765" s="7">
        <v>3</v>
      </c>
      <c r="AA765" s="7">
        <f>INT((S765-DATE(YEAR(S765-WEEKDAY(S765-0)+4),1,4)+WEEKDAY(DATE(YEAR(S765-WEEKDAY(S765-0)+4),1,4))+6)/7)</f>
        <v>11</v>
      </c>
      <c r="AB765" s="3" t="s">
        <v>1150</v>
      </c>
      <c r="AC765" s="7">
        <v>120</v>
      </c>
      <c r="AD765" s="7">
        <v>0</v>
      </c>
      <c r="AE765" s="7">
        <v>0</v>
      </c>
      <c r="AF765" s="3" t="s">
        <v>48</v>
      </c>
      <c r="AG765" s="7">
        <v>2023</v>
      </c>
      <c r="AH765" s="3" t="s">
        <v>57</v>
      </c>
      <c r="AI765" s="3" t="s">
        <v>48</v>
      </c>
      <c r="AJ765" s="3" t="s">
        <v>48</v>
      </c>
      <c r="AK765" s="18" t="s">
        <v>58</v>
      </c>
      <c r="AL765" s="3" t="s">
        <v>59</v>
      </c>
      <c r="AM765" s="3" t="s">
        <v>60</v>
      </c>
      <c r="AN765" s="3" t="s">
        <v>61</v>
      </c>
      <c r="AO765" s="3" t="s">
        <v>62</v>
      </c>
      <c r="AP765" s="3" t="s">
        <v>69</v>
      </c>
      <c r="AQ765" s="3" t="s">
        <v>61</v>
      </c>
      <c r="AR765" s="3" t="s">
        <v>48</v>
      </c>
    </row>
    <row r="766" spans="1:44" ht="30" customHeight="1">
      <c r="A766" s="3" t="s">
        <v>44</v>
      </c>
      <c r="B766" s="3" t="s">
        <v>45</v>
      </c>
      <c r="C766" s="3" t="s">
        <v>121</v>
      </c>
      <c r="D766" s="3" t="s">
        <v>121</v>
      </c>
      <c r="E766" s="3" t="s">
        <v>48</v>
      </c>
      <c r="F766" s="3" t="s">
        <v>449</v>
      </c>
      <c r="G766" s="3" t="s">
        <v>2228</v>
      </c>
      <c r="H766" s="4">
        <f>IF(DATEDIF(L766,S766,"m")&gt;12,DATEDIF(L766,S766,"y"),(DATEDIF(L766,S766,"m")/12))</f>
        <v>63</v>
      </c>
      <c r="I766" s="7">
        <f>DATEDIF(L766,S766,"M")</f>
        <v>762</v>
      </c>
      <c r="J766" s="7">
        <f>DATEDIF(L766,S766,"D")</f>
        <v>23201</v>
      </c>
      <c r="K766" s="3" t="s">
        <v>51</v>
      </c>
      <c r="L766" s="8">
        <v>21766</v>
      </c>
      <c r="M766" s="3" t="s">
        <v>45</v>
      </c>
      <c r="N766" s="3" t="s">
        <v>73</v>
      </c>
      <c r="O766" s="3" t="s">
        <v>52</v>
      </c>
      <c r="P766" s="3" t="s">
        <v>1960</v>
      </c>
      <c r="Q766" s="7">
        <v>1</v>
      </c>
      <c r="R766" s="8">
        <v>44968</v>
      </c>
      <c r="S766" s="8">
        <v>44967</v>
      </c>
      <c r="T766" s="3" t="s">
        <v>54</v>
      </c>
      <c r="U766" s="3" t="s">
        <v>55</v>
      </c>
      <c r="V766" s="9"/>
      <c r="W766" s="10">
        <v>44972</v>
      </c>
      <c r="X766" s="7">
        <v>4</v>
      </c>
      <c r="Y766" s="7">
        <v>1</v>
      </c>
      <c r="Z766" s="7">
        <v>2</v>
      </c>
      <c r="AA766" s="7">
        <f>INT((S766-DATE(YEAR(S766-WEEKDAY(S766-0)+4),1,4)+WEEKDAY(DATE(YEAR(S766-WEEKDAY(S766-0)+4),1,4))+6)/7)</f>
        <v>6</v>
      </c>
      <c r="AB766" s="3" t="s">
        <v>2229</v>
      </c>
      <c r="AC766" s="7">
        <v>39382</v>
      </c>
      <c r="AD766" s="7">
        <v>0</v>
      </c>
      <c r="AE766" s="7">
        <v>1</v>
      </c>
      <c r="AF766" s="3" t="s">
        <v>48</v>
      </c>
      <c r="AG766" s="7">
        <v>2023</v>
      </c>
      <c r="AH766" s="12" t="s">
        <v>452</v>
      </c>
      <c r="AI766" s="3" t="s">
        <v>453</v>
      </c>
      <c r="AJ766" s="3" t="s">
        <v>48</v>
      </c>
      <c r="AK766" s="3" t="s">
        <v>199</v>
      </c>
      <c r="AL766" s="3" t="s">
        <v>59</v>
      </c>
      <c r="AM766" s="3" t="s">
        <v>60</v>
      </c>
      <c r="AN766" s="3" t="s">
        <v>61</v>
      </c>
      <c r="AO766" s="3" t="s">
        <v>62</v>
      </c>
      <c r="AP766" s="3" t="s">
        <v>69</v>
      </c>
      <c r="AQ766" s="3" t="s">
        <v>61</v>
      </c>
      <c r="AR766" s="3" t="s">
        <v>48</v>
      </c>
    </row>
    <row r="767" spans="1:44" ht="30" customHeight="1">
      <c r="A767" s="3" t="s">
        <v>44</v>
      </c>
      <c r="B767" s="3" t="s">
        <v>45</v>
      </c>
      <c r="C767" s="3" t="s">
        <v>46</v>
      </c>
      <c r="D767" s="3" t="s">
        <v>47</v>
      </c>
      <c r="E767" s="3" t="s">
        <v>48</v>
      </c>
      <c r="F767" s="3" t="s">
        <v>49</v>
      </c>
      <c r="G767" s="3" t="s">
        <v>1368</v>
      </c>
      <c r="H767" s="4">
        <f>IF(DATEDIF(L767,S767,"m")&gt;12,DATEDIF(L767,S767,"y"),(DATEDIF(L767,S767,"m")/12))</f>
        <v>3</v>
      </c>
      <c r="I767" s="7">
        <f>DATEDIF(L767,S767,"M")</f>
        <v>41</v>
      </c>
      <c r="J767" s="7">
        <f>DATEDIF(L767,S767,"D")</f>
        <v>1252</v>
      </c>
      <c r="K767" s="3" t="s">
        <v>64</v>
      </c>
      <c r="L767" s="8">
        <v>43739</v>
      </c>
      <c r="M767" s="3" t="s">
        <v>45</v>
      </c>
      <c r="N767" s="3" t="s">
        <v>65</v>
      </c>
      <c r="O767" s="3" t="s">
        <v>52</v>
      </c>
      <c r="P767" s="3" t="s">
        <v>1369</v>
      </c>
      <c r="Q767" s="7">
        <v>0</v>
      </c>
      <c r="R767" s="8">
        <v>44997</v>
      </c>
      <c r="S767" s="8">
        <v>44991</v>
      </c>
      <c r="T767" s="3" t="s">
        <v>54</v>
      </c>
      <c r="U767" s="3" t="s">
        <v>55</v>
      </c>
      <c r="V767" s="9"/>
      <c r="W767" s="10">
        <v>45001</v>
      </c>
      <c r="X767" s="7">
        <v>4</v>
      </c>
      <c r="Y767" s="7">
        <v>6</v>
      </c>
      <c r="Z767" s="7">
        <v>3</v>
      </c>
      <c r="AA767" s="7">
        <f>INT((S767-DATE(YEAR(S767-WEEKDAY(S767-0)+4),1,4)+WEEKDAY(DATE(YEAR(S767-WEEKDAY(S767-0)+4),1,4))+6)/7)</f>
        <v>10</v>
      </c>
      <c r="AB767" s="3" t="s">
        <v>1370</v>
      </c>
      <c r="AC767" s="7">
        <v>115</v>
      </c>
      <c r="AD767" s="7">
        <v>0</v>
      </c>
      <c r="AE767" s="7">
        <v>0</v>
      </c>
      <c r="AF767" s="3" t="s">
        <v>48</v>
      </c>
      <c r="AG767" s="7">
        <v>2023</v>
      </c>
      <c r="AH767" s="3" t="s">
        <v>57</v>
      </c>
      <c r="AI767" s="3" t="s">
        <v>48</v>
      </c>
      <c r="AJ767" s="3" t="s">
        <v>48</v>
      </c>
      <c r="AK767" s="3" t="s">
        <v>1371</v>
      </c>
      <c r="AL767" s="3" t="s">
        <v>59</v>
      </c>
      <c r="AM767" s="3" t="s">
        <v>60</v>
      </c>
      <c r="AN767" s="3" t="s">
        <v>61</v>
      </c>
      <c r="AO767" s="3" t="s">
        <v>62</v>
      </c>
      <c r="AP767" s="3" t="s">
        <v>69</v>
      </c>
      <c r="AQ767" s="3" t="s">
        <v>61</v>
      </c>
      <c r="AR767" s="3" t="s">
        <v>48</v>
      </c>
    </row>
    <row r="768" spans="1:44" ht="30" customHeight="1">
      <c r="A768" s="3" t="s">
        <v>44</v>
      </c>
      <c r="B768" s="3" t="s">
        <v>45</v>
      </c>
      <c r="C768" s="3" t="s">
        <v>46</v>
      </c>
      <c r="D768" s="3" t="s">
        <v>47</v>
      </c>
      <c r="E768" s="3" t="s">
        <v>48</v>
      </c>
      <c r="F768" s="3" t="s">
        <v>49</v>
      </c>
      <c r="G768" s="3" t="s">
        <v>1438</v>
      </c>
      <c r="H768" s="4">
        <f>IF(DATEDIF(L768,S768,"m")&gt;12,DATEDIF(L768,S768,"y"),(DATEDIF(L768,S768,"m")/12))</f>
        <v>54</v>
      </c>
      <c r="I768" s="7">
        <f>DATEDIF(L768,S768,"M")</f>
        <v>652</v>
      </c>
      <c r="J768" s="7">
        <f>DATEDIF(L768,S768,"D")</f>
        <v>19851</v>
      </c>
      <c r="K768" s="3" t="s">
        <v>51</v>
      </c>
      <c r="L768" s="8">
        <v>25141</v>
      </c>
      <c r="M768" s="3" t="s">
        <v>45</v>
      </c>
      <c r="N768" s="3" t="s">
        <v>49</v>
      </c>
      <c r="O768" s="3" t="s">
        <v>52</v>
      </c>
      <c r="P768" s="3" t="s">
        <v>389</v>
      </c>
      <c r="Q768" s="7">
        <v>0</v>
      </c>
      <c r="R768" s="8">
        <v>44998</v>
      </c>
      <c r="S768" s="8">
        <v>44992</v>
      </c>
      <c r="T768" s="3" t="s">
        <v>54</v>
      </c>
      <c r="U768" s="3" t="s">
        <v>55</v>
      </c>
      <c r="V768" s="9"/>
      <c r="W768" s="10">
        <v>45001</v>
      </c>
      <c r="X768" s="7">
        <v>3</v>
      </c>
      <c r="Y768" s="7">
        <v>6</v>
      </c>
      <c r="Z768" s="7">
        <v>3</v>
      </c>
      <c r="AA768" s="7">
        <f>INT((S768-DATE(YEAR(S768-WEEKDAY(S768-0)+4),1,4)+WEEKDAY(DATE(YEAR(S768-WEEKDAY(S768-0)+4),1,4))+6)/7)</f>
        <v>10</v>
      </c>
      <c r="AB768" s="3" t="s">
        <v>1439</v>
      </c>
      <c r="AC768" s="7">
        <v>119</v>
      </c>
      <c r="AD768" s="7">
        <v>0</v>
      </c>
      <c r="AE768" s="7">
        <v>0</v>
      </c>
      <c r="AF768" s="3" t="s">
        <v>48</v>
      </c>
      <c r="AG768" s="7">
        <v>2023</v>
      </c>
      <c r="AH768" s="3" t="s">
        <v>57</v>
      </c>
      <c r="AI768" s="3" t="s">
        <v>48</v>
      </c>
      <c r="AJ768" s="3" t="s">
        <v>48</v>
      </c>
      <c r="AK768" s="3" t="s">
        <v>58</v>
      </c>
      <c r="AL768" s="3" t="s">
        <v>59</v>
      </c>
      <c r="AM768" s="3" t="s">
        <v>60</v>
      </c>
      <c r="AN768" s="3" t="s">
        <v>61</v>
      </c>
      <c r="AO768" s="3" t="s">
        <v>62</v>
      </c>
      <c r="AP768" s="3" t="s">
        <v>69</v>
      </c>
      <c r="AQ768" s="3" t="s">
        <v>61</v>
      </c>
      <c r="AR768" s="3" t="s">
        <v>48</v>
      </c>
    </row>
    <row r="769" spans="1:44" ht="30" customHeight="1">
      <c r="A769" s="3" t="s">
        <v>44</v>
      </c>
      <c r="B769" s="3" t="s">
        <v>45</v>
      </c>
      <c r="C769" s="3" t="s">
        <v>46</v>
      </c>
      <c r="D769" s="3" t="s">
        <v>47</v>
      </c>
      <c r="E769" s="3" t="s">
        <v>48</v>
      </c>
      <c r="F769" s="3" t="s">
        <v>49</v>
      </c>
      <c r="G769" s="3" t="s">
        <v>1585</v>
      </c>
      <c r="H769" s="4">
        <f>IF(DATEDIF(L769,S769,"m")&gt;12,DATEDIF(L769,S769,"y"),(DATEDIF(L769,S769,"m")/12))</f>
        <v>7</v>
      </c>
      <c r="I769" s="7">
        <f>DATEDIF(L769,S769,"M")</f>
        <v>94</v>
      </c>
      <c r="J769" s="7">
        <f>DATEDIF(L769,S769,"D")</f>
        <v>2883</v>
      </c>
      <c r="K769" s="3" t="s">
        <v>51</v>
      </c>
      <c r="L769" s="8">
        <v>42113</v>
      </c>
      <c r="M769" s="3" t="s">
        <v>45</v>
      </c>
      <c r="N769" s="3" t="s">
        <v>49</v>
      </c>
      <c r="O769" s="3" t="s">
        <v>52</v>
      </c>
      <c r="P769" s="3" t="s">
        <v>389</v>
      </c>
      <c r="Q769" s="7">
        <v>0</v>
      </c>
      <c r="R769" s="8">
        <v>44997</v>
      </c>
      <c r="S769" s="8">
        <v>44996</v>
      </c>
      <c r="T769" s="3" t="s">
        <v>54</v>
      </c>
      <c r="U769" s="3" t="s">
        <v>55</v>
      </c>
      <c r="V769" s="9"/>
      <c r="W769" s="10">
        <v>45001</v>
      </c>
      <c r="X769" s="7">
        <v>4</v>
      </c>
      <c r="Y769" s="7">
        <v>1</v>
      </c>
      <c r="Z769" s="7">
        <v>3</v>
      </c>
      <c r="AA769" s="7">
        <f>INT((S769-DATE(YEAR(S769-WEEKDAY(S769-0)+4),1,4)+WEEKDAY(DATE(YEAR(S769-WEEKDAY(S769-0)+4),1,4))+6)/7)</f>
        <v>10</v>
      </c>
      <c r="AB769" s="3" t="s">
        <v>1586</v>
      </c>
      <c r="AC769" s="7">
        <v>114</v>
      </c>
      <c r="AD769" s="7">
        <v>0</v>
      </c>
      <c r="AE769" s="7">
        <v>0</v>
      </c>
      <c r="AF769" s="3" t="s">
        <v>48</v>
      </c>
      <c r="AG769" s="7">
        <v>2023</v>
      </c>
      <c r="AH769" s="3" t="s">
        <v>57</v>
      </c>
      <c r="AI769" s="3" t="s">
        <v>48</v>
      </c>
      <c r="AJ769" s="3" t="s">
        <v>48</v>
      </c>
      <c r="AK769" s="3" t="s">
        <v>58</v>
      </c>
      <c r="AL769" s="3" t="s">
        <v>59</v>
      </c>
      <c r="AM769" s="3" t="s">
        <v>60</v>
      </c>
      <c r="AN769" s="3" t="s">
        <v>61</v>
      </c>
      <c r="AO769" s="3" t="s">
        <v>62</v>
      </c>
      <c r="AP769" s="3" t="s">
        <v>69</v>
      </c>
      <c r="AQ769" s="3" t="s">
        <v>61</v>
      </c>
      <c r="AR769" s="3" t="s">
        <v>48</v>
      </c>
    </row>
    <row r="770" spans="1:44" ht="30" customHeight="1">
      <c r="A770" s="3" t="s">
        <v>44</v>
      </c>
      <c r="B770" s="3" t="s">
        <v>45</v>
      </c>
      <c r="C770" s="3" t="s">
        <v>46</v>
      </c>
      <c r="D770" s="3" t="s">
        <v>47</v>
      </c>
      <c r="E770" s="3" t="s">
        <v>48</v>
      </c>
      <c r="F770" s="3" t="s">
        <v>49</v>
      </c>
      <c r="G770" s="3" t="s">
        <v>1758</v>
      </c>
      <c r="H770" s="5">
        <f>IF(DATEDIF(L770,S770,"m")&gt;12,DATEDIF(L770,S770,"y"),(DATEDIF(L770,S770,"m")/12))</f>
        <v>0.83333333333333337</v>
      </c>
      <c r="I770" s="7">
        <f>DATEDIF(L770,S770,"M")</f>
        <v>10</v>
      </c>
      <c r="J770" s="7">
        <f>DATEDIF(L770,S770,"D")</f>
        <v>326</v>
      </c>
      <c r="K770" s="3" t="s">
        <v>64</v>
      </c>
      <c r="L770" s="8">
        <v>44668</v>
      </c>
      <c r="M770" s="3" t="s">
        <v>45</v>
      </c>
      <c r="N770" s="3" t="s">
        <v>65</v>
      </c>
      <c r="O770" s="3" t="s">
        <v>52</v>
      </c>
      <c r="P770" s="3" t="s">
        <v>74</v>
      </c>
      <c r="Q770" s="7">
        <v>0</v>
      </c>
      <c r="R770" s="8">
        <v>44999</v>
      </c>
      <c r="S770" s="8">
        <v>44994</v>
      </c>
      <c r="T770" s="3" t="s">
        <v>54</v>
      </c>
      <c r="U770" s="3" t="s">
        <v>55</v>
      </c>
      <c r="V770" s="9"/>
      <c r="W770" s="10">
        <v>45001</v>
      </c>
      <c r="X770" s="7">
        <v>2</v>
      </c>
      <c r="Y770" s="7">
        <v>5</v>
      </c>
      <c r="Z770" s="7">
        <v>3</v>
      </c>
      <c r="AA770" s="7">
        <f>INT((S770-DATE(YEAR(S770-WEEKDAY(S770-0)+4),1,4)+WEEKDAY(DATE(YEAR(S770-WEEKDAY(S770-0)+4),1,4))+6)/7)</f>
        <v>10</v>
      </c>
      <c r="AB770" s="3" t="s">
        <v>1760</v>
      </c>
      <c r="AC770" s="7">
        <v>128</v>
      </c>
      <c r="AD770" s="7">
        <v>0</v>
      </c>
      <c r="AE770" s="7">
        <v>0</v>
      </c>
      <c r="AF770" s="3" t="s">
        <v>48</v>
      </c>
      <c r="AG770" s="7">
        <v>2023</v>
      </c>
      <c r="AH770" s="3" t="s">
        <v>57</v>
      </c>
      <c r="AI770" s="3" t="s">
        <v>48</v>
      </c>
      <c r="AJ770" s="3" t="s">
        <v>48</v>
      </c>
      <c r="AK770" s="3" t="s">
        <v>162</v>
      </c>
      <c r="AL770" s="3" t="s">
        <v>59</v>
      </c>
      <c r="AM770" s="3" t="s">
        <v>60</v>
      </c>
      <c r="AN770" s="3" t="s">
        <v>61</v>
      </c>
      <c r="AO770" s="3" t="s">
        <v>62</v>
      </c>
      <c r="AP770" s="3" t="s">
        <v>69</v>
      </c>
      <c r="AQ770" s="3" t="s">
        <v>61</v>
      </c>
      <c r="AR770" s="3" t="s">
        <v>48</v>
      </c>
    </row>
    <row r="771" spans="1:44" ht="30" customHeight="1">
      <c r="A771" s="3" t="s">
        <v>44</v>
      </c>
      <c r="B771" s="3" t="s">
        <v>45</v>
      </c>
      <c r="C771" s="3" t="s">
        <v>46</v>
      </c>
      <c r="D771" s="3" t="s">
        <v>47</v>
      </c>
      <c r="E771" s="3" t="s">
        <v>48</v>
      </c>
      <c r="F771" s="3" t="s">
        <v>49</v>
      </c>
      <c r="G771" s="3" t="s">
        <v>1966</v>
      </c>
      <c r="H771" s="4">
        <f>IF(DATEDIF(L771,S771,"m")&gt;12,DATEDIF(L771,S771,"y"),(DATEDIF(L771,S771,"m")/12))</f>
        <v>1</v>
      </c>
      <c r="I771" s="7">
        <f>DATEDIF(L771,S771,"M")</f>
        <v>14</v>
      </c>
      <c r="J771" s="7">
        <f>DATEDIF(L771,S771,"D")</f>
        <v>432</v>
      </c>
      <c r="K771" s="3" t="s">
        <v>64</v>
      </c>
      <c r="L771" s="8">
        <v>44565</v>
      </c>
      <c r="M771" s="3" t="s">
        <v>45</v>
      </c>
      <c r="N771" s="3" t="s">
        <v>49</v>
      </c>
      <c r="O771" s="3" t="s">
        <v>52</v>
      </c>
      <c r="P771" s="3" t="s">
        <v>1967</v>
      </c>
      <c r="Q771" s="7">
        <v>0</v>
      </c>
      <c r="R771" s="8">
        <v>44999</v>
      </c>
      <c r="S771" s="8">
        <v>44997</v>
      </c>
      <c r="T771" s="3" t="s">
        <v>54</v>
      </c>
      <c r="U771" s="3" t="s">
        <v>55</v>
      </c>
      <c r="V771" s="9"/>
      <c r="W771" s="10">
        <v>45001</v>
      </c>
      <c r="X771" s="7">
        <v>2</v>
      </c>
      <c r="Y771" s="7">
        <v>2</v>
      </c>
      <c r="Z771" s="7">
        <v>3</v>
      </c>
      <c r="AA771" s="7">
        <f>INT((S771-DATE(YEAR(S771-WEEKDAY(S771-0)+4),1,4)+WEEKDAY(DATE(YEAR(S771-WEEKDAY(S771-0)+4),1,4))+6)/7)</f>
        <v>11</v>
      </c>
      <c r="AB771" s="3" t="s">
        <v>1968</v>
      </c>
      <c r="AC771" s="7">
        <v>125</v>
      </c>
      <c r="AD771" s="7">
        <v>0</v>
      </c>
      <c r="AE771" s="7">
        <v>0</v>
      </c>
      <c r="AF771" s="3" t="s">
        <v>48</v>
      </c>
      <c r="AG771" s="7">
        <v>2023</v>
      </c>
      <c r="AH771" s="3" t="s">
        <v>57</v>
      </c>
      <c r="AI771" s="3" t="s">
        <v>48</v>
      </c>
      <c r="AJ771" s="3" t="s">
        <v>48</v>
      </c>
      <c r="AK771" s="3" t="s">
        <v>58</v>
      </c>
      <c r="AL771" s="3" t="s">
        <v>59</v>
      </c>
      <c r="AM771" s="3" t="s">
        <v>60</v>
      </c>
      <c r="AN771" s="3" t="s">
        <v>61</v>
      </c>
      <c r="AO771" s="3" t="s">
        <v>62</v>
      </c>
      <c r="AP771" s="3" t="s">
        <v>69</v>
      </c>
      <c r="AQ771" s="3" t="s">
        <v>61</v>
      </c>
      <c r="AR771" s="3" t="s">
        <v>48</v>
      </c>
    </row>
    <row r="772" spans="1:44" ht="30" customHeight="1">
      <c r="A772" s="3" t="s">
        <v>44</v>
      </c>
      <c r="B772" s="3" t="s">
        <v>45</v>
      </c>
      <c r="C772" s="3" t="s">
        <v>46</v>
      </c>
      <c r="D772" s="3" t="s">
        <v>47</v>
      </c>
      <c r="E772" s="3" t="s">
        <v>48</v>
      </c>
      <c r="F772" s="3" t="s">
        <v>49</v>
      </c>
      <c r="G772" s="3" t="s">
        <v>1262</v>
      </c>
      <c r="H772" s="4">
        <f>IF(DATEDIF(L772,S772,"m")&gt;12,DATEDIF(L772,S772,"y"),(DATEDIF(L772,S772,"m")/12))</f>
        <v>10</v>
      </c>
      <c r="I772" s="7">
        <f>DATEDIF(L772,S772,"M")</f>
        <v>125</v>
      </c>
      <c r="J772" s="7">
        <f>DATEDIF(L772,S772,"D")</f>
        <v>3821</v>
      </c>
      <c r="K772" s="3" t="s">
        <v>64</v>
      </c>
      <c r="L772" s="8">
        <v>41171</v>
      </c>
      <c r="M772" s="3" t="s">
        <v>45</v>
      </c>
      <c r="N772" s="3" t="s">
        <v>65</v>
      </c>
      <c r="O772" s="3" t="s">
        <v>52</v>
      </c>
      <c r="P772" s="3" t="s">
        <v>84</v>
      </c>
      <c r="Q772" s="7">
        <v>0</v>
      </c>
      <c r="R772" s="8">
        <v>44998</v>
      </c>
      <c r="S772" s="8">
        <v>44992</v>
      </c>
      <c r="T772" s="3" t="s">
        <v>54</v>
      </c>
      <c r="U772" s="3" t="s">
        <v>55</v>
      </c>
      <c r="V772" s="9"/>
      <c r="W772" s="10">
        <v>45001</v>
      </c>
      <c r="X772" s="7">
        <v>3</v>
      </c>
      <c r="Y772" s="7">
        <v>6</v>
      </c>
      <c r="Z772" s="7">
        <v>3</v>
      </c>
      <c r="AA772" s="7">
        <f>INT((S772-DATE(YEAR(S772-WEEKDAY(S772-0)+4),1,4)+WEEKDAY(DATE(YEAR(S772-WEEKDAY(S772-0)+4),1,4))+6)/7)</f>
        <v>10</v>
      </c>
      <c r="AB772" s="3" t="s">
        <v>1975</v>
      </c>
      <c r="AC772" s="7">
        <v>116</v>
      </c>
      <c r="AD772" s="7">
        <v>0</v>
      </c>
      <c r="AE772" s="7">
        <v>0</v>
      </c>
      <c r="AF772" s="3" t="s">
        <v>48</v>
      </c>
      <c r="AG772" s="7">
        <v>2023</v>
      </c>
      <c r="AH772" s="3" t="s">
        <v>57</v>
      </c>
      <c r="AI772" s="3" t="s">
        <v>48</v>
      </c>
      <c r="AJ772" s="3" t="s">
        <v>48</v>
      </c>
      <c r="AK772" s="3" t="s">
        <v>282</v>
      </c>
      <c r="AL772" s="3" t="s">
        <v>59</v>
      </c>
      <c r="AM772" s="3" t="s">
        <v>60</v>
      </c>
      <c r="AN772" s="3" t="s">
        <v>61</v>
      </c>
      <c r="AO772" s="3" t="s">
        <v>62</v>
      </c>
      <c r="AP772" s="3" t="s">
        <v>69</v>
      </c>
      <c r="AQ772" s="3" t="s">
        <v>61</v>
      </c>
      <c r="AR772" s="3" t="s">
        <v>48</v>
      </c>
    </row>
    <row r="773" spans="1:44" ht="30" customHeight="1">
      <c r="A773" s="3" t="s">
        <v>44</v>
      </c>
      <c r="B773" s="3" t="s">
        <v>45</v>
      </c>
      <c r="C773" s="3" t="s">
        <v>46</v>
      </c>
      <c r="D773" s="3" t="s">
        <v>47</v>
      </c>
      <c r="E773" s="3" t="s">
        <v>48</v>
      </c>
      <c r="F773" s="3" t="s">
        <v>49</v>
      </c>
      <c r="G773" s="3" t="s">
        <v>2092</v>
      </c>
      <c r="H773" s="4">
        <f>IF(DATEDIF(L773,S773,"m")&gt;12,DATEDIF(L773,S773,"y"),(DATEDIF(L773,S773,"m")/12))</f>
        <v>28</v>
      </c>
      <c r="I773" s="7">
        <f>DATEDIF(L773,S773,"M")</f>
        <v>344</v>
      </c>
      <c r="J773" s="7">
        <f>DATEDIF(L773,S773,"D")</f>
        <v>10489</v>
      </c>
      <c r="K773" s="3" t="s">
        <v>51</v>
      </c>
      <c r="L773" s="8">
        <v>34509</v>
      </c>
      <c r="M773" s="3" t="s">
        <v>45</v>
      </c>
      <c r="N773" s="3" t="s">
        <v>65</v>
      </c>
      <c r="O773" s="3" t="s">
        <v>52</v>
      </c>
      <c r="P773" s="3" t="s">
        <v>2093</v>
      </c>
      <c r="Q773" s="7">
        <v>0</v>
      </c>
      <c r="R773" s="8">
        <v>44999</v>
      </c>
      <c r="S773" s="8">
        <v>44998</v>
      </c>
      <c r="T773" s="3" t="s">
        <v>54</v>
      </c>
      <c r="U773" s="3" t="s">
        <v>55</v>
      </c>
      <c r="V773" s="9"/>
      <c r="W773" s="10">
        <v>45001</v>
      </c>
      <c r="X773" s="7">
        <v>2</v>
      </c>
      <c r="Y773" s="7">
        <v>1</v>
      </c>
      <c r="Z773" s="7">
        <v>3</v>
      </c>
      <c r="AA773" s="7">
        <f>INT((S773-DATE(YEAR(S773-WEEKDAY(S773-0)+4),1,4)+WEEKDAY(DATE(YEAR(S773-WEEKDAY(S773-0)+4),1,4))+6)/7)</f>
        <v>11</v>
      </c>
      <c r="AB773" s="3" t="s">
        <v>2094</v>
      </c>
      <c r="AC773" s="7">
        <v>123</v>
      </c>
      <c r="AD773" s="7">
        <v>0</v>
      </c>
      <c r="AE773" s="7">
        <v>0</v>
      </c>
      <c r="AF773" s="3" t="s">
        <v>48</v>
      </c>
      <c r="AG773" s="7">
        <v>2023</v>
      </c>
      <c r="AH773" s="3" t="s">
        <v>57</v>
      </c>
      <c r="AI773" s="3" t="s">
        <v>48</v>
      </c>
      <c r="AJ773" s="3" t="s">
        <v>48</v>
      </c>
      <c r="AK773" s="3" t="s">
        <v>162</v>
      </c>
      <c r="AL773" s="3" t="s">
        <v>59</v>
      </c>
      <c r="AM773" s="3" t="s">
        <v>60</v>
      </c>
      <c r="AN773" s="3" t="s">
        <v>61</v>
      </c>
      <c r="AO773" s="3" t="s">
        <v>62</v>
      </c>
      <c r="AP773" s="3" t="s">
        <v>69</v>
      </c>
      <c r="AQ773" s="3" t="s">
        <v>61</v>
      </c>
      <c r="AR773" s="3" t="s">
        <v>48</v>
      </c>
    </row>
    <row r="774" spans="1:44" ht="30" customHeight="1">
      <c r="A774" s="3" t="s">
        <v>44</v>
      </c>
      <c r="B774" s="3" t="s">
        <v>45</v>
      </c>
      <c r="C774" s="3" t="s">
        <v>46</v>
      </c>
      <c r="D774" s="3" t="s">
        <v>47</v>
      </c>
      <c r="E774" s="3" t="s">
        <v>48</v>
      </c>
      <c r="F774" s="3" t="s">
        <v>49</v>
      </c>
      <c r="G774" s="3" t="s">
        <v>2142</v>
      </c>
      <c r="H774" s="4">
        <f>IF(DATEDIF(L774,S774,"m")&gt;12,DATEDIF(L774,S774,"y"),(DATEDIF(L774,S774,"m")/12))</f>
        <v>65</v>
      </c>
      <c r="I774" s="7">
        <f>DATEDIF(L774,S774,"M")</f>
        <v>784</v>
      </c>
      <c r="J774" s="7">
        <f>DATEDIF(L774,S774,"D")</f>
        <v>23889</v>
      </c>
      <c r="K774" s="3" t="s">
        <v>64</v>
      </c>
      <c r="L774" s="8">
        <v>21107</v>
      </c>
      <c r="M774" s="3" t="s">
        <v>45</v>
      </c>
      <c r="N774" s="3" t="s">
        <v>49</v>
      </c>
      <c r="O774" s="3" t="s">
        <v>52</v>
      </c>
      <c r="P774" s="3" t="s">
        <v>2143</v>
      </c>
      <c r="Q774" s="7">
        <v>0</v>
      </c>
      <c r="R774" s="8">
        <v>44999</v>
      </c>
      <c r="S774" s="8">
        <v>44996</v>
      </c>
      <c r="T774" s="3" t="s">
        <v>54</v>
      </c>
      <c r="U774" s="3" t="s">
        <v>55</v>
      </c>
      <c r="V774" s="9"/>
      <c r="W774" s="10">
        <v>45001</v>
      </c>
      <c r="X774" s="7">
        <v>2</v>
      </c>
      <c r="Y774" s="7">
        <v>3</v>
      </c>
      <c r="Z774" s="7">
        <v>3</v>
      </c>
      <c r="AA774" s="7">
        <f>INT((S774-DATE(YEAR(S774-WEEKDAY(S774-0)+4),1,4)+WEEKDAY(DATE(YEAR(S774-WEEKDAY(S774-0)+4),1,4))+6)/7)</f>
        <v>10</v>
      </c>
      <c r="AB774" s="3" t="s">
        <v>2144</v>
      </c>
      <c r="AC774" s="7">
        <v>129</v>
      </c>
      <c r="AD774" s="7">
        <v>0</v>
      </c>
      <c r="AE774" s="7">
        <v>0</v>
      </c>
      <c r="AF774" s="3" t="s">
        <v>48</v>
      </c>
      <c r="AG774" s="7">
        <v>2023</v>
      </c>
      <c r="AH774" s="3" t="s">
        <v>57</v>
      </c>
      <c r="AI774" s="3" t="s">
        <v>48</v>
      </c>
      <c r="AJ774" s="3" t="s">
        <v>48</v>
      </c>
      <c r="AK774" s="3" t="s">
        <v>58</v>
      </c>
      <c r="AL774" s="3" t="s">
        <v>59</v>
      </c>
      <c r="AM774" s="3" t="s">
        <v>60</v>
      </c>
      <c r="AN774" s="3" t="s">
        <v>61</v>
      </c>
      <c r="AO774" s="3" t="s">
        <v>62</v>
      </c>
      <c r="AP774" s="3" t="s">
        <v>69</v>
      </c>
      <c r="AQ774" s="3" t="s">
        <v>61</v>
      </c>
      <c r="AR774" s="3" t="s">
        <v>48</v>
      </c>
    </row>
    <row r="775" spans="1:44" ht="30" customHeight="1">
      <c r="A775" s="3" t="s">
        <v>44</v>
      </c>
      <c r="B775" s="3" t="s">
        <v>45</v>
      </c>
      <c r="C775" s="3" t="s">
        <v>46</v>
      </c>
      <c r="D775" s="3" t="s">
        <v>47</v>
      </c>
      <c r="E775" s="3" t="s">
        <v>48</v>
      </c>
      <c r="F775" s="3" t="s">
        <v>49</v>
      </c>
      <c r="G775" s="3" t="s">
        <v>2158</v>
      </c>
      <c r="H775" s="4">
        <f>IF(DATEDIF(L775,S775,"m")&gt;12,DATEDIF(L775,S775,"y"),(DATEDIF(L775,S775,"m")/12))</f>
        <v>3</v>
      </c>
      <c r="I775" s="7">
        <f>DATEDIF(L775,S775,"M")</f>
        <v>39</v>
      </c>
      <c r="J775" s="7">
        <f>DATEDIF(L775,S775,"D")</f>
        <v>1214</v>
      </c>
      <c r="K775" s="3" t="s">
        <v>51</v>
      </c>
      <c r="L775" s="8">
        <v>43780</v>
      </c>
      <c r="M775" s="3" t="s">
        <v>45</v>
      </c>
      <c r="N775" s="3" t="s">
        <v>49</v>
      </c>
      <c r="O775" s="3" t="s">
        <v>52</v>
      </c>
      <c r="P775" s="3" t="s">
        <v>1906</v>
      </c>
      <c r="Q775" s="7">
        <v>0</v>
      </c>
      <c r="R775" s="8">
        <v>44997</v>
      </c>
      <c r="S775" s="8">
        <v>44994</v>
      </c>
      <c r="T775" s="3" t="s">
        <v>54</v>
      </c>
      <c r="U775" s="3" t="s">
        <v>55</v>
      </c>
      <c r="V775" s="9"/>
      <c r="W775" s="10">
        <v>45001</v>
      </c>
      <c r="X775" s="7">
        <v>4</v>
      </c>
      <c r="Y775" s="7">
        <v>3</v>
      </c>
      <c r="Z775" s="7">
        <v>3</v>
      </c>
      <c r="AA775" s="7">
        <f>INT((S775-DATE(YEAR(S775-WEEKDAY(S775-0)+4),1,4)+WEEKDAY(DATE(YEAR(S775-WEEKDAY(S775-0)+4),1,4))+6)/7)</f>
        <v>10</v>
      </c>
      <c r="AB775" s="3" t="s">
        <v>2159</v>
      </c>
      <c r="AC775" s="7">
        <v>113</v>
      </c>
      <c r="AD775" s="7">
        <v>0</v>
      </c>
      <c r="AE775" s="7">
        <v>0</v>
      </c>
      <c r="AF775" s="3" t="s">
        <v>48</v>
      </c>
      <c r="AG775" s="7">
        <v>2023</v>
      </c>
      <c r="AH775" s="3" t="s">
        <v>57</v>
      </c>
      <c r="AI775" s="3" t="s">
        <v>48</v>
      </c>
      <c r="AJ775" s="3" t="s">
        <v>48</v>
      </c>
      <c r="AK775" s="3" t="s">
        <v>58</v>
      </c>
      <c r="AL775" s="3" t="s">
        <v>59</v>
      </c>
      <c r="AM775" s="3" t="s">
        <v>60</v>
      </c>
      <c r="AN775" s="3" t="s">
        <v>61</v>
      </c>
      <c r="AO775" s="3" t="s">
        <v>62</v>
      </c>
      <c r="AP775" s="3" t="s">
        <v>69</v>
      </c>
      <c r="AQ775" s="3" t="s">
        <v>61</v>
      </c>
      <c r="AR775" s="3" t="s">
        <v>48</v>
      </c>
    </row>
    <row r="776" spans="1:44" ht="30" customHeight="1">
      <c r="A776" s="3" t="s">
        <v>44</v>
      </c>
      <c r="B776" s="3" t="s">
        <v>45</v>
      </c>
      <c r="C776" s="3" t="s">
        <v>46</v>
      </c>
      <c r="D776" s="3" t="s">
        <v>47</v>
      </c>
      <c r="E776" s="3" t="s">
        <v>48</v>
      </c>
      <c r="F776" s="3" t="s">
        <v>49</v>
      </c>
      <c r="G776" s="3" t="s">
        <v>2311</v>
      </c>
      <c r="H776" s="4">
        <f>IF(DATEDIF(L776,S776,"m")&gt;12,DATEDIF(L776,S776,"y"),(DATEDIF(L776,S776,"m")/12))</f>
        <v>29</v>
      </c>
      <c r="I776" s="7">
        <f>DATEDIF(L776,S776,"M")</f>
        <v>356</v>
      </c>
      <c r="J776" s="7">
        <f>DATEDIF(L776,S776,"D")</f>
        <v>10853</v>
      </c>
      <c r="K776" s="3" t="s">
        <v>64</v>
      </c>
      <c r="L776" s="8">
        <v>34139</v>
      </c>
      <c r="M776" s="3" t="s">
        <v>45</v>
      </c>
      <c r="N776" s="3" t="s">
        <v>65</v>
      </c>
      <c r="O776" s="3" t="s">
        <v>52</v>
      </c>
      <c r="P776" s="3" t="s">
        <v>916</v>
      </c>
      <c r="Q776" s="7">
        <v>0</v>
      </c>
      <c r="R776" s="8">
        <v>44999</v>
      </c>
      <c r="S776" s="8">
        <v>44992</v>
      </c>
      <c r="T776" s="3" t="s">
        <v>54</v>
      </c>
      <c r="U776" s="3" t="s">
        <v>55</v>
      </c>
      <c r="V776" s="9"/>
      <c r="W776" s="10">
        <v>45001</v>
      </c>
      <c r="X776" s="7">
        <v>2</v>
      </c>
      <c r="Y776" s="7">
        <v>7</v>
      </c>
      <c r="Z776" s="7">
        <v>3</v>
      </c>
      <c r="AA776" s="7">
        <f>INT((S776-DATE(YEAR(S776-WEEKDAY(S776-0)+4),1,4)+WEEKDAY(DATE(YEAR(S776-WEEKDAY(S776-0)+4),1,4))+6)/7)</f>
        <v>10</v>
      </c>
      <c r="AB776" s="3" t="s">
        <v>2312</v>
      </c>
      <c r="AC776" s="7">
        <v>127</v>
      </c>
      <c r="AD776" s="7">
        <v>0</v>
      </c>
      <c r="AE776" s="7">
        <v>0</v>
      </c>
      <c r="AF776" s="3" t="s">
        <v>48</v>
      </c>
      <c r="AG776" s="7">
        <v>2023</v>
      </c>
      <c r="AH776" s="3" t="s">
        <v>57</v>
      </c>
      <c r="AI776" s="3" t="s">
        <v>48</v>
      </c>
      <c r="AJ776" s="3" t="s">
        <v>48</v>
      </c>
      <c r="AK776" s="3" t="s">
        <v>162</v>
      </c>
      <c r="AL776" s="3" t="s">
        <v>59</v>
      </c>
      <c r="AM776" s="3" t="s">
        <v>60</v>
      </c>
      <c r="AN776" s="3" t="s">
        <v>61</v>
      </c>
      <c r="AO776" s="3" t="s">
        <v>62</v>
      </c>
      <c r="AP776" s="3" t="s">
        <v>69</v>
      </c>
      <c r="AQ776" s="3" t="s">
        <v>61</v>
      </c>
      <c r="AR776" s="3" t="s">
        <v>48</v>
      </c>
    </row>
    <row r="777" spans="1:44" ht="30" customHeight="1">
      <c r="A777" s="3" t="s">
        <v>44</v>
      </c>
      <c r="B777" s="3" t="s">
        <v>45</v>
      </c>
      <c r="C777" s="3" t="s">
        <v>46</v>
      </c>
      <c r="D777" s="3" t="s">
        <v>186</v>
      </c>
      <c r="E777" s="3" t="s">
        <v>48</v>
      </c>
      <c r="F777" s="3" t="s">
        <v>48</v>
      </c>
      <c r="G777" s="3" t="s">
        <v>48</v>
      </c>
      <c r="H777" s="4">
        <f>IF(DATEDIF(L777,S777,"m")&gt;12,DATEDIF(L777,S777,"y"),(DATEDIF(L777,S777,"m")/12))</f>
        <v>12</v>
      </c>
      <c r="I777" s="7">
        <f>DATEDIF(L777,S777,"M")</f>
        <v>146</v>
      </c>
      <c r="J777" s="7">
        <f>DATEDIF(L777,S777,"D")</f>
        <v>4469</v>
      </c>
      <c r="K777" s="3" t="s">
        <v>64</v>
      </c>
      <c r="L777" s="8">
        <v>40526</v>
      </c>
      <c r="M777" s="3" t="s">
        <v>45</v>
      </c>
      <c r="N777" s="3" t="s">
        <v>187</v>
      </c>
      <c r="O777" s="3" t="s">
        <v>52</v>
      </c>
      <c r="P777" s="3" t="s">
        <v>188</v>
      </c>
      <c r="Q777" s="7">
        <v>0</v>
      </c>
      <c r="R777" s="8">
        <v>44998</v>
      </c>
      <c r="S777" s="8">
        <v>44995</v>
      </c>
      <c r="T777" s="3" t="s">
        <v>54</v>
      </c>
      <c r="U777" s="3" t="s">
        <v>55</v>
      </c>
      <c r="V777" s="9"/>
      <c r="W777" s="10">
        <v>45002</v>
      </c>
      <c r="X777" s="7">
        <v>4</v>
      </c>
      <c r="Y777" s="7">
        <v>3</v>
      </c>
      <c r="Z777" s="7">
        <v>3</v>
      </c>
      <c r="AA777" s="7">
        <f>INT((S777-DATE(YEAR(S777-WEEKDAY(S777-0)+4),1,4)+WEEKDAY(DATE(YEAR(S777-WEEKDAY(S777-0)+4),1,4))+6)/7)</f>
        <v>10</v>
      </c>
      <c r="AB777" s="3" t="s">
        <v>189</v>
      </c>
      <c r="AC777" s="7">
        <v>79</v>
      </c>
      <c r="AD777" s="7">
        <v>0</v>
      </c>
      <c r="AE777" s="7">
        <v>0</v>
      </c>
      <c r="AF777" s="3" t="s">
        <v>48</v>
      </c>
      <c r="AG777" s="7">
        <v>2023</v>
      </c>
      <c r="AH777" s="3" t="s">
        <v>190</v>
      </c>
      <c r="AI777" s="3" t="s">
        <v>191</v>
      </c>
      <c r="AJ777" s="3" t="s">
        <v>186</v>
      </c>
      <c r="AK777" s="3" t="s">
        <v>192</v>
      </c>
      <c r="AL777" s="3" t="s">
        <v>59</v>
      </c>
      <c r="AM777" s="3" t="s">
        <v>115</v>
      </c>
      <c r="AN777" s="3" t="s">
        <v>61</v>
      </c>
      <c r="AO777" s="3" t="s">
        <v>62</v>
      </c>
      <c r="AP777" s="3" t="s">
        <v>69</v>
      </c>
      <c r="AQ777" s="3" t="s">
        <v>61</v>
      </c>
      <c r="AR777" s="3" t="s">
        <v>48</v>
      </c>
    </row>
    <row r="778" spans="1:44" ht="30" customHeight="1">
      <c r="A778" s="3" t="s">
        <v>44</v>
      </c>
      <c r="B778" s="3" t="s">
        <v>45</v>
      </c>
      <c r="C778" s="3" t="s">
        <v>46</v>
      </c>
      <c r="D778" s="3" t="s">
        <v>70</v>
      </c>
      <c r="E778" s="3" t="s">
        <v>48</v>
      </c>
      <c r="F778" s="3" t="s">
        <v>71</v>
      </c>
      <c r="G778" s="3" t="s">
        <v>530</v>
      </c>
      <c r="H778" s="5">
        <f>IF(DATEDIF(L778,S778,"m")&gt;12,DATEDIF(L778,S778,"y"),(DATEDIF(L778,S778,"m")/12))</f>
        <v>0.58333333333333337</v>
      </c>
      <c r="I778" s="7">
        <f>DATEDIF(L778,S778,"M")</f>
        <v>7</v>
      </c>
      <c r="J778" s="7">
        <f>DATEDIF(L778,S778,"D")</f>
        <v>217</v>
      </c>
      <c r="K778" s="3" t="s">
        <v>51</v>
      </c>
      <c r="L778" s="8">
        <v>44780</v>
      </c>
      <c r="M778" s="3" t="s">
        <v>45</v>
      </c>
      <c r="N778" s="3" t="s">
        <v>90</v>
      </c>
      <c r="O778" s="3" t="s">
        <v>52</v>
      </c>
      <c r="P778" s="3" t="s">
        <v>84</v>
      </c>
      <c r="Q778" s="7">
        <v>1</v>
      </c>
      <c r="R778" s="8">
        <v>44998</v>
      </c>
      <c r="S778" s="8">
        <v>44997</v>
      </c>
      <c r="T778" s="3" t="s">
        <v>54</v>
      </c>
      <c r="U778" s="3" t="s">
        <v>55</v>
      </c>
      <c r="V778" s="9"/>
      <c r="W778" s="10">
        <v>45002</v>
      </c>
      <c r="X778" s="7">
        <v>4</v>
      </c>
      <c r="Y778" s="7">
        <v>1</v>
      </c>
      <c r="Z778" s="7">
        <v>3</v>
      </c>
      <c r="AA778" s="7">
        <f>INT((S778-DATE(YEAR(S778-WEEKDAY(S778-0)+4),1,4)+WEEKDAY(DATE(YEAR(S778-WEEKDAY(S778-0)+4),1,4))+6)/7)</f>
        <v>11</v>
      </c>
      <c r="AB778" s="3" t="s">
        <v>531</v>
      </c>
      <c r="AC778" s="7">
        <v>729</v>
      </c>
      <c r="AD778" s="7">
        <v>0</v>
      </c>
      <c r="AE778" s="7">
        <v>1</v>
      </c>
      <c r="AF778" s="3" t="s">
        <v>48</v>
      </c>
      <c r="AG778" s="7">
        <v>2023</v>
      </c>
      <c r="AH778" s="3" t="s">
        <v>532</v>
      </c>
      <c r="AI778" s="3" t="s">
        <v>166</v>
      </c>
      <c r="AJ778" s="3" t="s">
        <v>78</v>
      </c>
      <c r="AK778" s="3" t="s">
        <v>346</v>
      </c>
      <c r="AL778" s="3" t="s">
        <v>59</v>
      </c>
      <c r="AM778" s="3" t="s">
        <v>60</v>
      </c>
      <c r="AN778" s="3" t="s">
        <v>61</v>
      </c>
      <c r="AO778" s="3" t="s">
        <v>62</v>
      </c>
      <c r="AP778" s="3" t="s">
        <v>69</v>
      </c>
      <c r="AQ778" s="3" t="s">
        <v>61</v>
      </c>
      <c r="AR778" s="3" t="s">
        <v>48</v>
      </c>
    </row>
    <row r="779" spans="1:44" ht="30" customHeight="1">
      <c r="A779" s="3" t="s">
        <v>44</v>
      </c>
      <c r="B779" s="3" t="s">
        <v>45</v>
      </c>
      <c r="C779" s="3" t="s">
        <v>46</v>
      </c>
      <c r="D779" s="3" t="s">
        <v>186</v>
      </c>
      <c r="E779" s="3" t="s">
        <v>48</v>
      </c>
      <c r="F779" s="3" t="s">
        <v>48</v>
      </c>
      <c r="G779" s="3" t="s">
        <v>48</v>
      </c>
      <c r="H779" s="4">
        <f>IF(DATEDIF(L779,S779,"m")&gt;12,DATEDIF(L779,S779,"y"),(DATEDIF(L779,S779,"m")/12))</f>
        <v>35</v>
      </c>
      <c r="I779" s="7">
        <f>DATEDIF(L779,S779,"M")</f>
        <v>426</v>
      </c>
      <c r="J779" s="7">
        <f>DATEDIF(L779,S779,"D")</f>
        <v>12990</v>
      </c>
      <c r="K779" s="3" t="s">
        <v>64</v>
      </c>
      <c r="L779" s="8">
        <v>32005</v>
      </c>
      <c r="M779" s="3" t="s">
        <v>45</v>
      </c>
      <c r="N779" s="3" t="s">
        <v>187</v>
      </c>
      <c r="O779" s="3" t="s">
        <v>52</v>
      </c>
      <c r="P779" s="3" t="s">
        <v>1014</v>
      </c>
      <c r="Q779" s="7">
        <v>0</v>
      </c>
      <c r="R779" s="8">
        <v>44999</v>
      </c>
      <c r="S779" s="8">
        <v>44995</v>
      </c>
      <c r="T779" s="3" t="s">
        <v>54</v>
      </c>
      <c r="U779" s="3" t="s">
        <v>55</v>
      </c>
      <c r="V779" s="9"/>
      <c r="W779" s="10">
        <v>45002</v>
      </c>
      <c r="X779" s="7">
        <v>3</v>
      </c>
      <c r="Y779" s="7">
        <v>4</v>
      </c>
      <c r="Z779" s="7">
        <v>3</v>
      </c>
      <c r="AA779" s="7">
        <f>INT((S779-DATE(YEAR(S779-WEEKDAY(S779-0)+4),1,4)+WEEKDAY(DATE(YEAR(S779-WEEKDAY(S779-0)+4),1,4))+6)/7)</f>
        <v>10</v>
      </c>
      <c r="AB779" s="3" t="s">
        <v>1015</v>
      </c>
      <c r="AC779" s="7">
        <v>80</v>
      </c>
      <c r="AD779" s="7">
        <v>0</v>
      </c>
      <c r="AE779" s="7">
        <v>0</v>
      </c>
      <c r="AF779" s="3" t="s">
        <v>48</v>
      </c>
      <c r="AG779" s="7">
        <v>2023</v>
      </c>
      <c r="AH779" s="3" t="s">
        <v>190</v>
      </c>
      <c r="AI779" s="3" t="s">
        <v>191</v>
      </c>
      <c r="AJ779" s="3" t="s">
        <v>186</v>
      </c>
      <c r="AK779" s="3" t="s">
        <v>192</v>
      </c>
      <c r="AL779" s="3" t="s">
        <v>59</v>
      </c>
      <c r="AM779" s="3" t="s">
        <v>115</v>
      </c>
      <c r="AN779" s="3" t="s">
        <v>61</v>
      </c>
      <c r="AO779" s="3" t="s">
        <v>62</v>
      </c>
      <c r="AP779" s="3" t="s">
        <v>69</v>
      </c>
      <c r="AQ779" s="3" t="s">
        <v>61</v>
      </c>
      <c r="AR779" s="3" t="s">
        <v>48</v>
      </c>
    </row>
    <row r="780" spans="1:44" ht="30" customHeight="1">
      <c r="A780" s="3" t="s">
        <v>44</v>
      </c>
      <c r="B780" s="3" t="s">
        <v>45</v>
      </c>
      <c r="C780" s="3" t="s">
        <v>80</v>
      </c>
      <c r="D780" s="3" t="s">
        <v>81</v>
      </c>
      <c r="E780" s="3" t="s">
        <v>48</v>
      </c>
      <c r="F780" s="3" t="s">
        <v>81</v>
      </c>
      <c r="G780" s="3" t="s">
        <v>1169</v>
      </c>
      <c r="H780" s="4">
        <f>IF(DATEDIF(L780,S780,"m")&gt;12,DATEDIF(L780,S780,"y"),(DATEDIF(L780,S780,"m")/12))</f>
        <v>3</v>
      </c>
      <c r="I780" s="7">
        <f>DATEDIF(L780,S780,"M")</f>
        <v>41</v>
      </c>
      <c r="J780" s="7">
        <f>DATEDIF(L780,S780,"D")</f>
        <v>1263</v>
      </c>
      <c r="K780" s="3" t="s">
        <v>64</v>
      </c>
      <c r="L780" s="8">
        <v>43732</v>
      </c>
      <c r="M780" s="3" t="s">
        <v>45</v>
      </c>
      <c r="N780" s="3" t="s">
        <v>49</v>
      </c>
      <c r="O780" s="3" t="s">
        <v>52</v>
      </c>
      <c r="P780" s="3" t="s">
        <v>1170</v>
      </c>
      <c r="Q780" s="7">
        <v>1</v>
      </c>
      <c r="R780" s="8">
        <v>44998</v>
      </c>
      <c r="S780" s="8">
        <v>44995</v>
      </c>
      <c r="T780" s="3" t="s">
        <v>54</v>
      </c>
      <c r="U780" s="3" t="s">
        <v>55</v>
      </c>
      <c r="V780" s="9"/>
      <c r="W780" s="10">
        <v>45002</v>
      </c>
      <c r="X780" s="7">
        <v>4</v>
      </c>
      <c r="Y780" s="7">
        <v>3</v>
      </c>
      <c r="Z780" s="7">
        <v>3</v>
      </c>
      <c r="AA780" s="7">
        <f>INT((S780-DATE(YEAR(S780-WEEKDAY(S780-0)+4),1,4)+WEEKDAY(DATE(YEAR(S780-WEEKDAY(S780-0)+4),1,4))+6)/7)</f>
        <v>10</v>
      </c>
      <c r="AB780" s="3" t="s">
        <v>1171</v>
      </c>
      <c r="AC780" s="7">
        <v>14090</v>
      </c>
      <c r="AD780" s="7">
        <v>0</v>
      </c>
      <c r="AE780" s="7">
        <v>0</v>
      </c>
      <c r="AF780" s="3" t="s">
        <v>48</v>
      </c>
      <c r="AG780" s="7">
        <v>2023</v>
      </c>
      <c r="AH780" s="3" t="s">
        <v>86</v>
      </c>
      <c r="AI780" s="3" t="s">
        <v>48</v>
      </c>
      <c r="AJ780" s="3" t="s">
        <v>48</v>
      </c>
      <c r="AK780" s="3" t="s">
        <v>1172</v>
      </c>
      <c r="AL780" s="3" t="s">
        <v>59</v>
      </c>
      <c r="AM780" s="3" t="s">
        <v>60</v>
      </c>
      <c r="AN780" s="3" t="s">
        <v>69</v>
      </c>
      <c r="AO780" s="3" t="s">
        <v>62</v>
      </c>
      <c r="AP780" s="3" t="s">
        <v>69</v>
      </c>
      <c r="AQ780" s="3" t="s">
        <v>61</v>
      </c>
      <c r="AR780" s="3" t="s">
        <v>48</v>
      </c>
    </row>
    <row r="781" spans="1:44" ht="30" customHeight="1">
      <c r="A781" s="3" t="s">
        <v>44</v>
      </c>
      <c r="B781" s="3" t="s">
        <v>45</v>
      </c>
      <c r="C781" s="3" t="s">
        <v>46</v>
      </c>
      <c r="D781" s="3" t="s">
        <v>47</v>
      </c>
      <c r="E781" s="3" t="s">
        <v>48</v>
      </c>
      <c r="F781" s="3" t="s">
        <v>49</v>
      </c>
      <c r="G781" s="3" t="s">
        <v>1284</v>
      </c>
      <c r="H781" s="4">
        <f>IF(DATEDIF(L781,S781,"m")&gt;12,DATEDIF(L781,S781,"y"),(DATEDIF(L781,S781,"m")/12))</f>
        <v>40</v>
      </c>
      <c r="I781" s="7">
        <f>DATEDIF(L781,S781,"M")</f>
        <v>489</v>
      </c>
      <c r="J781" s="7">
        <f>DATEDIF(L781,S781,"D")</f>
        <v>14896</v>
      </c>
      <c r="K781" s="3" t="s">
        <v>64</v>
      </c>
      <c r="L781" s="8">
        <v>30103</v>
      </c>
      <c r="M781" s="3" t="s">
        <v>45</v>
      </c>
      <c r="N781" s="3" t="s">
        <v>65</v>
      </c>
      <c r="O781" s="3" t="s">
        <v>52</v>
      </c>
      <c r="P781" s="3" t="s">
        <v>137</v>
      </c>
      <c r="Q781" s="7">
        <v>0</v>
      </c>
      <c r="R781" s="8">
        <v>45001</v>
      </c>
      <c r="S781" s="8">
        <v>44999</v>
      </c>
      <c r="T781" s="3" t="s">
        <v>54</v>
      </c>
      <c r="U781" s="3" t="s">
        <v>55</v>
      </c>
      <c r="V781" s="9"/>
      <c r="W781" s="10">
        <v>45002</v>
      </c>
      <c r="X781" s="7">
        <v>1</v>
      </c>
      <c r="Y781" s="7">
        <v>2</v>
      </c>
      <c r="Z781" s="7">
        <v>3</v>
      </c>
      <c r="AA781" s="7">
        <f>INT((S781-DATE(YEAR(S781-WEEKDAY(S781-0)+4),1,4)+WEEKDAY(DATE(YEAR(S781-WEEKDAY(S781-0)+4),1,4))+6)/7)</f>
        <v>11</v>
      </c>
      <c r="AB781" s="3" t="s">
        <v>1285</v>
      </c>
      <c r="AC781" s="7">
        <v>132</v>
      </c>
      <c r="AD781" s="7">
        <v>0</v>
      </c>
      <c r="AE781" s="7">
        <v>0</v>
      </c>
      <c r="AF781" s="3" t="s">
        <v>48</v>
      </c>
      <c r="AG781" s="7">
        <v>2023</v>
      </c>
      <c r="AH781" s="3" t="s">
        <v>57</v>
      </c>
      <c r="AI781" s="3" t="s">
        <v>48</v>
      </c>
      <c r="AJ781" s="3" t="s">
        <v>48</v>
      </c>
      <c r="AK781" s="3" t="s">
        <v>182</v>
      </c>
      <c r="AL781" s="3" t="s">
        <v>59</v>
      </c>
      <c r="AM781" s="3" t="s">
        <v>60</v>
      </c>
      <c r="AN781" s="3" t="s">
        <v>61</v>
      </c>
      <c r="AO781" s="3" t="s">
        <v>62</v>
      </c>
      <c r="AP781" s="3" t="s">
        <v>69</v>
      </c>
      <c r="AQ781" s="3" t="s">
        <v>61</v>
      </c>
      <c r="AR781" s="3" t="s">
        <v>48</v>
      </c>
    </row>
    <row r="782" spans="1:44" ht="30" customHeight="1">
      <c r="A782" s="3" t="s">
        <v>44</v>
      </c>
      <c r="B782" s="3" t="s">
        <v>45</v>
      </c>
      <c r="C782" s="3" t="s">
        <v>80</v>
      </c>
      <c r="D782" s="3" t="s">
        <v>81</v>
      </c>
      <c r="E782" s="3" t="s">
        <v>48</v>
      </c>
      <c r="F782" s="3" t="s">
        <v>81</v>
      </c>
      <c r="G782" s="3" t="s">
        <v>1416</v>
      </c>
      <c r="H782" s="4">
        <f>IF(DATEDIF(L782,S782,"m")&gt;12,DATEDIF(L782,S782,"y"),(DATEDIF(L782,S782,"m")/12))</f>
        <v>46</v>
      </c>
      <c r="I782" s="7">
        <f>DATEDIF(L782,S782,"M")</f>
        <v>553</v>
      </c>
      <c r="J782" s="7">
        <f>DATEDIF(L782,S782,"D")</f>
        <v>16853</v>
      </c>
      <c r="K782" s="3" t="s">
        <v>51</v>
      </c>
      <c r="L782" s="8">
        <v>28126</v>
      </c>
      <c r="M782" s="3" t="s">
        <v>45</v>
      </c>
      <c r="N782" s="3" t="s">
        <v>329</v>
      </c>
      <c r="O782" s="3" t="s">
        <v>52</v>
      </c>
      <c r="P782" s="3" t="s">
        <v>1170</v>
      </c>
      <c r="Q782" s="7">
        <v>1</v>
      </c>
      <c r="R782" s="8">
        <v>44996</v>
      </c>
      <c r="S782" s="8">
        <v>44979</v>
      </c>
      <c r="T782" s="3" t="s">
        <v>54</v>
      </c>
      <c r="U782" s="3" t="s">
        <v>55</v>
      </c>
      <c r="V782" s="9"/>
      <c r="W782" s="10">
        <v>45002</v>
      </c>
      <c r="X782" s="7">
        <v>6</v>
      </c>
      <c r="Y782" s="7">
        <v>17</v>
      </c>
      <c r="Z782" s="7">
        <v>2</v>
      </c>
      <c r="AA782" s="7">
        <f>INT((S782-DATE(YEAR(S782-WEEKDAY(S782-0)+4),1,4)+WEEKDAY(DATE(YEAR(S782-WEEKDAY(S782-0)+4),1,4))+6)/7)</f>
        <v>8</v>
      </c>
      <c r="AB782" s="3" t="s">
        <v>1417</v>
      </c>
      <c r="AC782" s="7">
        <v>14093</v>
      </c>
      <c r="AD782" s="7">
        <v>0</v>
      </c>
      <c r="AE782" s="7">
        <v>0</v>
      </c>
      <c r="AF782" s="3" t="s">
        <v>48</v>
      </c>
      <c r="AG782" s="7">
        <v>2023</v>
      </c>
      <c r="AH782" s="3" t="s">
        <v>86</v>
      </c>
      <c r="AI782" s="3" t="s">
        <v>48</v>
      </c>
      <c r="AJ782" s="3" t="s">
        <v>48</v>
      </c>
      <c r="AK782" s="3" t="s">
        <v>735</v>
      </c>
      <c r="AL782" s="3" t="s">
        <v>59</v>
      </c>
      <c r="AM782" s="3" t="s">
        <v>60</v>
      </c>
      <c r="AN782" s="3" t="s">
        <v>69</v>
      </c>
      <c r="AO782" s="3" t="s">
        <v>62</v>
      </c>
      <c r="AP782" s="3" t="s">
        <v>69</v>
      </c>
      <c r="AQ782" s="3" t="s">
        <v>61</v>
      </c>
      <c r="AR782" s="3" t="s">
        <v>48</v>
      </c>
    </row>
    <row r="783" spans="1:44" ht="30" customHeight="1">
      <c r="A783" s="3" t="s">
        <v>44</v>
      </c>
      <c r="B783" s="3" t="s">
        <v>45</v>
      </c>
      <c r="C783" s="3" t="s">
        <v>46</v>
      </c>
      <c r="D783" s="3" t="s">
        <v>70</v>
      </c>
      <c r="E783" s="3" t="s">
        <v>48</v>
      </c>
      <c r="F783" s="3" t="s">
        <v>71</v>
      </c>
      <c r="G783" s="3" t="s">
        <v>1840</v>
      </c>
      <c r="H783" s="4">
        <f>IF(DATEDIF(L783,S783,"m")&gt;12,DATEDIF(L783,S783,"y"),(DATEDIF(L783,S783,"m")/12))</f>
        <v>37</v>
      </c>
      <c r="I783" s="7">
        <f>DATEDIF(L783,S783,"M")</f>
        <v>446</v>
      </c>
      <c r="J783" s="7">
        <f>DATEDIF(L783,S783,"D")</f>
        <v>13602</v>
      </c>
      <c r="K783" s="3" t="s">
        <v>64</v>
      </c>
      <c r="L783" s="8">
        <v>31397</v>
      </c>
      <c r="M783" s="3" t="s">
        <v>45</v>
      </c>
      <c r="N783" s="3" t="s">
        <v>90</v>
      </c>
      <c r="O783" s="3" t="s">
        <v>52</v>
      </c>
      <c r="P783" s="3" t="s">
        <v>137</v>
      </c>
      <c r="Q783" s="7">
        <v>1</v>
      </c>
      <c r="R783" s="8">
        <v>45000</v>
      </c>
      <c r="S783" s="8">
        <v>44999</v>
      </c>
      <c r="T783" s="3" t="s">
        <v>54</v>
      </c>
      <c r="U783" s="3" t="s">
        <v>55</v>
      </c>
      <c r="V783" s="9"/>
      <c r="W783" s="10">
        <v>45002</v>
      </c>
      <c r="X783" s="7">
        <v>2</v>
      </c>
      <c r="Y783" s="7">
        <v>1</v>
      </c>
      <c r="Z783" s="7">
        <v>3</v>
      </c>
      <c r="AA783" s="7">
        <f>INT((S783-DATE(YEAR(S783-WEEKDAY(S783-0)+4),1,4)+WEEKDAY(DATE(YEAR(S783-WEEKDAY(S783-0)+4),1,4))+6)/7)</f>
        <v>11</v>
      </c>
      <c r="AB783" s="3" t="s">
        <v>1841</v>
      </c>
      <c r="AC783" s="7">
        <v>731</v>
      </c>
      <c r="AD783" s="7">
        <v>0</v>
      </c>
      <c r="AE783" s="7">
        <v>1</v>
      </c>
      <c r="AF783" s="3" t="s">
        <v>48</v>
      </c>
      <c r="AG783" s="7">
        <v>2023</v>
      </c>
      <c r="AH783" s="3" t="s">
        <v>532</v>
      </c>
      <c r="AI783" s="3" t="s">
        <v>166</v>
      </c>
      <c r="AJ783" s="3" t="s">
        <v>78</v>
      </c>
      <c r="AK783" s="3" t="s">
        <v>162</v>
      </c>
      <c r="AL783" s="3" t="s">
        <v>59</v>
      </c>
      <c r="AM783" s="3" t="s">
        <v>60</v>
      </c>
      <c r="AN783" s="3" t="s">
        <v>61</v>
      </c>
      <c r="AO783" s="3" t="s">
        <v>62</v>
      </c>
      <c r="AP783" s="3" t="s">
        <v>69</v>
      </c>
      <c r="AQ783" s="3" t="s">
        <v>61</v>
      </c>
      <c r="AR783" s="3" t="s">
        <v>48</v>
      </c>
    </row>
    <row r="784" spans="1:44" ht="30" customHeight="1">
      <c r="A784" s="3" t="s">
        <v>44</v>
      </c>
      <c r="B784" s="3" t="s">
        <v>45</v>
      </c>
      <c r="C784" s="3" t="s">
        <v>46</v>
      </c>
      <c r="D784" s="3" t="s">
        <v>70</v>
      </c>
      <c r="E784" s="3" t="s">
        <v>48</v>
      </c>
      <c r="F784" s="3" t="s">
        <v>71</v>
      </c>
      <c r="G784" s="3" t="s">
        <v>2073</v>
      </c>
      <c r="H784" s="4">
        <f>IF(DATEDIF(L784,S784,"m")&gt;12,DATEDIF(L784,S784,"y"),(DATEDIF(L784,S784,"m")/12))</f>
        <v>10</v>
      </c>
      <c r="I784" s="7">
        <f>DATEDIF(L784,S784,"M")</f>
        <v>124</v>
      </c>
      <c r="J784" s="7">
        <f>DATEDIF(L784,S784,"D")</f>
        <v>3794</v>
      </c>
      <c r="K784" s="3" t="s">
        <v>51</v>
      </c>
      <c r="L784" s="8">
        <v>41205</v>
      </c>
      <c r="M784" s="3" t="s">
        <v>45</v>
      </c>
      <c r="N784" s="3" t="s">
        <v>164</v>
      </c>
      <c r="O784" s="3" t="s">
        <v>52</v>
      </c>
      <c r="P784" s="3" t="s">
        <v>156</v>
      </c>
      <c r="Q784" s="7">
        <v>1</v>
      </c>
      <c r="R784" s="8">
        <v>45000</v>
      </c>
      <c r="S784" s="8">
        <v>44999</v>
      </c>
      <c r="T784" s="3" t="s">
        <v>54</v>
      </c>
      <c r="U784" s="3" t="s">
        <v>55</v>
      </c>
      <c r="V784" s="9"/>
      <c r="W784" s="10">
        <v>45002</v>
      </c>
      <c r="X784" s="7">
        <v>2</v>
      </c>
      <c r="Y784" s="7">
        <v>1</v>
      </c>
      <c r="Z784" s="7">
        <v>3</v>
      </c>
      <c r="AA784" s="7">
        <f>INT((S784-DATE(YEAR(S784-WEEKDAY(S784-0)+4),1,4)+WEEKDAY(DATE(YEAR(S784-WEEKDAY(S784-0)+4),1,4))+6)/7)</f>
        <v>11</v>
      </c>
      <c r="AB784" s="3" t="s">
        <v>2074</v>
      </c>
      <c r="AC784" s="7">
        <v>730</v>
      </c>
      <c r="AD784" s="7">
        <v>0</v>
      </c>
      <c r="AE784" s="7">
        <v>1</v>
      </c>
      <c r="AF784" s="3" t="s">
        <v>48</v>
      </c>
      <c r="AG784" s="7">
        <v>2023</v>
      </c>
      <c r="AH784" s="3" t="s">
        <v>532</v>
      </c>
      <c r="AI784" s="3" t="s">
        <v>166</v>
      </c>
      <c r="AJ784" s="3" t="s">
        <v>78</v>
      </c>
      <c r="AK784" s="18" t="s">
        <v>167</v>
      </c>
      <c r="AL784" s="3" t="s">
        <v>59</v>
      </c>
      <c r="AM784" s="3" t="s">
        <v>60</v>
      </c>
      <c r="AN784" s="3" t="s">
        <v>61</v>
      </c>
      <c r="AO784" s="3" t="s">
        <v>62</v>
      </c>
      <c r="AP784" s="3" t="s">
        <v>69</v>
      </c>
      <c r="AQ784" s="3" t="s">
        <v>61</v>
      </c>
      <c r="AR784" s="3" t="s">
        <v>48</v>
      </c>
    </row>
    <row r="785" spans="1:44" ht="30" customHeight="1">
      <c r="A785" s="3" t="s">
        <v>44</v>
      </c>
      <c r="B785" s="3" t="s">
        <v>45</v>
      </c>
      <c r="C785" s="3" t="s">
        <v>46</v>
      </c>
      <c r="D785" s="3" t="s">
        <v>70</v>
      </c>
      <c r="E785" s="3" t="s">
        <v>48</v>
      </c>
      <c r="F785" s="3" t="s">
        <v>71</v>
      </c>
      <c r="G785" s="3" t="s">
        <v>2090</v>
      </c>
      <c r="H785" s="5">
        <f>IF(DATEDIF(L785,S785,"m")&gt;12,DATEDIF(L785,S785,"y"),(DATEDIF(L785,S785,"m")/12))</f>
        <v>0.41666666666666669</v>
      </c>
      <c r="I785" s="7">
        <f>DATEDIF(L785,S785,"M")</f>
        <v>5</v>
      </c>
      <c r="J785" s="7">
        <f>DATEDIF(L785,S785,"D")</f>
        <v>171</v>
      </c>
      <c r="K785" s="3" t="s">
        <v>64</v>
      </c>
      <c r="L785" s="8">
        <v>44829</v>
      </c>
      <c r="M785" s="3" t="s">
        <v>45</v>
      </c>
      <c r="N785" s="3" t="s">
        <v>90</v>
      </c>
      <c r="O785" s="3" t="s">
        <v>52</v>
      </c>
      <c r="P785" s="3" t="s">
        <v>156</v>
      </c>
      <c r="Q785" s="7">
        <v>1</v>
      </c>
      <c r="R785" s="8">
        <v>45001</v>
      </c>
      <c r="S785" s="8">
        <v>45000</v>
      </c>
      <c r="T785" s="3" t="s">
        <v>54</v>
      </c>
      <c r="U785" s="3" t="s">
        <v>55</v>
      </c>
      <c r="V785" s="9"/>
      <c r="W785" s="10">
        <v>45002</v>
      </c>
      <c r="X785" s="7">
        <v>1</v>
      </c>
      <c r="Y785" s="7">
        <v>1</v>
      </c>
      <c r="Z785" s="7">
        <v>3</v>
      </c>
      <c r="AA785" s="7">
        <f>INT((S785-DATE(YEAR(S785-WEEKDAY(S785-0)+4),1,4)+WEEKDAY(DATE(YEAR(S785-WEEKDAY(S785-0)+4),1,4))+6)/7)</f>
        <v>11</v>
      </c>
      <c r="AB785" s="3" t="s">
        <v>2091</v>
      </c>
      <c r="AC785" s="7">
        <v>732</v>
      </c>
      <c r="AD785" s="7">
        <v>0</v>
      </c>
      <c r="AE785" s="7">
        <v>1</v>
      </c>
      <c r="AF785" s="3" t="s">
        <v>48</v>
      </c>
      <c r="AG785" s="7">
        <v>2023</v>
      </c>
      <c r="AH785" s="3" t="s">
        <v>532</v>
      </c>
      <c r="AI785" s="3" t="s">
        <v>166</v>
      </c>
      <c r="AJ785" s="3" t="s">
        <v>78</v>
      </c>
      <c r="AK785" s="18" t="s">
        <v>162</v>
      </c>
      <c r="AL785" s="3" t="s">
        <v>59</v>
      </c>
      <c r="AM785" s="3" t="s">
        <v>60</v>
      </c>
      <c r="AN785" s="3" t="s">
        <v>61</v>
      </c>
      <c r="AO785" s="3" t="s">
        <v>62</v>
      </c>
      <c r="AP785" s="3" t="s">
        <v>69</v>
      </c>
      <c r="AQ785" s="3" t="s">
        <v>61</v>
      </c>
      <c r="AR785" s="3" t="s">
        <v>48</v>
      </c>
    </row>
    <row r="786" spans="1:44" ht="30" customHeight="1">
      <c r="A786" s="3" t="s">
        <v>44</v>
      </c>
      <c r="B786" s="3" t="s">
        <v>45</v>
      </c>
      <c r="C786" s="3" t="s">
        <v>80</v>
      </c>
      <c r="D786" s="3" t="s">
        <v>416</v>
      </c>
      <c r="E786" s="3" t="s">
        <v>48</v>
      </c>
      <c r="F786" s="3" t="s">
        <v>759</v>
      </c>
      <c r="G786" s="3" t="s">
        <v>760</v>
      </c>
      <c r="H786" s="5">
        <f>IF(DATEDIF(L786,S786,"m")&gt;12,DATEDIF(L786,S786,"y"),(DATEDIF(L786,S786,"m")/12))</f>
        <v>0.91666666666666663</v>
      </c>
      <c r="I786" s="7">
        <f>DATEDIF(L786,S786,"M")</f>
        <v>11</v>
      </c>
      <c r="J786" s="7">
        <f>DATEDIF(L786,S786,"D")</f>
        <v>357</v>
      </c>
      <c r="K786" s="3" t="s">
        <v>51</v>
      </c>
      <c r="L786" s="8">
        <v>44612</v>
      </c>
      <c r="M786" s="3" t="s">
        <v>45</v>
      </c>
      <c r="N786" s="3" t="s">
        <v>73</v>
      </c>
      <c r="O786" s="3" t="s">
        <v>52</v>
      </c>
      <c r="P786" s="3" t="s">
        <v>761</v>
      </c>
      <c r="Q786" s="7">
        <v>1</v>
      </c>
      <c r="R786" s="8">
        <v>44969</v>
      </c>
      <c r="S786" s="8">
        <v>44969</v>
      </c>
      <c r="T786" s="3" t="s">
        <v>54</v>
      </c>
      <c r="U786" s="3" t="s">
        <v>55</v>
      </c>
      <c r="V786" s="9"/>
      <c r="W786" s="10">
        <v>44977</v>
      </c>
      <c r="X786" s="7">
        <v>8</v>
      </c>
      <c r="Y786" s="7">
        <v>0</v>
      </c>
      <c r="Z786" s="7">
        <v>2</v>
      </c>
      <c r="AA786" s="7">
        <f>INT((S786-DATE(YEAR(S786-WEEKDAY(S786-0)+4),1,4)+WEEKDAY(DATE(YEAR(S786-WEEKDAY(S786-0)+4),1,4))+6)/7)</f>
        <v>7</v>
      </c>
      <c r="AB786" s="3" t="s">
        <v>762</v>
      </c>
      <c r="AC786" s="7">
        <v>137</v>
      </c>
      <c r="AD786" s="7">
        <v>0</v>
      </c>
      <c r="AE786" s="7">
        <v>0</v>
      </c>
      <c r="AF786" s="3" t="s">
        <v>48</v>
      </c>
      <c r="AG786" s="7">
        <v>2023</v>
      </c>
      <c r="AH786" s="12" t="s">
        <v>763</v>
      </c>
      <c r="AI786" s="3" t="s">
        <v>48</v>
      </c>
      <c r="AJ786" s="3" t="s">
        <v>48</v>
      </c>
      <c r="AK786" s="3" t="s">
        <v>199</v>
      </c>
      <c r="AL786" s="3" t="s">
        <v>59</v>
      </c>
      <c r="AM786" s="3" t="s">
        <v>99</v>
      </c>
      <c r="AN786" s="3" t="s">
        <v>61</v>
      </c>
      <c r="AO786" s="3" t="s">
        <v>62</v>
      </c>
      <c r="AP786" s="3" t="s">
        <v>69</v>
      </c>
      <c r="AQ786" s="3" t="s">
        <v>61</v>
      </c>
      <c r="AR786" s="3" t="s">
        <v>48</v>
      </c>
    </row>
    <row r="787" spans="1:44" ht="30" customHeight="1">
      <c r="A787" s="3" t="s">
        <v>44</v>
      </c>
      <c r="B787" s="3" t="s">
        <v>45</v>
      </c>
      <c r="C787" s="3" t="s">
        <v>46</v>
      </c>
      <c r="D787" s="3" t="s">
        <v>100</v>
      </c>
      <c r="E787" s="3" t="s">
        <v>48</v>
      </c>
      <c r="F787" s="3" t="s">
        <v>101</v>
      </c>
      <c r="G787" s="3" t="s">
        <v>294</v>
      </c>
      <c r="H787" s="4">
        <f>IF(DATEDIF(L787,S787,"m")&gt;12,DATEDIF(L787,S787,"y"),(DATEDIF(L787,S787,"m")/12))</f>
        <v>1</v>
      </c>
      <c r="I787" s="7">
        <f>DATEDIF(L787,S787,"M")</f>
        <v>15</v>
      </c>
      <c r="J787" s="7">
        <f>DATEDIF(L787,S787,"D")</f>
        <v>467</v>
      </c>
      <c r="K787" s="3" t="s">
        <v>64</v>
      </c>
      <c r="L787" s="8">
        <v>44531</v>
      </c>
      <c r="M787" s="3" t="s">
        <v>45</v>
      </c>
      <c r="N787" s="3" t="s">
        <v>101</v>
      </c>
      <c r="O787" s="3" t="s">
        <v>52</v>
      </c>
      <c r="P787" s="3" t="s">
        <v>295</v>
      </c>
      <c r="Q787" s="7">
        <v>0</v>
      </c>
      <c r="R787" s="8">
        <v>45002</v>
      </c>
      <c r="S787" s="8">
        <v>44998</v>
      </c>
      <c r="T787" s="3" t="s">
        <v>54</v>
      </c>
      <c r="U787" s="3" t="s">
        <v>55</v>
      </c>
      <c r="V787" s="9"/>
      <c r="W787" s="10">
        <v>45005</v>
      </c>
      <c r="X787" s="7">
        <v>3</v>
      </c>
      <c r="Y787" s="7">
        <v>4</v>
      </c>
      <c r="Z787" s="7">
        <v>3</v>
      </c>
      <c r="AA787" s="7">
        <f>INT((S787-DATE(YEAR(S787-WEEKDAY(S787-0)+4),1,4)+WEEKDAY(DATE(YEAR(S787-WEEKDAY(S787-0)+4),1,4))+6)/7)</f>
        <v>11</v>
      </c>
      <c r="AB787" s="3" t="s">
        <v>296</v>
      </c>
      <c r="AC787" s="7">
        <v>740</v>
      </c>
      <c r="AD787" s="7">
        <v>0</v>
      </c>
      <c r="AE787" s="7">
        <v>0</v>
      </c>
      <c r="AF787" s="3" t="s">
        <v>48</v>
      </c>
      <c r="AG787" s="7">
        <v>2023</v>
      </c>
      <c r="AH787" s="3" t="s">
        <v>105</v>
      </c>
      <c r="AI787" s="3" t="s">
        <v>106</v>
      </c>
      <c r="AJ787" s="3" t="s">
        <v>100</v>
      </c>
      <c r="AK787" s="3" t="s">
        <v>162</v>
      </c>
      <c r="AL787" s="3" t="s">
        <v>59</v>
      </c>
      <c r="AM787" s="3" t="s">
        <v>99</v>
      </c>
      <c r="AN787" s="3" t="s">
        <v>61</v>
      </c>
      <c r="AO787" s="3" t="s">
        <v>62</v>
      </c>
      <c r="AP787" s="3" t="s">
        <v>69</v>
      </c>
      <c r="AQ787" s="3" t="s">
        <v>61</v>
      </c>
      <c r="AR787" s="3" t="s">
        <v>48</v>
      </c>
    </row>
    <row r="788" spans="1:44" ht="30" customHeight="1">
      <c r="A788" s="3" t="s">
        <v>44</v>
      </c>
      <c r="B788" s="3" t="s">
        <v>45</v>
      </c>
      <c r="C788" s="3" t="s">
        <v>80</v>
      </c>
      <c r="D788" s="3" t="s">
        <v>416</v>
      </c>
      <c r="E788" s="3" t="s">
        <v>48</v>
      </c>
      <c r="F788" s="3" t="s">
        <v>759</v>
      </c>
      <c r="G788" s="3" t="s">
        <v>764</v>
      </c>
      <c r="H788" s="4">
        <f>IF(DATEDIF(L788,S788,"m")&gt;12,DATEDIF(L788,S788,"y"),(DATEDIF(L788,S788,"m")/12))</f>
        <v>2</v>
      </c>
      <c r="I788" s="7">
        <f>DATEDIF(L788,S788,"M")</f>
        <v>28</v>
      </c>
      <c r="J788" s="7">
        <f>DATEDIF(L788,S788,"D")</f>
        <v>863</v>
      </c>
      <c r="K788" s="3" t="s">
        <v>51</v>
      </c>
      <c r="L788" s="8">
        <v>44105</v>
      </c>
      <c r="M788" s="3" t="s">
        <v>45</v>
      </c>
      <c r="N788" s="3" t="s">
        <v>73</v>
      </c>
      <c r="O788" s="3" t="s">
        <v>52</v>
      </c>
      <c r="P788" s="3" t="s">
        <v>765</v>
      </c>
      <c r="Q788" s="7">
        <v>1</v>
      </c>
      <c r="R788" s="8">
        <v>44969</v>
      </c>
      <c r="S788" s="8">
        <v>44968</v>
      </c>
      <c r="T788" s="3" t="s">
        <v>54</v>
      </c>
      <c r="U788" s="3" t="s">
        <v>55</v>
      </c>
      <c r="V788" s="9"/>
      <c r="W788" s="10">
        <v>44977</v>
      </c>
      <c r="X788" s="7">
        <v>8</v>
      </c>
      <c r="Y788" s="7">
        <v>1</v>
      </c>
      <c r="Z788" s="7">
        <v>2</v>
      </c>
      <c r="AA788" s="7">
        <f>INT((S788-DATE(YEAR(S788-WEEKDAY(S788-0)+4),1,4)+WEEKDAY(DATE(YEAR(S788-WEEKDAY(S788-0)+4),1,4))+6)/7)</f>
        <v>6</v>
      </c>
      <c r="AB788" s="3" t="s">
        <v>766</v>
      </c>
      <c r="AC788" s="7">
        <v>138</v>
      </c>
      <c r="AD788" s="7">
        <v>0</v>
      </c>
      <c r="AE788" s="7">
        <v>0</v>
      </c>
      <c r="AF788" s="3" t="s">
        <v>48</v>
      </c>
      <c r="AG788" s="7">
        <v>2023</v>
      </c>
      <c r="AH788" s="31" t="s">
        <v>763</v>
      </c>
      <c r="AI788" s="3" t="s">
        <v>48</v>
      </c>
      <c r="AJ788" s="3" t="s">
        <v>48</v>
      </c>
      <c r="AK788" s="3" t="s">
        <v>199</v>
      </c>
      <c r="AL788" s="3" t="s">
        <v>59</v>
      </c>
      <c r="AM788" s="3" t="s">
        <v>99</v>
      </c>
      <c r="AN788" s="3" t="s">
        <v>61</v>
      </c>
      <c r="AO788" s="3" t="s">
        <v>62</v>
      </c>
      <c r="AP788" s="3" t="s">
        <v>69</v>
      </c>
      <c r="AQ788" s="3" t="s">
        <v>61</v>
      </c>
      <c r="AR788" s="3" t="s">
        <v>48</v>
      </c>
    </row>
    <row r="789" spans="1:44" ht="30" customHeight="1">
      <c r="A789" s="3" t="s">
        <v>44</v>
      </c>
      <c r="B789" s="3" t="s">
        <v>45</v>
      </c>
      <c r="C789" s="3" t="s">
        <v>46</v>
      </c>
      <c r="D789" s="3" t="s">
        <v>200</v>
      </c>
      <c r="E789" s="3" t="s">
        <v>48</v>
      </c>
      <c r="F789" s="3" t="s">
        <v>201</v>
      </c>
      <c r="G789" s="3" t="s">
        <v>375</v>
      </c>
      <c r="H789" s="4">
        <f>IF(DATEDIF(L789,S789,"m")&gt;12,DATEDIF(L789,S789,"y"),(DATEDIF(L789,S789,"m")/12))</f>
        <v>2</v>
      </c>
      <c r="I789" s="7">
        <f>DATEDIF(L789,S789,"M")</f>
        <v>29</v>
      </c>
      <c r="J789" s="7">
        <f>DATEDIF(L789,S789,"D")</f>
        <v>907</v>
      </c>
      <c r="K789" s="3" t="s">
        <v>51</v>
      </c>
      <c r="L789" s="8">
        <v>44095</v>
      </c>
      <c r="M789" s="3" t="s">
        <v>45</v>
      </c>
      <c r="N789" s="3" t="s">
        <v>90</v>
      </c>
      <c r="O789" s="3" t="s">
        <v>52</v>
      </c>
      <c r="P789" s="3" t="s">
        <v>376</v>
      </c>
      <c r="Q789" s="7">
        <v>1</v>
      </c>
      <c r="R789" s="8">
        <v>45003</v>
      </c>
      <c r="S789" s="8">
        <v>45002</v>
      </c>
      <c r="T789" s="3" t="s">
        <v>54</v>
      </c>
      <c r="U789" s="3" t="s">
        <v>55</v>
      </c>
      <c r="V789" s="9"/>
      <c r="W789" s="10">
        <v>45005</v>
      </c>
      <c r="X789" s="7">
        <v>2</v>
      </c>
      <c r="Y789" s="7">
        <v>0</v>
      </c>
      <c r="Z789" s="7">
        <v>3</v>
      </c>
      <c r="AA789" s="7">
        <f>INT((S789-DATE(YEAR(S789-WEEKDAY(S789-0)+4),1,4)+WEEKDAY(DATE(YEAR(S789-WEEKDAY(S789-0)+4),1,4))+6)/7)</f>
        <v>11</v>
      </c>
      <c r="AB789" s="3" t="s">
        <v>377</v>
      </c>
      <c r="AC789" s="7">
        <v>19</v>
      </c>
      <c r="AD789" s="7">
        <v>0</v>
      </c>
      <c r="AE789" s="7">
        <v>0</v>
      </c>
      <c r="AF789" s="3" t="s">
        <v>48</v>
      </c>
      <c r="AG789" s="7">
        <v>2023</v>
      </c>
      <c r="AH789" s="12" t="s">
        <v>206</v>
      </c>
      <c r="AI789" s="3" t="s">
        <v>207</v>
      </c>
      <c r="AJ789" s="3" t="s">
        <v>208</v>
      </c>
      <c r="AK789" s="3" t="s">
        <v>378</v>
      </c>
      <c r="AL789" s="3" t="s">
        <v>59</v>
      </c>
      <c r="AM789" s="3" t="s">
        <v>99</v>
      </c>
      <c r="AN789" s="3" t="s">
        <v>61</v>
      </c>
      <c r="AO789" s="3" t="s">
        <v>62</v>
      </c>
      <c r="AP789" s="3" t="s">
        <v>69</v>
      </c>
      <c r="AQ789" s="3" t="s">
        <v>61</v>
      </c>
      <c r="AR789" s="3" t="s">
        <v>48</v>
      </c>
    </row>
    <row r="790" spans="1:44" ht="30" customHeight="1">
      <c r="A790" s="3" t="s">
        <v>44</v>
      </c>
      <c r="B790" s="3" t="s">
        <v>45</v>
      </c>
      <c r="C790" s="3" t="s">
        <v>46</v>
      </c>
      <c r="D790" s="3" t="s">
        <v>47</v>
      </c>
      <c r="E790" s="3" t="s">
        <v>48</v>
      </c>
      <c r="F790" s="3" t="s">
        <v>49</v>
      </c>
      <c r="G790" s="3" t="s">
        <v>776</v>
      </c>
      <c r="H790" s="4">
        <f>IF(DATEDIF(L790,S790,"m")&gt;12,DATEDIF(L790,S790,"y"),(DATEDIF(L790,S790,"m")/12))</f>
        <v>1</v>
      </c>
      <c r="I790" s="7">
        <f>DATEDIF(L790,S790,"M")</f>
        <v>14</v>
      </c>
      <c r="J790" s="7">
        <f>DATEDIF(L790,S790,"D")</f>
        <v>444</v>
      </c>
      <c r="K790" s="3" t="s">
        <v>64</v>
      </c>
      <c r="L790" s="8">
        <v>44555</v>
      </c>
      <c r="M790" s="3" t="s">
        <v>45</v>
      </c>
      <c r="N790" s="3" t="s">
        <v>49</v>
      </c>
      <c r="O790" s="3" t="s">
        <v>52</v>
      </c>
      <c r="P790" s="3" t="s">
        <v>777</v>
      </c>
      <c r="Q790" s="7">
        <v>0</v>
      </c>
      <c r="R790" s="8">
        <v>45002</v>
      </c>
      <c r="S790" s="8">
        <v>44999</v>
      </c>
      <c r="T790" s="3" t="s">
        <v>54</v>
      </c>
      <c r="U790" s="3" t="s">
        <v>55</v>
      </c>
      <c r="V790" s="9"/>
      <c r="W790" s="10">
        <v>45005</v>
      </c>
      <c r="X790" s="7">
        <v>3</v>
      </c>
      <c r="Y790" s="7">
        <v>3</v>
      </c>
      <c r="Z790" s="7">
        <v>3</v>
      </c>
      <c r="AA790" s="7">
        <f>INT((S790-DATE(YEAR(S790-WEEKDAY(S790-0)+4),1,4)+WEEKDAY(DATE(YEAR(S790-WEEKDAY(S790-0)+4),1,4))+6)/7)</f>
        <v>11</v>
      </c>
      <c r="AB790" s="3" t="s">
        <v>778</v>
      </c>
      <c r="AC790" s="7">
        <v>138</v>
      </c>
      <c r="AD790" s="7">
        <v>0</v>
      </c>
      <c r="AE790" s="7">
        <v>0</v>
      </c>
      <c r="AF790" s="3" t="s">
        <v>48</v>
      </c>
      <c r="AG790" s="7">
        <v>2023</v>
      </c>
      <c r="AH790" s="3" t="s">
        <v>57</v>
      </c>
      <c r="AI790" s="3" t="s">
        <v>48</v>
      </c>
      <c r="AJ790" s="3" t="s">
        <v>48</v>
      </c>
      <c r="AK790" s="3" t="s">
        <v>779</v>
      </c>
      <c r="AL790" s="3" t="s">
        <v>59</v>
      </c>
      <c r="AM790" s="3" t="s">
        <v>60</v>
      </c>
      <c r="AN790" s="3" t="s">
        <v>61</v>
      </c>
      <c r="AO790" s="3" t="s">
        <v>62</v>
      </c>
      <c r="AP790" s="3" t="s">
        <v>69</v>
      </c>
      <c r="AQ790" s="3" t="s">
        <v>61</v>
      </c>
      <c r="AR790" s="3" t="s">
        <v>48</v>
      </c>
    </row>
    <row r="791" spans="1:44" ht="30" customHeight="1">
      <c r="A791" s="3" t="s">
        <v>44</v>
      </c>
      <c r="B791" s="3" t="s">
        <v>45</v>
      </c>
      <c r="C791" s="3" t="s">
        <v>46</v>
      </c>
      <c r="D791" s="3" t="s">
        <v>47</v>
      </c>
      <c r="E791" s="3" t="s">
        <v>48</v>
      </c>
      <c r="F791" s="3" t="s">
        <v>49</v>
      </c>
      <c r="G791" s="3" t="s">
        <v>913</v>
      </c>
      <c r="H791" s="4">
        <v>4</v>
      </c>
      <c r="I791" s="7">
        <v>0</v>
      </c>
      <c r="J791" s="7">
        <v>0</v>
      </c>
      <c r="K791" s="3" t="s">
        <v>64</v>
      </c>
      <c r="L791" s="22"/>
      <c r="M791" s="3" t="s">
        <v>45</v>
      </c>
      <c r="N791" s="3" t="s">
        <v>49</v>
      </c>
      <c r="O791" s="3" t="s">
        <v>52</v>
      </c>
      <c r="P791" s="3" t="s">
        <v>389</v>
      </c>
      <c r="Q791" s="7">
        <v>0</v>
      </c>
      <c r="R791" s="8">
        <v>45002</v>
      </c>
      <c r="S791" s="8">
        <v>44997</v>
      </c>
      <c r="T791" s="3" t="s">
        <v>54</v>
      </c>
      <c r="U791" s="3" t="s">
        <v>55</v>
      </c>
      <c r="V791" s="9"/>
      <c r="W791" s="10">
        <v>45005</v>
      </c>
      <c r="X791" s="7">
        <v>3</v>
      </c>
      <c r="Y791" s="7">
        <v>5</v>
      </c>
      <c r="Z791" s="7">
        <v>3</v>
      </c>
      <c r="AA791" s="7">
        <f>INT((S791-DATE(YEAR(S791-WEEKDAY(S791-0)+4),1,4)+WEEKDAY(DATE(YEAR(S791-WEEKDAY(S791-0)+4),1,4))+6)/7)</f>
        <v>11</v>
      </c>
      <c r="AB791" s="3" t="s">
        <v>914</v>
      </c>
      <c r="AC791" s="7">
        <v>139</v>
      </c>
      <c r="AD791" s="7">
        <v>0</v>
      </c>
      <c r="AE791" s="7">
        <v>0</v>
      </c>
      <c r="AF791" s="3" t="s">
        <v>48</v>
      </c>
      <c r="AG791" s="7">
        <v>2023</v>
      </c>
      <c r="AH791" s="3" t="s">
        <v>57</v>
      </c>
      <c r="AI791" s="3" t="s">
        <v>48</v>
      </c>
      <c r="AJ791" s="3" t="s">
        <v>48</v>
      </c>
      <c r="AK791" s="3" t="s">
        <v>58</v>
      </c>
      <c r="AL791" s="3" t="s">
        <v>59</v>
      </c>
      <c r="AM791" s="3" t="s">
        <v>60</v>
      </c>
      <c r="AN791" s="3" t="s">
        <v>61</v>
      </c>
      <c r="AO791" s="3" t="s">
        <v>62</v>
      </c>
      <c r="AP791" s="3" t="s">
        <v>69</v>
      </c>
      <c r="AQ791" s="3" t="s">
        <v>61</v>
      </c>
      <c r="AR791" s="3" t="s">
        <v>48</v>
      </c>
    </row>
    <row r="792" spans="1:44" ht="30" customHeight="1">
      <c r="A792" s="3" t="s">
        <v>44</v>
      </c>
      <c r="B792" s="3" t="s">
        <v>45</v>
      </c>
      <c r="C792" s="3" t="s">
        <v>46</v>
      </c>
      <c r="D792" s="3" t="s">
        <v>70</v>
      </c>
      <c r="E792" s="3" t="s">
        <v>48</v>
      </c>
      <c r="F792" s="3" t="s">
        <v>71</v>
      </c>
      <c r="G792" s="3" t="s">
        <v>929</v>
      </c>
      <c r="H792" s="5">
        <f>IF(DATEDIF(L792,S792,"m")&gt;12,DATEDIF(L792,S792,"y"),(DATEDIF(L792,S792,"m")/12))</f>
        <v>0.91666666666666663</v>
      </c>
      <c r="I792" s="7">
        <f>DATEDIF(L792,S792,"M")</f>
        <v>11</v>
      </c>
      <c r="J792" s="7">
        <f>DATEDIF(L792,S792,"D")</f>
        <v>345</v>
      </c>
      <c r="K792" s="3" t="s">
        <v>51</v>
      </c>
      <c r="L792" s="8">
        <v>44656</v>
      </c>
      <c r="M792" s="3" t="s">
        <v>45</v>
      </c>
      <c r="N792" s="3" t="s">
        <v>164</v>
      </c>
      <c r="O792" s="3" t="s">
        <v>52</v>
      </c>
      <c r="P792" s="3" t="s">
        <v>84</v>
      </c>
      <c r="Q792" s="7">
        <v>1</v>
      </c>
      <c r="R792" s="8">
        <v>45002</v>
      </c>
      <c r="S792" s="8">
        <v>45001</v>
      </c>
      <c r="T792" s="3" t="s">
        <v>54</v>
      </c>
      <c r="U792" s="3" t="s">
        <v>55</v>
      </c>
      <c r="V792" s="9"/>
      <c r="W792" s="10">
        <v>45005</v>
      </c>
      <c r="X792" s="7">
        <v>3</v>
      </c>
      <c r="Y792" s="7">
        <v>1</v>
      </c>
      <c r="Z792" s="7">
        <v>3</v>
      </c>
      <c r="AA792" s="7">
        <f>INT((S792-DATE(YEAR(S792-WEEKDAY(S792-0)+4),1,4)+WEEKDAY(DATE(YEAR(S792-WEEKDAY(S792-0)+4),1,4))+6)/7)</f>
        <v>11</v>
      </c>
      <c r="AB792" s="3" t="s">
        <v>930</v>
      </c>
      <c r="AC792" s="7">
        <v>736</v>
      </c>
      <c r="AD792" s="7">
        <v>0</v>
      </c>
      <c r="AE792" s="7">
        <v>1</v>
      </c>
      <c r="AF792" s="3" t="s">
        <v>48</v>
      </c>
      <c r="AG792" s="7">
        <v>2023</v>
      </c>
      <c r="AH792" s="3" t="s">
        <v>532</v>
      </c>
      <c r="AI792" s="3" t="s">
        <v>166</v>
      </c>
      <c r="AJ792" s="3" t="s">
        <v>78</v>
      </c>
      <c r="AK792" s="3" t="s">
        <v>931</v>
      </c>
      <c r="AL792" s="3" t="s">
        <v>59</v>
      </c>
      <c r="AM792" s="3" t="s">
        <v>60</v>
      </c>
      <c r="AN792" s="3" t="s">
        <v>61</v>
      </c>
      <c r="AO792" s="3" t="s">
        <v>62</v>
      </c>
      <c r="AP792" s="3" t="s">
        <v>69</v>
      </c>
      <c r="AQ792" s="3" t="s">
        <v>61</v>
      </c>
      <c r="AR792" s="3" t="s">
        <v>48</v>
      </c>
    </row>
    <row r="793" spans="1:44" ht="30" customHeight="1">
      <c r="A793" s="3" t="s">
        <v>44</v>
      </c>
      <c r="B793" s="3" t="s">
        <v>45</v>
      </c>
      <c r="C793" s="3" t="s">
        <v>46</v>
      </c>
      <c r="D793" s="3" t="s">
        <v>186</v>
      </c>
      <c r="E793" s="3" t="s">
        <v>48</v>
      </c>
      <c r="F793" s="3" t="s">
        <v>271</v>
      </c>
      <c r="G793" s="3" t="s">
        <v>974</v>
      </c>
      <c r="H793" s="4">
        <f>IF(DATEDIF(L793,S793,"m")&gt;12,DATEDIF(L793,S793,"y"),(DATEDIF(L793,S793,"m")/12))</f>
        <v>69</v>
      </c>
      <c r="I793" s="7">
        <f>DATEDIF(L793,S793,"M")</f>
        <v>837</v>
      </c>
      <c r="J793" s="7">
        <f>DATEDIF(L793,S793,"D")</f>
        <v>25478</v>
      </c>
      <c r="K793" s="3" t="s">
        <v>64</v>
      </c>
      <c r="L793" s="8">
        <v>19521</v>
      </c>
      <c r="M793" s="3" t="s">
        <v>45</v>
      </c>
      <c r="N793" s="3" t="s">
        <v>187</v>
      </c>
      <c r="O793" s="3" t="s">
        <v>52</v>
      </c>
      <c r="P793" s="3" t="s">
        <v>975</v>
      </c>
      <c r="Q793" s="7">
        <v>0</v>
      </c>
      <c r="R793" s="8">
        <v>45001</v>
      </c>
      <c r="S793" s="8">
        <v>44999</v>
      </c>
      <c r="T793" s="3" t="s">
        <v>54</v>
      </c>
      <c r="U793" s="3" t="s">
        <v>55</v>
      </c>
      <c r="V793" s="9"/>
      <c r="W793" s="10">
        <v>45005</v>
      </c>
      <c r="X793" s="7">
        <v>4</v>
      </c>
      <c r="Y793" s="7">
        <v>2</v>
      </c>
      <c r="Z793" s="7">
        <v>3</v>
      </c>
      <c r="AA793" s="7">
        <f>INT((S793-DATE(YEAR(S793-WEEKDAY(S793-0)+4),1,4)+WEEKDAY(DATE(YEAR(S793-WEEKDAY(S793-0)+4),1,4))+6)/7)</f>
        <v>11</v>
      </c>
      <c r="AB793" s="3" t="s">
        <v>976</v>
      </c>
      <c r="AC793" s="7">
        <v>134</v>
      </c>
      <c r="AD793" s="7">
        <v>0</v>
      </c>
      <c r="AE793" s="7">
        <v>0</v>
      </c>
      <c r="AF793" s="3" t="s">
        <v>48</v>
      </c>
      <c r="AG793" s="7">
        <v>2023</v>
      </c>
      <c r="AH793" s="3" t="s">
        <v>276</v>
      </c>
      <c r="AI793" s="3" t="s">
        <v>191</v>
      </c>
      <c r="AJ793" s="3" t="s">
        <v>186</v>
      </c>
      <c r="AK793" s="3" t="s">
        <v>260</v>
      </c>
      <c r="AL793" s="3" t="s">
        <v>59</v>
      </c>
      <c r="AM793" s="3" t="s">
        <v>60</v>
      </c>
      <c r="AN793" s="3" t="s">
        <v>61</v>
      </c>
      <c r="AO793" s="3" t="s">
        <v>62</v>
      </c>
      <c r="AP793" s="3" t="s">
        <v>69</v>
      </c>
      <c r="AQ793" s="3" t="s">
        <v>61</v>
      </c>
      <c r="AR793" s="3" t="s">
        <v>48</v>
      </c>
    </row>
    <row r="794" spans="1:44" ht="30" customHeight="1">
      <c r="A794" s="3" t="s">
        <v>44</v>
      </c>
      <c r="B794" s="3" t="s">
        <v>45</v>
      </c>
      <c r="C794" s="3" t="s">
        <v>46</v>
      </c>
      <c r="D794" s="3" t="s">
        <v>47</v>
      </c>
      <c r="E794" s="3" t="s">
        <v>48</v>
      </c>
      <c r="F794" s="3" t="s">
        <v>49</v>
      </c>
      <c r="G794" s="3" t="s">
        <v>2361</v>
      </c>
      <c r="H794" s="5">
        <f>IF(DATEDIF(L794,S794,"m")&gt;12,DATEDIF(L794,S794,"y"),(DATEDIF(L794,S794,"m")/12))</f>
        <v>0.91666666666666663</v>
      </c>
      <c r="I794" s="7">
        <f>DATEDIF(L794,S794,"M")</f>
        <v>11</v>
      </c>
      <c r="J794" s="7">
        <f>DATEDIF(L794,S794,"D")</f>
        <v>348</v>
      </c>
      <c r="K794" s="3" t="s">
        <v>51</v>
      </c>
      <c r="L794" s="8">
        <v>44623</v>
      </c>
      <c r="M794" s="3" t="s">
        <v>45</v>
      </c>
      <c r="N794" s="3" t="s">
        <v>73</v>
      </c>
      <c r="O794" s="3" t="s">
        <v>52</v>
      </c>
      <c r="P794" s="3" t="s">
        <v>1960</v>
      </c>
      <c r="Q794" s="7">
        <v>1</v>
      </c>
      <c r="R794" s="8">
        <v>44976</v>
      </c>
      <c r="S794" s="8">
        <v>44971</v>
      </c>
      <c r="T794" s="3" t="s">
        <v>54</v>
      </c>
      <c r="U794" s="3" t="s">
        <v>55</v>
      </c>
      <c r="V794" s="9"/>
      <c r="W794" s="10">
        <v>44978</v>
      </c>
      <c r="X794" s="7">
        <v>2</v>
      </c>
      <c r="Y794" s="7">
        <v>5</v>
      </c>
      <c r="Z794" s="7">
        <v>2</v>
      </c>
      <c r="AA794" s="7">
        <f>INT((S794-DATE(YEAR(S794-WEEKDAY(S794-0)+4),1,4)+WEEKDAY(DATE(YEAR(S794-WEEKDAY(S794-0)+4),1,4))+6)/7)</f>
        <v>7</v>
      </c>
      <c r="AB794" s="3" t="s">
        <v>2362</v>
      </c>
      <c r="AC794" s="7">
        <v>67</v>
      </c>
      <c r="AD794" s="7">
        <v>0</v>
      </c>
      <c r="AE794" s="7">
        <v>0</v>
      </c>
      <c r="AF794" s="3" t="s">
        <v>48</v>
      </c>
      <c r="AG794" s="7">
        <v>2023</v>
      </c>
      <c r="AH794" s="3" t="s">
        <v>57</v>
      </c>
      <c r="AI794" s="3" t="s">
        <v>48</v>
      </c>
      <c r="AJ794" s="3" t="s">
        <v>48</v>
      </c>
      <c r="AK794" s="3" t="s">
        <v>199</v>
      </c>
      <c r="AL794" s="3" t="s">
        <v>59</v>
      </c>
      <c r="AM794" s="3" t="s">
        <v>60</v>
      </c>
      <c r="AN794" s="3" t="s">
        <v>61</v>
      </c>
      <c r="AO794" s="3" t="s">
        <v>62</v>
      </c>
      <c r="AP794" s="3" t="s">
        <v>69</v>
      </c>
      <c r="AQ794" s="3" t="s">
        <v>61</v>
      </c>
      <c r="AR794" s="3" t="s">
        <v>48</v>
      </c>
    </row>
    <row r="795" spans="1:44" ht="30" customHeight="1">
      <c r="A795" s="3" t="s">
        <v>44</v>
      </c>
      <c r="B795" s="3" t="s">
        <v>45</v>
      </c>
      <c r="C795" s="3" t="s">
        <v>46</v>
      </c>
      <c r="D795" s="3" t="s">
        <v>47</v>
      </c>
      <c r="E795" s="3" t="s">
        <v>48</v>
      </c>
      <c r="F795" s="3" t="s">
        <v>49</v>
      </c>
      <c r="G795" s="3" t="s">
        <v>1119</v>
      </c>
      <c r="H795" s="4">
        <f>IF(DATEDIF(L795,S795,"m")&gt;12,DATEDIF(L795,S795,"y"),(DATEDIF(L795,S795,"m")/12))</f>
        <v>7</v>
      </c>
      <c r="I795" s="7">
        <f>DATEDIF(L795,S795,"M")</f>
        <v>84</v>
      </c>
      <c r="J795" s="7">
        <f>DATEDIF(L795,S795,"D")</f>
        <v>2563</v>
      </c>
      <c r="K795" s="3" t="s">
        <v>64</v>
      </c>
      <c r="L795" s="8">
        <v>42437</v>
      </c>
      <c r="M795" s="3" t="s">
        <v>45</v>
      </c>
      <c r="N795" s="3" t="s">
        <v>49</v>
      </c>
      <c r="O795" s="3" t="s">
        <v>52</v>
      </c>
      <c r="P795" s="3" t="s">
        <v>1100</v>
      </c>
      <c r="Q795" s="7">
        <v>0</v>
      </c>
      <c r="R795" s="8">
        <v>45002</v>
      </c>
      <c r="S795" s="8">
        <v>45000</v>
      </c>
      <c r="T795" s="3" t="s">
        <v>54</v>
      </c>
      <c r="U795" s="3" t="s">
        <v>55</v>
      </c>
      <c r="V795" s="9"/>
      <c r="W795" s="10">
        <v>45005</v>
      </c>
      <c r="X795" s="7">
        <v>3</v>
      </c>
      <c r="Y795" s="7">
        <v>2</v>
      </c>
      <c r="Z795" s="7">
        <v>3</v>
      </c>
      <c r="AA795" s="7">
        <f>INT((S795-DATE(YEAR(S795-WEEKDAY(S795-0)+4),1,4)+WEEKDAY(DATE(YEAR(S795-WEEKDAY(S795-0)+4),1,4))+6)/7)</f>
        <v>11</v>
      </c>
      <c r="AB795" s="3" t="s">
        <v>1120</v>
      </c>
      <c r="AC795" s="7">
        <v>137</v>
      </c>
      <c r="AD795" s="7">
        <v>0</v>
      </c>
      <c r="AE795" s="7">
        <v>0</v>
      </c>
      <c r="AF795" s="3" t="s">
        <v>48</v>
      </c>
      <c r="AG795" s="7">
        <v>2023</v>
      </c>
      <c r="AH795" s="3" t="s">
        <v>57</v>
      </c>
      <c r="AI795" s="3" t="s">
        <v>48</v>
      </c>
      <c r="AJ795" s="3" t="s">
        <v>48</v>
      </c>
      <c r="AK795" s="3" t="s">
        <v>58</v>
      </c>
      <c r="AL795" s="3" t="s">
        <v>59</v>
      </c>
      <c r="AM795" s="3" t="s">
        <v>60</v>
      </c>
      <c r="AN795" s="3" t="s">
        <v>61</v>
      </c>
      <c r="AO795" s="3" t="s">
        <v>62</v>
      </c>
      <c r="AP795" s="3" t="s">
        <v>69</v>
      </c>
      <c r="AQ795" s="3" t="s">
        <v>61</v>
      </c>
      <c r="AR795" s="3" t="s">
        <v>48</v>
      </c>
    </row>
    <row r="796" spans="1:44" ht="30" customHeight="1">
      <c r="A796" s="3" t="s">
        <v>44</v>
      </c>
      <c r="B796" s="3" t="s">
        <v>45</v>
      </c>
      <c r="C796" s="3" t="s">
        <v>46</v>
      </c>
      <c r="D796" s="3" t="s">
        <v>108</v>
      </c>
      <c r="E796" s="3" t="s">
        <v>48</v>
      </c>
      <c r="F796" s="3" t="s">
        <v>108</v>
      </c>
      <c r="G796" s="3" t="s">
        <v>492</v>
      </c>
      <c r="H796" s="4">
        <f>IF(DATEDIF(L796,S796,"m")&gt;12,DATEDIF(L796,S796,"y"),(DATEDIF(L796,S796,"m")/12))</f>
        <v>6</v>
      </c>
      <c r="I796" s="7">
        <f>DATEDIF(L796,S796,"M")</f>
        <v>80</v>
      </c>
      <c r="J796" s="7">
        <f>DATEDIF(L796,S796,"D")</f>
        <v>2453</v>
      </c>
      <c r="K796" s="3" t="s">
        <v>64</v>
      </c>
      <c r="L796" s="8">
        <v>42524</v>
      </c>
      <c r="M796" s="3" t="s">
        <v>45</v>
      </c>
      <c r="N796" s="3" t="s">
        <v>73</v>
      </c>
      <c r="O796" s="3" t="s">
        <v>52</v>
      </c>
      <c r="P796" s="3" t="s">
        <v>432</v>
      </c>
      <c r="Q796" s="7">
        <v>0</v>
      </c>
      <c r="R796" s="8">
        <v>44978</v>
      </c>
      <c r="S796" s="8">
        <v>44977</v>
      </c>
      <c r="T796" s="3" t="s">
        <v>54</v>
      </c>
      <c r="U796" s="3" t="s">
        <v>55</v>
      </c>
      <c r="V796" s="9"/>
      <c r="W796" s="10">
        <v>44984</v>
      </c>
      <c r="X796" s="7">
        <v>6</v>
      </c>
      <c r="Y796" s="7">
        <v>1</v>
      </c>
      <c r="Z796" s="7">
        <v>2</v>
      </c>
      <c r="AA796" s="7">
        <f>INT((S796-DATE(YEAR(S796-WEEKDAY(S796-0)+4),1,4)+WEEKDAY(DATE(YEAR(S796-WEEKDAY(S796-0)+4),1,4))+6)/7)</f>
        <v>8</v>
      </c>
      <c r="AB796" s="3" t="s">
        <v>493</v>
      </c>
      <c r="AC796" s="7">
        <v>288</v>
      </c>
      <c r="AD796" s="7">
        <v>0</v>
      </c>
      <c r="AE796" s="7">
        <v>0</v>
      </c>
      <c r="AF796" s="3" t="s">
        <v>48</v>
      </c>
      <c r="AG796" s="7">
        <v>2023</v>
      </c>
      <c r="AH796" s="3" t="s">
        <v>112</v>
      </c>
      <c r="AI796" s="3" t="s">
        <v>113</v>
      </c>
      <c r="AJ796" s="3" t="s">
        <v>48</v>
      </c>
      <c r="AK796" s="3" t="s">
        <v>199</v>
      </c>
      <c r="AL796" s="3" t="s">
        <v>59</v>
      </c>
      <c r="AM796" s="3" t="s">
        <v>115</v>
      </c>
      <c r="AN796" s="3" t="s">
        <v>61</v>
      </c>
      <c r="AO796" s="3" t="s">
        <v>62</v>
      </c>
      <c r="AP796" s="3" t="s">
        <v>69</v>
      </c>
      <c r="AQ796" s="3" t="s">
        <v>61</v>
      </c>
      <c r="AR796" s="3" t="s">
        <v>48</v>
      </c>
    </row>
    <row r="797" spans="1:44" ht="30" customHeight="1">
      <c r="A797" s="3" t="s">
        <v>44</v>
      </c>
      <c r="B797" s="3" t="s">
        <v>45</v>
      </c>
      <c r="C797" s="3" t="s">
        <v>46</v>
      </c>
      <c r="D797" s="3" t="s">
        <v>108</v>
      </c>
      <c r="E797" s="3" t="s">
        <v>48</v>
      </c>
      <c r="F797" s="3" t="s">
        <v>108</v>
      </c>
      <c r="G797" s="3" t="s">
        <v>729</v>
      </c>
      <c r="H797" s="5">
        <f>IF(DATEDIF(L797,S797,"m")&gt;12,DATEDIF(L797,S797,"y"),(DATEDIF(L797,S797,"m")/12))</f>
        <v>0.41666666666666669</v>
      </c>
      <c r="I797" s="7">
        <f>DATEDIF(L797,S797,"M")</f>
        <v>5</v>
      </c>
      <c r="J797" s="7">
        <f>DATEDIF(L797,S797,"D")</f>
        <v>164</v>
      </c>
      <c r="K797" s="3" t="s">
        <v>64</v>
      </c>
      <c r="L797" s="8">
        <v>44814</v>
      </c>
      <c r="M797" s="3" t="s">
        <v>45</v>
      </c>
      <c r="N797" s="3" t="s">
        <v>73</v>
      </c>
      <c r="O797" s="3" t="s">
        <v>52</v>
      </c>
      <c r="P797" s="3" t="s">
        <v>264</v>
      </c>
      <c r="Q797" s="7">
        <v>0</v>
      </c>
      <c r="R797" s="8">
        <v>44979</v>
      </c>
      <c r="S797" s="8">
        <v>44978</v>
      </c>
      <c r="T797" s="3" t="s">
        <v>54</v>
      </c>
      <c r="U797" s="3" t="s">
        <v>55</v>
      </c>
      <c r="V797" s="9"/>
      <c r="W797" s="10">
        <v>44984</v>
      </c>
      <c r="X797" s="7">
        <v>5</v>
      </c>
      <c r="Y797" s="7">
        <v>1</v>
      </c>
      <c r="Z797" s="7">
        <v>2</v>
      </c>
      <c r="AA797" s="7">
        <f>INT((S797-DATE(YEAR(S797-WEEKDAY(S797-0)+4),1,4)+WEEKDAY(DATE(YEAR(S797-WEEKDAY(S797-0)+4),1,4))+6)/7)</f>
        <v>8</v>
      </c>
      <c r="AB797" s="3" t="s">
        <v>730</v>
      </c>
      <c r="AC797" s="7">
        <v>293</v>
      </c>
      <c r="AD797" s="7">
        <v>0</v>
      </c>
      <c r="AE797" s="7">
        <v>0</v>
      </c>
      <c r="AF797" s="3" t="s">
        <v>48</v>
      </c>
      <c r="AG797" s="7">
        <v>2023</v>
      </c>
      <c r="AH797" s="3" t="s">
        <v>112</v>
      </c>
      <c r="AI797" s="3" t="s">
        <v>113</v>
      </c>
      <c r="AJ797" s="3" t="s">
        <v>48</v>
      </c>
      <c r="AK797" s="3" t="s">
        <v>199</v>
      </c>
      <c r="AL797" s="3" t="s">
        <v>59</v>
      </c>
      <c r="AM797" s="3" t="s">
        <v>115</v>
      </c>
      <c r="AN797" s="3" t="s">
        <v>61</v>
      </c>
      <c r="AO797" s="3" t="s">
        <v>62</v>
      </c>
      <c r="AP797" s="3" t="s">
        <v>69</v>
      </c>
      <c r="AQ797" s="3" t="s">
        <v>61</v>
      </c>
      <c r="AR797" s="3" t="s">
        <v>48</v>
      </c>
    </row>
    <row r="798" spans="1:44" ht="30" customHeight="1">
      <c r="A798" s="3" t="s">
        <v>44</v>
      </c>
      <c r="B798" s="3" t="s">
        <v>45</v>
      </c>
      <c r="C798" s="3" t="s">
        <v>46</v>
      </c>
      <c r="D798" s="3" t="s">
        <v>108</v>
      </c>
      <c r="E798" s="3" t="s">
        <v>48</v>
      </c>
      <c r="F798" s="3" t="s">
        <v>108</v>
      </c>
      <c r="G798" s="3" t="s">
        <v>953</v>
      </c>
      <c r="H798" s="4">
        <f>IF(DATEDIF(L798,S798,"m")&gt;12,DATEDIF(L798,S798,"y"),(DATEDIF(L798,S798,"m")/12))</f>
        <v>1</v>
      </c>
      <c r="I798" s="7">
        <f>DATEDIF(L798,S798,"M")</f>
        <v>13</v>
      </c>
      <c r="J798" s="7">
        <f>DATEDIF(L798,S798,"D")</f>
        <v>412</v>
      </c>
      <c r="K798" s="3" t="s">
        <v>64</v>
      </c>
      <c r="L798" s="8">
        <v>44565</v>
      </c>
      <c r="M798" s="3" t="s">
        <v>45</v>
      </c>
      <c r="N798" s="3" t="s">
        <v>73</v>
      </c>
      <c r="O798" s="3" t="s">
        <v>52</v>
      </c>
      <c r="P798" s="3" t="s">
        <v>180</v>
      </c>
      <c r="Q798" s="7">
        <v>0</v>
      </c>
      <c r="R798" s="8">
        <v>44980</v>
      </c>
      <c r="S798" s="8">
        <v>44977</v>
      </c>
      <c r="T798" s="3" t="s">
        <v>54</v>
      </c>
      <c r="U798" s="3" t="s">
        <v>55</v>
      </c>
      <c r="V798" s="9"/>
      <c r="W798" s="10">
        <v>44984</v>
      </c>
      <c r="X798" s="7">
        <v>4</v>
      </c>
      <c r="Y798" s="7">
        <v>3</v>
      </c>
      <c r="Z798" s="7">
        <v>2</v>
      </c>
      <c r="AA798" s="7">
        <f>INT((S798-DATE(YEAR(S798-WEEKDAY(S798-0)+4),1,4)+WEEKDAY(DATE(YEAR(S798-WEEKDAY(S798-0)+4),1,4))+6)/7)</f>
        <v>8</v>
      </c>
      <c r="AB798" s="3" t="s">
        <v>954</v>
      </c>
      <c r="AC798" s="7">
        <v>302</v>
      </c>
      <c r="AD798" s="7">
        <v>0</v>
      </c>
      <c r="AE798" s="7">
        <v>0</v>
      </c>
      <c r="AF798" s="3" t="s">
        <v>48</v>
      </c>
      <c r="AG798" s="7">
        <v>2023</v>
      </c>
      <c r="AH798" s="3" t="s">
        <v>112</v>
      </c>
      <c r="AI798" s="3" t="s">
        <v>113</v>
      </c>
      <c r="AJ798" s="3" t="s">
        <v>48</v>
      </c>
      <c r="AK798" s="3" t="s">
        <v>199</v>
      </c>
      <c r="AL798" s="3" t="s">
        <v>59</v>
      </c>
      <c r="AM798" s="3" t="s">
        <v>115</v>
      </c>
      <c r="AN798" s="3" t="s">
        <v>61</v>
      </c>
      <c r="AO798" s="3" t="s">
        <v>62</v>
      </c>
      <c r="AP798" s="3" t="s">
        <v>69</v>
      </c>
      <c r="AQ798" s="3" t="s">
        <v>61</v>
      </c>
      <c r="AR798" s="3" t="s">
        <v>48</v>
      </c>
    </row>
    <row r="799" spans="1:44" ht="30" customHeight="1">
      <c r="A799" s="3" t="s">
        <v>44</v>
      </c>
      <c r="B799" s="3" t="s">
        <v>45</v>
      </c>
      <c r="C799" s="3" t="s">
        <v>46</v>
      </c>
      <c r="D799" s="3" t="s">
        <v>108</v>
      </c>
      <c r="E799" s="3" t="s">
        <v>48</v>
      </c>
      <c r="F799" s="3" t="s">
        <v>108</v>
      </c>
      <c r="G799" s="3" t="s">
        <v>1414</v>
      </c>
      <c r="H799" s="4">
        <f>IF(DATEDIF(L799,S799,"m")&gt;12,DATEDIF(L799,S799,"y"),(DATEDIF(L799,S799,"m")/12))</f>
        <v>1</v>
      </c>
      <c r="I799" s="7">
        <f>DATEDIF(L799,S799,"M")</f>
        <v>20</v>
      </c>
      <c r="J799" s="7">
        <f>DATEDIF(L799,S799,"D")</f>
        <v>623</v>
      </c>
      <c r="K799" s="3" t="s">
        <v>64</v>
      </c>
      <c r="L799" s="27">
        <v>44354</v>
      </c>
      <c r="M799" s="3" t="s">
        <v>45</v>
      </c>
      <c r="N799" s="3" t="s">
        <v>73</v>
      </c>
      <c r="O799" s="3" t="s">
        <v>52</v>
      </c>
      <c r="P799" s="3" t="s">
        <v>432</v>
      </c>
      <c r="Q799" s="7">
        <v>0</v>
      </c>
      <c r="R799" s="8">
        <v>44978</v>
      </c>
      <c r="S799" s="8">
        <v>44977</v>
      </c>
      <c r="T799" s="3" t="s">
        <v>54</v>
      </c>
      <c r="U799" s="3" t="s">
        <v>55</v>
      </c>
      <c r="V799" s="9"/>
      <c r="W799" s="10">
        <v>44984</v>
      </c>
      <c r="X799" s="7">
        <v>6</v>
      </c>
      <c r="Y799" s="7">
        <v>1</v>
      </c>
      <c r="Z799" s="7">
        <v>2</v>
      </c>
      <c r="AA799" s="7">
        <f>INT((S799-DATE(YEAR(S799-WEEKDAY(S799-0)+4),1,4)+WEEKDAY(DATE(YEAR(S799-WEEKDAY(S799-0)+4),1,4))+6)/7)</f>
        <v>8</v>
      </c>
      <c r="AB799" s="3" t="s">
        <v>1415</v>
      </c>
      <c r="AC799" s="7">
        <v>283</v>
      </c>
      <c r="AD799" s="7">
        <v>0</v>
      </c>
      <c r="AE799" s="7">
        <v>0</v>
      </c>
      <c r="AF799" s="3" t="s">
        <v>48</v>
      </c>
      <c r="AG799" s="7">
        <v>2023</v>
      </c>
      <c r="AH799" s="3" t="s">
        <v>112</v>
      </c>
      <c r="AI799" s="3" t="s">
        <v>113</v>
      </c>
      <c r="AJ799" s="3" t="s">
        <v>48</v>
      </c>
      <c r="AK799" s="3" t="s">
        <v>199</v>
      </c>
      <c r="AL799" s="3" t="s">
        <v>59</v>
      </c>
      <c r="AM799" s="3" t="s">
        <v>115</v>
      </c>
      <c r="AN799" s="3" t="s">
        <v>61</v>
      </c>
      <c r="AO799" s="3" t="s">
        <v>62</v>
      </c>
      <c r="AP799" s="3" t="s">
        <v>69</v>
      </c>
      <c r="AQ799" s="3" t="s">
        <v>61</v>
      </c>
      <c r="AR799" s="3" t="s">
        <v>48</v>
      </c>
    </row>
    <row r="800" spans="1:44" ht="30" customHeight="1">
      <c r="A800" s="3" t="s">
        <v>44</v>
      </c>
      <c r="B800" s="3" t="s">
        <v>45</v>
      </c>
      <c r="C800" s="3" t="s">
        <v>46</v>
      </c>
      <c r="D800" s="3" t="s">
        <v>108</v>
      </c>
      <c r="E800" s="3" t="s">
        <v>48</v>
      </c>
      <c r="F800" s="3" t="s">
        <v>108</v>
      </c>
      <c r="G800" s="3" t="s">
        <v>1695</v>
      </c>
      <c r="H800" s="4">
        <f>IF(DATEDIF(L800,S800,"m")&gt;12,DATEDIF(L800,S800,"y"),(DATEDIF(L800,S800,"m")/12))</f>
        <v>13</v>
      </c>
      <c r="I800" s="7">
        <f>DATEDIF(L800,S800,"M")</f>
        <v>163</v>
      </c>
      <c r="J800" s="7">
        <f>DATEDIF(L800,S800,"D")</f>
        <v>4985</v>
      </c>
      <c r="K800" s="3" t="s">
        <v>51</v>
      </c>
      <c r="L800" s="8">
        <v>39985</v>
      </c>
      <c r="M800" s="3" t="s">
        <v>45</v>
      </c>
      <c r="N800" s="3" t="s">
        <v>73</v>
      </c>
      <c r="O800" s="3" t="s">
        <v>52</v>
      </c>
      <c r="P800" s="3" t="s">
        <v>1696</v>
      </c>
      <c r="Q800" s="7">
        <v>0</v>
      </c>
      <c r="R800" s="8">
        <v>44977</v>
      </c>
      <c r="S800" s="8">
        <v>44970</v>
      </c>
      <c r="T800" s="3" t="s">
        <v>54</v>
      </c>
      <c r="U800" s="3" t="s">
        <v>55</v>
      </c>
      <c r="V800" s="9"/>
      <c r="W800" s="10">
        <v>44984</v>
      </c>
      <c r="X800" s="7">
        <v>7</v>
      </c>
      <c r="Y800" s="7">
        <v>7</v>
      </c>
      <c r="Z800" s="7">
        <v>2</v>
      </c>
      <c r="AA800" s="7">
        <f>INT((S800-DATE(YEAR(S800-WEEKDAY(S800-0)+4),1,4)+WEEKDAY(DATE(YEAR(S800-WEEKDAY(S800-0)+4),1,4))+6)/7)</f>
        <v>7</v>
      </c>
      <c r="AB800" s="3" t="s">
        <v>1697</v>
      </c>
      <c r="AC800" s="7">
        <v>276</v>
      </c>
      <c r="AD800" s="7">
        <v>0</v>
      </c>
      <c r="AE800" s="7">
        <v>0</v>
      </c>
      <c r="AF800" s="3" t="s">
        <v>48</v>
      </c>
      <c r="AG800" s="7">
        <v>2023</v>
      </c>
      <c r="AH800" s="3" t="s">
        <v>112</v>
      </c>
      <c r="AI800" s="3" t="s">
        <v>113</v>
      </c>
      <c r="AJ800" s="3" t="s">
        <v>48</v>
      </c>
      <c r="AK800" s="3" t="s">
        <v>199</v>
      </c>
      <c r="AL800" s="3" t="s">
        <v>59</v>
      </c>
      <c r="AM800" s="3" t="s">
        <v>115</v>
      </c>
      <c r="AN800" s="3" t="s">
        <v>61</v>
      </c>
      <c r="AO800" s="3" t="s">
        <v>62</v>
      </c>
      <c r="AP800" s="3" t="s">
        <v>69</v>
      </c>
      <c r="AQ800" s="3" t="s">
        <v>61</v>
      </c>
      <c r="AR800" s="3" t="s">
        <v>48</v>
      </c>
    </row>
    <row r="801" spans="1:44" ht="30" customHeight="1">
      <c r="A801" s="3" t="s">
        <v>44</v>
      </c>
      <c r="B801" s="3" t="s">
        <v>45</v>
      </c>
      <c r="C801" s="3" t="s">
        <v>46</v>
      </c>
      <c r="D801" s="3" t="s">
        <v>100</v>
      </c>
      <c r="E801" s="3" t="s">
        <v>48</v>
      </c>
      <c r="F801" s="3" t="s">
        <v>101</v>
      </c>
      <c r="G801" s="3" t="s">
        <v>1454</v>
      </c>
      <c r="H801" s="5">
        <f>IF(DATEDIF(L801,S801,"m")&gt;12,DATEDIF(L801,S801,"y"),(DATEDIF(L801,S801,"m")/12))</f>
        <v>0.33333333333333331</v>
      </c>
      <c r="I801" s="7">
        <f>DATEDIF(L801,S801,"M")</f>
        <v>4</v>
      </c>
      <c r="J801" s="7">
        <f>DATEDIF(L801,S801,"D")</f>
        <v>140</v>
      </c>
      <c r="K801" s="3" t="s">
        <v>51</v>
      </c>
      <c r="L801" s="8">
        <v>44853</v>
      </c>
      <c r="M801" s="3" t="s">
        <v>45</v>
      </c>
      <c r="N801" s="3" t="s">
        <v>65</v>
      </c>
      <c r="O801" s="3" t="s">
        <v>52</v>
      </c>
      <c r="P801" s="3" t="s">
        <v>137</v>
      </c>
      <c r="Q801" s="7">
        <v>0</v>
      </c>
      <c r="R801" s="8">
        <v>45000</v>
      </c>
      <c r="S801" s="8">
        <v>44993</v>
      </c>
      <c r="T801" s="3" t="s">
        <v>54</v>
      </c>
      <c r="U801" s="3" t="s">
        <v>55</v>
      </c>
      <c r="V801" s="9"/>
      <c r="W801" s="10">
        <v>45005</v>
      </c>
      <c r="X801" s="7">
        <v>5</v>
      </c>
      <c r="Y801" s="7">
        <v>7</v>
      </c>
      <c r="Z801" s="7">
        <v>3</v>
      </c>
      <c r="AA801" s="7">
        <f>INT((S801-DATE(YEAR(S801-WEEKDAY(S801-0)+4),1,4)+WEEKDAY(DATE(YEAR(S801-WEEKDAY(S801-0)+4),1,4))+6)/7)</f>
        <v>10</v>
      </c>
      <c r="AB801" s="3" t="s">
        <v>1455</v>
      </c>
      <c r="AC801" s="7">
        <v>739</v>
      </c>
      <c r="AD801" s="7">
        <v>0</v>
      </c>
      <c r="AE801" s="7">
        <v>0</v>
      </c>
      <c r="AF801" s="3" t="s">
        <v>48</v>
      </c>
      <c r="AG801" s="7">
        <v>2023</v>
      </c>
      <c r="AH801" s="3" t="s">
        <v>105</v>
      </c>
      <c r="AI801" s="3" t="s">
        <v>106</v>
      </c>
      <c r="AJ801" s="3" t="s">
        <v>252</v>
      </c>
      <c r="AK801" s="3" t="s">
        <v>404</v>
      </c>
      <c r="AL801" s="3" t="s">
        <v>59</v>
      </c>
      <c r="AM801" s="3" t="s">
        <v>99</v>
      </c>
      <c r="AN801" s="3" t="s">
        <v>61</v>
      </c>
      <c r="AO801" s="3" t="s">
        <v>62</v>
      </c>
      <c r="AP801" s="3" t="s">
        <v>69</v>
      </c>
      <c r="AQ801" s="3" t="s">
        <v>61</v>
      </c>
      <c r="AR801" s="3" t="s">
        <v>48</v>
      </c>
    </row>
    <row r="802" spans="1:44" ht="30" customHeight="1">
      <c r="A802" s="3" t="s">
        <v>44</v>
      </c>
      <c r="B802" s="3" t="s">
        <v>45</v>
      </c>
      <c r="C802" s="3" t="s">
        <v>46</v>
      </c>
      <c r="D802" s="3" t="s">
        <v>47</v>
      </c>
      <c r="E802" s="3" t="s">
        <v>48</v>
      </c>
      <c r="F802" s="3" t="s">
        <v>49</v>
      </c>
      <c r="G802" s="3" t="s">
        <v>1485</v>
      </c>
      <c r="H802" s="4">
        <f>IF(DATEDIF(L802,S802,"m")&gt;12,DATEDIF(L802,S802,"y"),(DATEDIF(L802,S802,"m")/12))</f>
        <v>4</v>
      </c>
      <c r="I802" s="7">
        <f>DATEDIF(L802,S802,"M")</f>
        <v>53</v>
      </c>
      <c r="J802" s="7">
        <f>DATEDIF(L802,S802,"D")</f>
        <v>1636</v>
      </c>
      <c r="K802" s="3" t="s">
        <v>51</v>
      </c>
      <c r="L802" s="8">
        <v>43363</v>
      </c>
      <c r="M802" s="3" t="s">
        <v>45</v>
      </c>
      <c r="N802" s="3" t="s">
        <v>49</v>
      </c>
      <c r="O802" s="3" t="s">
        <v>52</v>
      </c>
      <c r="P802" s="3" t="s">
        <v>1486</v>
      </c>
      <c r="Q802" s="7">
        <v>0</v>
      </c>
      <c r="R802" s="8">
        <v>45002</v>
      </c>
      <c r="S802" s="8">
        <v>44999</v>
      </c>
      <c r="T802" s="3" t="s">
        <v>54</v>
      </c>
      <c r="U802" s="3" t="s">
        <v>55</v>
      </c>
      <c r="V802" s="9"/>
      <c r="W802" s="10">
        <v>45005</v>
      </c>
      <c r="X802" s="7">
        <v>3</v>
      </c>
      <c r="Y802" s="7">
        <v>3</v>
      </c>
      <c r="Z802" s="7">
        <v>3</v>
      </c>
      <c r="AA802" s="7">
        <f>INT((S802-DATE(YEAR(S802-WEEKDAY(S802-0)+4),1,4)+WEEKDAY(DATE(YEAR(S802-WEEKDAY(S802-0)+4),1,4))+6)/7)</f>
        <v>11</v>
      </c>
      <c r="AB802" s="3" t="s">
        <v>1487</v>
      </c>
      <c r="AC802" s="7">
        <v>136</v>
      </c>
      <c r="AD802" s="7">
        <v>0</v>
      </c>
      <c r="AE802" s="7">
        <v>0</v>
      </c>
      <c r="AF802" s="3" t="s">
        <v>48</v>
      </c>
      <c r="AG802" s="7">
        <v>2023</v>
      </c>
      <c r="AH802" s="3" t="s">
        <v>57</v>
      </c>
      <c r="AI802" s="3" t="s">
        <v>48</v>
      </c>
      <c r="AJ802" s="3" t="s">
        <v>48</v>
      </c>
      <c r="AK802" s="3" t="s">
        <v>1172</v>
      </c>
      <c r="AL802" s="3" t="s">
        <v>59</v>
      </c>
      <c r="AM802" s="3" t="s">
        <v>60</v>
      </c>
      <c r="AN802" s="3" t="s">
        <v>61</v>
      </c>
      <c r="AO802" s="3" t="s">
        <v>62</v>
      </c>
      <c r="AP802" s="3" t="s">
        <v>69</v>
      </c>
      <c r="AQ802" s="3" t="s">
        <v>61</v>
      </c>
      <c r="AR802" s="3" t="s">
        <v>48</v>
      </c>
    </row>
    <row r="803" spans="1:44" ht="30" customHeight="1">
      <c r="A803" s="3" t="s">
        <v>44</v>
      </c>
      <c r="B803" s="3" t="s">
        <v>45</v>
      </c>
      <c r="C803" s="3" t="s">
        <v>46</v>
      </c>
      <c r="D803" s="3" t="s">
        <v>70</v>
      </c>
      <c r="E803" s="3" t="s">
        <v>48</v>
      </c>
      <c r="F803" s="3" t="s">
        <v>71</v>
      </c>
      <c r="G803" s="3" t="s">
        <v>1512</v>
      </c>
      <c r="H803" s="4">
        <f>IF(DATEDIF(L803,S803,"m")&gt;12,DATEDIF(L803,S803,"y"),(DATEDIF(L803,S803,"m")/12))</f>
        <v>2</v>
      </c>
      <c r="I803" s="7">
        <f>DATEDIF(L803,S803,"M")</f>
        <v>26</v>
      </c>
      <c r="J803" s="7">
        <f>DATEDIF(L803,S803,"D")</f>
        <v>794</v>
      </c>
      <c r="K803" s="3" t="s">
        <v>64</v>
      </c>
      <c r="L803" s="21">
        <v>44207</v>
      </c>
      <c r="M803" s="3" t="s">
        <v>45</v>
      </c>
      <c r="N803" s="3" t="s">
        <v>329</v>
      </c>
      <c r="O803" s="3" t="s">
        <v>52</v>
      </c>
      <c r="P803" s="3" t="s">
        <v>225</v>
      </c>
      <c r="Q803" s="7">
        <v>1</v>
      </c>
      <c r="R803" s="8">
        <v>45002</v>
      </c>
      <c r="S803" s="8">
        <v>45001</v>
      </c>
      <c r="T803" s="3" t="s">
        <v>54</v>
      </c>
      <c r="U803" s="3" t="s">
        <v>55</v>
      </c>
      <c r="V803" s="9"/>
      <c r="W803" s="10">
        <v>45005</v>
      </c>
      <c r="X803" s="7">
        <v>3</v>
      </c>
      <c r="Y803" s="7">
        <v>1</v>
      </c>
      <c r="Z803" s="7">
        <v>3</v>
      </c>
      <c r="AA803" s="7">
        <f>INT((S803-DATE(YEAR(S803-WEEKDAY(S803-0)+4),1,4)+WEEKDAY(DATE(YEAR(S803-WEEKDAY(S803-0)+4),1,4))+6)/7)</f>
        <v>11</v>
      </c>
      <c r="AB803" s="3" t="s">
        <v>1513</v>
      </c>
      <c r="AC803" s="7">
        <v>735</v>
      </c>
      <c r="AD803" s="7">
        <v>0</v>
      </c>
      <c r="AE803" s="7">
        <v>1</v>
      </c>
      <c r="AF803" s="3" t="s">
        <v>48</v>
      </c>
      <c r="AG803" s="7">
        <v>2023</v>
      </c>
      <c r="AH803" s="3" t="s">
        <v>532</v>
      </c>
      <c r="AI803" s="3" t="s">
        <v>166</v>
      </c>
      <c r="AJ803" s="3" t="s">
        <v>78</v>
      </c>
      <c r="AK803" s="3" t="s">
        <v>162</v>
      </c>
      <c r="AL803" s="3" t="s">
        <v>59</v>
      </c>
      <c r="AM803" s="3" t="s">
        <v>60</v>
      </c>
      <c r="AN803" s="3" t="s">
        <v>61</v>
      </c>
      <c r="AO803" s="3" t="s">
        <v>62</v>
      </c>
      <c r="AP803" s="3" t="s">
        <v>69</v>
      </c>
      <c r="AQ803" s="3" t="s">
        <v>61</v>
      </c>
      <c r="AR803" s="3" t="s">
        <v>48</v>
      </c>
    </row>
    <row r="804" spans="1:44" ht="30" customHeight="1">
      <c r="A804" s="3" t="s">
        <v>44</v>
      </c>
      <c r="B804" s="3" t="s">
        <v>45</v>
      </c>
      <c r="C804" s="3" t="s">
        <v>46</v>
      </c>
      <c r="D804" s="3" t="s">
        <v>70</v>
      </c>
      <c r="E804" s="3" t="s">
        <v>48</v>
      </c>
      <c r="F804" s="3" t="s">
        <v>71</v>
      </c>
      <c r="G804" s="3" t="s">
        <v>1610</v>
      </c>
      <c r="H804" s="4">
        <f>IF(DATEDIF(L804,S804,"m")&gt;12,DATEDIF(L804,S804,"y"),(DATEDIF(L804,S804,"m")/12))</f>
        <v>2</v>
      </c>
      <c r="I804" s="7">
        <f>DATEDIF(L804,S804,"M")</f>
        <v>33</v>
      </c>
      <c r="J804" s="7">
        <f>DATEDIF(L804,S804,"D")</f>
        <v>1023</v>
      </c>
      <c r="K804" s="3" t="s">
        <v>64</v>
      </c>
      <c r="L804" s="8">
        <v>43978</v>
      </c>
      <c r="M804" s="3" t="s">
        <v>45</v>
      </c>
      <c r="N804" s="3" t="s">
        <v>329</v>
      </c>
      <c r="O804" s="3" t="s">
        <v>52</v>
      </c>
      <c r="P804" s="3" t="s">
        <v>110</v>
      </c>
      <c r="Q804" s="7">
        <v>1</v>
      </c>
      <c r="R804" s="8">
        <v>45002</v>
      </c>
      <c r="S804" s="8">
        <v>45001</v>
      </c>
      <c r="T804" s="3" t="s">
        <v>54</v>
      </c>
      <c r="U804" s="3" t="s">
        <v>55</v>
      </c>
      <c r="V804" s="9"/>
      <c r="W804" s="10">
        <v>45005</v>
      </c>
      <c r="X804" s="7">
        <v>3</v>
      </c>
      <c r="Y804" s="7">
        <v>1</v>
      </c>
      <c r="Z804" s="7">
        <v>3</v>
      </c>
      <c r="AA804" s="7">
        <f>INT((S804-DATE(YEAR(S804-WEEKDAY(S804-0)+4),1,4)+WEEKDAY(DATE(YEAR(S804-WEEKDAY(S804-0)+4),1,4))+6)/7)</f>
        <v>11</v>
      </c>
      <c r="AB804" s="3" t="s">
        <v>1611</v>
      </c>
      <c r="AC804" s="7">
        <v>733</v>
      </c>
      <c r="AD804" s="7">
        <v>0</v>
      </c>
      <c r="AE804" s="7">
        <v>1</v>
      </c>
      <c r="AF804" s="3" t="s">
        <v>48</v>
      </c>
      <c r="AG804" s="7">
        <v>2023</v>
      </c>
      <c r="AH804" s="3" t="s">
        <v>532</v>
      </c>
      <c r="AI804" s="3" t="s">
        <v>166</v>
      </c>
      <c r="AJ804" s="3" t="s">
        <v>78</v>
      </c>
      <c r="AK804" s="3" t="s">
        <v>1222</v>
      </c>
      <c r="AL804" s="3" t="s">
        <v>59</v>
      </c>
      <c r="AM804" s="3" t="s">
        <v>60</v>
      </c>
      <c r="AN804" s="3" t="s">
        <v>61</v>
      </c>
      <c r="AO804" s="3" t="s">
        <v>62</v>
      </c>
      <c r="AP804" s="3" t="s">
        <v>69</v>
      </c>
      <c r="AQ804" s="3" t="s">
        <v>61</v>
      </c>
      <c r="AR804" s="3" t="s">
        <v>48</v>
      </c>
    </row>
    <row r="805" spans="1:44" ht="30" customHeight="1">
      <c r="A805" s="3" t="s">
        <v>44</v>
      </c>
      <c r="B805" s="3" t="s">
        <v>45</v>
      </c>
      <c r="C805" s="3" t="s">
        <v>46</v>
      </c>
      <c r="D805" s="3" t="s">
        <v>108</v>
      </c>
      <c r="E805" s="3" t="s">
        <v>48</v>
      </c>
      <c r="F805" s="3" t="s">
        <v>108</v>
      </c>
      <c r="G805" s="3" t="s">
        <v>1981</v>
      </c>
      <c r="H805" s="4">
        <f>IF(DATEDIF(L805,S805,"m")&gt;12,DATEDIF(L805,S805,"y"),(DATEDIF(L805,S805,"m")/12))</f>
        <v>13</v>
      </c>
      <c r="I805" s="7">
        <f>DATEDIF(L805,S805,"M")</f>
        <v>167</v>
      </c>
      <c r="J805" s="7">
        <f>DATEDIF(L805,S805,"D")</f>
        <v>5099</v>
      </c>
      <c r="K805" s="3" t="s">
        <v>51</v>
      </c>
      <c r="L805" s="8">
        <v>39871</v>
      </c>
      <c r="M805" s="3" t="s">
        <v>45</v>
      </c>
      <c r="N805" s="3" t="s">
        <v>73</v>
      </c>
      <c r="O805" s="3" t="s">
        <v>52</v>
      </c>
      <c r="P805" s="3" t="s">
        <v>84</v>
      </c>
      <c r="Q805" s="7">
        <v>0</v>
      </c>
      <c r="R805" s="8">
        <v>44978</v>
      </c>
      <c r="S805" s="8">
        <v>44970</v>
      </c>
      <c r="T805" s="3" t="s">
        <v>54</v>
      </c>
      <c r="U805" s="3" t="s">
        <v>55</v>
      </c>
      <c r="V805" s="9"/>
      <c r="W805" s="10">
        <v>44984</v>
      </c>
      <c r="X805" s="7">
        <v>6</v>
      </c>
      <c r="Y805" s="7">
        <v>8</v>
      </c>
      <c r="Z805" s="7">
        <v>2</v>
      </c>
      <c r="AA805" s="7">
        <f>INT((S805-DATE(YEAR(S805-WEEKDAY(S805-0)+4),1,4)+WEEKDAY(DATE(YEAR(S805-WEEKDAY(S805-0)+4),1,4))+6)/7)</f>
        <v>7</v>
      </c>
      <c r="AB805" s="3" t="s">
        <v>1982</v>
      </c>
      <c r="AC805" s="7">
        <v>284</v>
      </c>
      <c r="AD805" s="7">
        <v>0</v>
      </c>
      <c r="AE805" s="7">
        <v>0</v>
      </c>
      <c r="AF805" s="3" t="s">
        <v>48</v>
      </c>
      <c r="AG805" s="7">
        <v>2023</v>
      </c>
      <c r="AH805" s="3" t="s">
        <v>112</v>
      </c>
      <c r="AI805" s="3" t="s">
        <v>113</v>
      </c>
      <c r="AJ805" s="3" t="s">
        <v>48</v>
      </c>
      <c r="AK805" s="3" t="s">
        <v>199</v>
      </c>
      <c r="AL805" s="3" t="s">
        <v>59</v>
      </c>
      <c r="AM805" s="3" t="s">
        <v>115</v>
      </c>
      <c r="AN805" s="3" t="s">
        <v>61</v>
      </c>
      <c r="AO805" s="3" t="s">
        <v>62</v>
      </c>
      <c r="AP805" s="3" t="s">
        <v>69</v>
      </c>
      <c r="AQ805" s="3" t="s">
        <v>61</v>
      </c>
      <c r="AR805" s="3" t="s">
        <v>48</v>
      </c>
    </row>
    <row r="806" spans="1:44" ht="30" customHeight="1">
      <c r="A806" s="3" t="s">
        <v>44</v>
      </c>
      <c r="B806" s="3" t="s">
        <v>45</v>
      </c>
      <c r="C806" s="3" t="s">
        <v>46</v>
      </c>
      <c r="D806" s="3" t="s">
        <v>108</v>
      </c>
      <c r="E806" s="3" t="s">
        <v>48</v>
      </c>
      <c r="F806" s="3" t="s">
        <v>108</v>
      </c>
      <c r="G806" s="3" t="s">
        <v>2105</v>
      </c>
      <c r="H806" s="4">
        <f>IF(DATEDIF(L806,S806,"m")&gt;12,DATEDIF(L806,S806,"y"),(DATEDIF(L806,S806,"m")/12))</f>
        <v>7</v>
      </c>
      <c r="I806" s="7">
        <f>DATEDIF(L806,S806,"M")</f>
        <v>90</v>
      </c>
      <c r="J806" s="7">
        <f>DATEDIF(L806,S806,"D")</f>
        <v>2752</v>
      </c>
      <c r="K806" s="3" t="s">
        <v>64</v>
      </c>
      <c r="L806" s="8">
        <v>42225</v>
      </c>
      <c r="M806" s="3" t="s">
        <v>45</v>
      </c>
      <c r="N806" s="3" t="s">
        <v>73</v>
      </c>
      <c r="O806" s="3" t="s">
        <v>52</v>
      </c>
      <c r="P806" s="3" t="s">
        <v>237</v>
      </c>
      <c r="Q806" s="7">
        <v>0</v>
      </c>
      <c r="R806" s="8">
        <v>44980</v>
      </c>
      <c r="S806" s="8">
        <v>44977</v>
      </c>
      <c r="T806" s="3" t="s">
        <v>54</v>
      </c>
      <c r="U806" s="3" t="s">
        <v>55</v>
      </c>
      <c r="V806" s="9"/>
      <c r="W806" s="10">
        <v>44984</v>
      </c>
      <c r="X806" s="7">
        <v>4</v>
      </c>
      <c r="Y806" s="7">
        <v>3</v>
      </c>
      <c r="Z806" s="7">
        <v>2</v>
      </c>
      <c r="AA806" s="7">
        <f>INT((S806-DATE(YEAR(S806-WEEKDAY(S806-0)+4),1,4)+WEEKDAY(DATE(YEAR(S806-WEEKDAY(S806-0)+4),1,4))+6)/7)</f>
        <v>8</v>
      </c>
      <c r="AB806" s="3" t="s">
        <v>2106</v>
      </c>
      <c r="AC806" s="7">
        <v>306</v>
      </c>
      <c r="AD806" s="7">
        <v>0</v>
      </c>
      <c r="AE806" s="7">
        <v>0</v>
      </c>
      <c r="AF806" s="3" t="s">
        <v>48</v>
      </c>
      <c r="AG806" s="7">
        <v>2023</v>
      </c>
      <c r="AH806" s="3" t="s">
        <v>112</v>
      </c>
      <c r="AI806" s="3" t="s">
        <v>113</v>
      </c>
      <c r="AJ806" s="3" t="s">
        <v>48</v>
      </c>
      <c r="AK806" s="3" t="s">
        <v>199</v>
      </c>
      <c r="AL806" s="3" t="s">
        <v>59</v>
      </c>
      <c r="AM806" s="3" t="s">
        <v>115</v>
      </c>
      <c r="AN806" s="3" t="s">
        <v>61</v>
      </c>
      <c r="AO806" s="3" t="s">
        <v>62</v>
      </c>
      <c r="AP806" s="3" t="s">
        <v>69</v>
      </c>
      <c r="AQ806" s="3" t="s">
        <v>61</v>
      </c>
      <c r="AR806" s="3" t="s">
        <v>48</v>
      </c>
    </row>
    <row r="807" spans="1:44" ht="30" customHeight="1">
      <c r="A807" s="3" t="s">
        <v>44</v>
      </c>
      <c r="B807" s="3" t="s">
        <v>45</v>
      </c>
      <c r="C807" s="3" t="s">
        <v>46</v>
      </c>
      <c r="D807" s="3" t="s">
        <v>100</v>
      </c>
      <c r="E807" s="3" t="s">
        <v>48</v>
      </c>
      <c r="F807" s="3" t="s">
        <v>101</v>
      </c>
      <c r="G807" s="3" t="s">
        <v>1824</v>
      </c>
      <c r="H807" s="4">
        <f>IF(DATEDIF(L807,S807,"m")&gt;12,DATEDIF(L807,S807,"y"),(DATEDIF(L807,S807,"m")/12))</f>
        <v>61</v>
      </c>
      <c r="I807" s="7">
        <f>DATEDIF(L807,S807,"M")</f>
        <v>735</v>
      </c>
      <c r="J807" s="7">
        <f>DATEDIF(L807,S807,"D")</f>
        <v>22391</v>
      </c>
      <c r="K807" s="3" t="s">
        <v>64</v>
      </c>
      <c r="L807" s="8">
        <v>22606</v>
      </c>
      <c r="M807" s="3" t="s">
        <v>45</v>
      </c>
      <c r="N807" s="3" t="s">
        <v>101</v>
      </c>
      <c r="O807" s="3" t="s">
        <v>52</v>
      </c>
      <c r="P807" s="3" t="s">
        <v>84</v>
      </c>
      <c r="Q807" s="7">
        <v>0</v>
      </c>
      <c r="R807" s="8">
        <v>44999</v>
      </c>
      <c r="S807" s="8">
        <v>44997</v>
      </c>
      <c r="T807" s="3" t="s">
        <v>54</v>
      </c>
      <c r="U807" s="3" t="s">
        <v>55</v>
      </c>
      <c r="V807" s="9"/>
      <c r="W807" s="10">
        <v>45005</v>
      </c>
      <c r="X807" s="7">
        <v>6</v>
      </c>
      <c r="Y807" s="7">
        <v>2</v>
      </c>
      <c r="Z807" s="7">
        <v>3</v>
      </c>
      <c r="AA807" s="7">
        <f>INT((S807-DATE(YEAR(S807-WEEKDAY(S807-0)+4),1,4)+WEEKDAY(DATE(YEAR(S807-WEEKDAY(S807-0)+4),1,4))+6)/7)</f>
        <v>11</v>
      </c>
      <c r="AB807" s="3" t="s">
        <v>1825</v>
      </c>
      <c r="AC807" s="7">
        <v>738</v>
      </c>
      <c r="AD807" s="7">
        <v>0</v>
      </c>
      <c r="AE807" s="7">
        <v>0</v>
      </c>
      <c r="AF807" s="3" t="s">
        <v>48</v>
      </c>
      <c r="AG807" s="7">
        <v>2023</v>
      </c>
      <c r="AH807" s="3" t="s">
        <v>105</v>
      </c>
      <c r="AI807" s="3" t="s">
        <v>106</v>
      </c>
      <c r="AJ807" s="3" t="s">
        <v>100</v>
      </c>
      <c r="AK807" s="3" t="s">
        <v>162</v>
      </c>
      <c r="AL807" s="3" t="s">
        <v>59</v>
      </c>
      <c r="AM807" s="3" t="s">
        <v>99</v>
      </c>
      <c r="AN807" s="3" t="s">
        <v>61</v>
      </c>
      <c r="AO807" s="3" t="s">
        <v>62</v>
      </c>
      <c r="AP807" s="3" t="s">
        <v>69</v>
      </c>
      <c r="AQ807" s="3" t="s">
        <v>61</v>
      </c>
      <c r="AR807" s="3" t="s">
        <v>48</v>
      </c>
    </row>
    <row r="808" spans="1:44" ht="30" customHeight="1">
      <c r="A808" s="3" t="s">
        <v>44</v>
      </c>
      <c r="B808" s="3" t="s">
        <v>45</v>
      </c>
      <c r="C808" s="3" t="s">
        <v>46</v>
      </c>
      <c r="D808" s="3" t="s">
        <v>186</v>
      </c>
      <c r="E808" s="3" t="s">
        <v>48</v>
      </c>
      <c r="F808" s="3" t="s">
        <v>271</v>
      </c>
      <c r="G808" s="3" t="s">
        <v>1829</v>
      </c>
      <c r="H808" s="4">
        <f>IF(DATEDIF(L808,S808,"m")&gt;12,DATEDIF(L808,S808,"y"),(DATEDIF(L808,S808,"m")/12))</f>
        <v>2</v>
      </c>
      <c r="I808" s="7">
        <f>DATEDIF(L808,S808,"M")</f>
        <v>32</v>
      </c>
      <c r="J808" s="7">
        <f>DATEDIF(L808,S808,"D")</f>
        <v>978</v>
      </c>
      <c r="K808" s="3" t="s">
        <v>64</v>
      </c>
      <c r="L808" s="8">
        <v>44019</v>
      </c>
      <c r="M808" s="3" t="s">
        <v>45</v>
      </c>
      <c r="N808" s="3" t="s">
        <v>187</v>
      </c>
      <c r="O808" s="3" t="s">
        <v>52</v>
      </c>
      <c r="P808" s="3" t="s">
        <v>808</v>
      </c>
      <c r="Q808" s="7">
        <v>1</v>
      </c>
      <c r="R808" s="8">
        <v>44999</v>
      </c>
      <c r="S808" s="8">
        <v>44997</v>
      </c>
      <c r="T808" s="3" t="s">
        <v>464</v>
      </c>
      <c r="U808" s="3" t="s">
        <v>55</v>
      </c>
      <c r="V808" s="9"/>
      <c r="W808" s="10">
        <v>45005</v>
      </c>
      <c r="X808" s="7">
        <v>6</v>
      </c>
      <c r="Y808" s="7">
        <v>2</v>
      </c>
      <c r="Z808" s="7">
        <v>3</v>
      </c>
      <c r="AA808" s="7">
        <f>INT((S808-DATE(YEAR(S808-WEEKDAY(S808-0)+4),1,4)+WEEKDAY(DATE(YEAR(S808-WEEKDAY(S808-0)+4),1,4))+6)/7)</f>
        <v>11</v>
      </c>
      <c r="AB808" s="3" t="s">
        <v>1830</v>
      </c>
      <c r="AC808" s="7">
        <v>133</v>
      </c>
      <c r="AD808" s="7">
        <v>0</v>
      </c>
      <c r="AE808" s="7">
        <v>0</v>
      </c>
      <c r="AF808" s="3" t="s">
        <v>48</v>
      </c>
      <c r="AG808" s="7">
        <v>2023</v>
      </c>
      <c r="AH808" s="3" t="s">
        <v>276</v>
      </c>
      <c r="AI808" s="3" t="s">
        <v>191</v>
      </c>
      <c r="AJ808" s="3" t="s">
        <v>186</v>
      </c>
      <c r="AK808" s="3" t="s">
        <v>822</v>
      </c>
      <c r="AL808" s="3" t="s">
        <v>59</v>
      </c>
      <c r="AM808" s="3" t="s">
        <v>60</v>
      </c>
      <c r="AN808" s="3" t="s">
        <v>61</v>
      </c>
      <c r="AO808" s="3" t="s">
        <v>48</v>
      </c>
      <c r="AP808" s="3" t="s">
        <v>69</v>
      </c>
      <c r="AQ808" s="3" t="s">
        <v>61</v>
      </c>
      <c r="AR808" s="3" t="s">
        <v>48</v>
      </c>
    </row>
    <row r="809" spans="1:44" ht="30" customHeight="1">
      <c r="A809" s="3" t="s">
        <v>44</v>
      </c>
      <c r="B809" s="3" t="s">
        <v>45</v>
      </c>
      <c r="C809" s="3" t="s">
        <v>46</v>
      </c>
      <c r="D809" s="3" t="s">
        <v>186</v>
      </c>
      <c r="E809" s="3" t="s">
        <v>48</v>
      </c>
      <c r="F809" s="3" t="s">
        <v>271</v>
      </c>
      <c r="G809" s="3" t="s">
        <v>1882</v>
      </c>
      <c r="H809" s="4">
        <f>IF(DATEDIF(L809,S809,"m")&gt;12,DATEDIF(L809,S809,"y"),(DATEDIF(L809,S809,"m")/12))</f>
        <v>2</v>
      </c>
      <c r="I809" s="7">
        <f>DATEDIF(L809,S809,"M")</f>
        <v>35</v>
      </c>
      <c r="J809" s="7">
        <f>DATEDIF(L809,S809,"D")</f>
        <v>1094</v>
      </c>
      <c r="K809" s="3" t="s">
        <v>64</v>
      </c>
      <c r="L809" s="8">
        <v>43902</v>
      </c>
      <c r="M809" s="3" t="s">
        <v>45</v>
      </c>
      <c r="N809" s="3" t="s">
        <v>187</v>
      </c>
      <c r="O809" s="3" t="s">
        <v>52</v>
      </c>
      <c r="P809" s="3" t="s">
        <v>1883</v>
      </c>
      <c r="Q809" s="7">
        <v>0</v>
      </c>
      <c r="R809" s="8">
        <v>44999</v>
      </c>
      <c r="S809" s="8">
        <v>44996</v>
      </c>
      <c r="T809" s="3" t="s">
        <v>54</v>
      </c>
      <c r="U809" s="3" t="s">
        <v>55</v>
      </c>
      <c r="V809" s="9"/>
      <c r="W809" s="10">
        <v>45005</v>
      </c>
      <c r="X809" s="7">
        <v>6</v>
      </c>
      <c r="Y809" s="7">
        <v>3</v>
      </c>
      <c r="Z809" s="7">
        <v>3</v>
      </c>
      <c r="AA809" s="7">
        <f>INT((S809-DATE(YEAR(S809-WEEKDAY(S809-0)+4),1,4)+WEEKDAY(DATE(YEAR(S809-WEEKDAY(S809-0)+4),1,4))+6)/7)</f>
        <v>10</v>
      </c>
      <c r="AB809" s="3" t="s">
        <v>1884</v>
      </c>
      <c r="AC809" s="7">
        <v>132</v>
      </c>
      <c r="AD809" s="7">
        <v>0</v>
      </c>
      <c r="AE809" s="7">
        <v>0</v>
      </c>
      <c r="AF809" s="3" t="s">
        <v>48</v>
      </c>
      <c r="AG809" s="7">
        <v>2023</v>
      </c>
      <c r="AH809" s="3" t="s">
        <v>276</v>
      </c>
      <c r="AI809" s="3" t="s">
        <v>191</v>
      </c>
      <c r="AJ809" s="3" t="s">
        <v>186</v>
      </c>
      <c r="AK809" s="3" t="s">
        <v>192</v>
      </c>
      <c r="AL809" s="3" t="s">
        <v>59</v>
      </c>
      <c r="AM809" s="3" t="s">
        <v>60</v>
      </c>
      <c r="AN809" s="3" t="s">
        <v>61</v>
      </c>
      <c r="AO809" s="3" t="s">
        <v>62</v>
      </c>
      <c r="AP809" s="3" t="s">
        <v>69</v>
      </c>
      <c r="AQ809" s="3" t="s">
        <v>61</v>
      </c>
      <c r="AR809" s="3" t="s">
        <v>48</v>
      </c>
    </row>
    <row r="810" spans="1:44" ht="30" customHeight="1">
      <c r="A810" s="3" t="s">
        <v>44</v>
      </c>
      <c r="B810" s="3" t="s">
        <v>45</v>
      </c>
      <c r="C810" s="3" t="s">
        <v>46</v>
      </c>
      <c r="D810" s="3" t="s">
        <v>47</v>
      </c>
      <c r="E810" s="3" t="s">
        <v>48</v>
      </c>
      <c r="F810" s="3" t="s">
        <v>49</v>
      </c>
      <c r="G810" s="3" t="s">
        <v>1916</v>
      </c>
      <c r="H810" s="4">
        <f>IF(DATEDIF(L810,S810,"m")&gt;12,DATEDIF(L810,S810,"y"),(DATEDIF(L810,S810,"m")/12))</f>
        <v>7</v>
      </c>
      <c r="I810" s="7">
        <f>DATEDIF(L810,S810,"M")</f>
        <v>87</v>
      </c>
      <c r="J810" s="7">
        <f>DATEDIF(L810,S810,"D")</f>
        <v>2649</v>
      </c>
      <c r="K810" s="3" t="s">
        <v>64</v>
      </c>
      <c r="L810" s="8">
        <v>42350</v>
      </c>
      <c r="M810" s="3" t="s">
        <v>45</v>
      </c>
      <c r="N810" s="3" t="s">
        <v>49</v>
      </c>
      <c r="O810" s="3" t="s">
        <v>52</v>
      </c>
      <c r="P810" s="3" t="s">
        <v>1917</v>
      </c>
      <c r="Q810" s="7">
        <v>0</v>
      </c>
      <c r="R810" s="8">
        <v>45002</v>
      </c>
      <c r="S810" s="8">
        <v>44999</v>
      </c>
      <c r="T810" s="3" t="s">
        <v>54</v>
      </c>
      <c r="U810" s="3" t="s">
        <v>55</v>
      </c>
      <c r="V810" s="9"/>
      <c r="W810" s="10">
        <v>45005</v>
      </c>
      <c r="X810" s="7">
        <v>3</v>
      </c>
      <c r="Y810" s="7">
        <v>3</v>
      </c>
      <c r="Z810" s="7">
        <v>3</v>
      </c>
      <c r="AA810" s="7">
        <f>INT((S810-DATE(YEAR(S810-WEEKDAY(S810-0)+4),1,4)+WEEKDAY(DATE(YEAR(S810-WEEKDAY(S810-0)+4),1,4))+6)/7)</f>
        <v>11</v>
      </c>
      <c r="AB810" s="3" t="s">
        <v>1918</v>
      </c>
      <c r="AC810" s="7">
        <v>134</v>
      </c>
      <c r="AD810" s="7">
        <v>0</v>
      </c>
      <c r="AE810" s="7">
        <v>0</v>
      </c>
      <c r="AF810" s="3" t="s">
        <v>48</v>
      </c>
      <c r="AG810" s="7">
        <v>2023</v>
      </c>
      <c r="AH810" s="3" t="s">
        <v>57</v>
      </c>
      <c r="AI810" s="3" t="s">
        <v>48</v>
      </c>
      <c r="AJ810" s="3" t="s">
        <v>48</v>
      </c>
      <c r="AK810" s="3" t="s">
        <v>58</v>
      </c>
      <c r="AL810" s="3" t="s">
        <v>59</v>
      </c>
      <c r="AM810" s="3" t="s">
        <v>60</v>
      </c>
      <c r="AN810" s="3" t="s">
        <v>61</v>
      </c>
      <c r="AO810" s="3" t="s">
        <v>62</v>
      </c>
      <c r="AP810" s="3" t="s">
        <v>69</v>
      </c>
      <c r="AQ810" s="3" t="s">
        <v>61</v>
      </c>
      <c r="AR810" s="3" t="s">
        <v>48</v>
      </c>
    </row>
    <row r="811" spans="1:44" ht="30" customHeight="1">
      <c r="A811" s="3" t="s">
        <v>44</v>
      </c>
      <c r="B811" s="3" t="s">
        <v>45</v>
      </c>
      <c r="C811" s="3" t="s">
        <v>46</v>
      </c>
      <c r="D811" s="3" t="s">
        <v>108</v>
      </c>
      <c r="E811" s="3" t="s">
        <v>48</v>
      </c>
      <c r="F811" s="3" t="s">
        <v>108</v>
      </c>
      <c r="G811" s="3" t="s">
        <v>2400</v>
      </c>
      <c r="H811" s="4">
        <f>IF(DATEDIF(L811,S811,"m")&gt;12,DATEDIF(L811,S811,"y"),(DATEDIF(L811,S811,"m")/12))</f>
        <v>9</v>
      </c>
      <c r="I811" s="7">
        <f>DATEDIF(L811,S811,"M")</f>
        <v>112</v>
      </c>
      <c r="J811" s="7">
        <f>DATEDIF(L811,S811,"D")</f>
        <v>3428</v>
      </c>
      <c r="K811" s="3" t="s">
        <v>51</v>
      </c>
      <c r="L811" s="8">
        <v>41548</v>
      </c>
      <c r="M811" s="3" t="s">
        <v>45</v>
      </c>
      <c r="N811" s="3" t="s">
        <v>73</v>
      </c>
      <c r="O811" s="3" t="s">
        <v>52</v>
      </c>
      <c r="P811" s="3" t="s">
        <v>962</v>
      </c>
      <c r="Q811" s="7">
        <v>0</v>
      </c>
      <c r="R811" s="8">
        <v>44979</v>
      </c>
      <c r="S811" s="8">
        <v>44976</v>
      </c>
      <c r="T811" s="3" t="s">
        <v>54</v>
      </c>
      <c r="U811" s="3" t="s">
        <v>55</v>
      </c>
      <c r="V811" s="9"/>
      <c r="W811" s="10">
        <v>44984</v>
      </c>
      <c r="X811" s="7">
        <v>5</v>
      </c>
      <c r="Y811" s="7">
        <v>3</v>
      </c>
      <c r="Z811" s="7">
        <v>2</v>
      </c>
      <c r="AA811" s="7">
        <f>INT((S811-DATE(YEAR(S811-WEEKDAY(S811-0)+4),1,4)+WEEKDAY(DATE(YEAR(S811-WEEKDAY(S811-0)+4),1,4))+6)/7)</f>
        <v>8</v>
      </c>
      <c r="AB811" s="3" t="s">
        <v>2401</v>
      </c>
      <c r="AC811" s="7">
        <v>294</v>
      </c>
      <c r="AD811" s="7">
        <v>0</v>
      </c>
      <c r="AE811" s="7">
        <v>0</v>
      </c>
      <c r="AF811" s="3" t="s">
        <v>48</v>
      </c>
      <c r="AG811" s="7">
        <v>2023</v>
      </c>
      <c r="AH811" s="3" t="s">
        <v>112</v>
      </c>
      <c r="AI811" s="3" t="s">
        <v>113</v>
      </c>
      <c r="AJ811" s="3" t="s">
        <v>48</v>
      </c>
      <c r="AK811" s="3" t="s">
        <v>199</v>
      </c>
      <c r="AL811" s="3" t="s">
        <v>59</v>
      </c>
      <c r="AM811" s="3" t="s">
        <v>115</v>
      </c>
      <c r="AN811" s="3" t="s">
        <v>61</v>
      </c>
      <c r="AO811" s="3" t="s">
        <v>62</v>
      </c>
      <c r="AP811" s="3" t="s">
        <v>69</v>
      </c>
      <c r="AQ811" s="3" t="s">
        <v>61</v>
      </c>
      <c r="AR811" s="3" t="s">
        <v>48</v>
      </c>
    </row>
    <row r="812" spans="1:44" ht="30" customHeight="1">
      <c r="A812" s="3" t="s">
        <v>44</v>
      </c>
      <c r="B812" s="3" t="s">
        <v>45</v>
      </c>
      <c r="C812" s="3" t="s">
        <v>46</v>
      </c>
      <c r="D812" s="3" t="s">
        <v>108</v>
      </c>
      <c r="E812" s="3" t="s">
        <v>48</v>
      </c>
      <c r="F812" s="3" t="s">
        <v>108</v>
      </c>
      <c r="G812" s="3" t="s">
        <v>196</v>
      </c>
      <c r="H812" s="4">
        <f>IF(DATEDIF(L812,S812,"m")&gt;12,DATEDIF(L812,S812,"y"),(DATEDIF(L812,S812,"m")/12))</f>
        <v>7</v>
      </c>
      <c r="I812" s="7">
        <f>DATEDIF(L812,S812,"M")</f>
        <v>93</v>
      </c>
      <c r="J812" s="7">
        <f>DATEDIF(L812,S812,"D")</f>
        <v>2844</v>
      </c>
      <c r="K812" s="3" t="s">
        <v>51</v>
      </c>
      <c r="L812" s="8">
        <v>42130</v>
      </c>
      <c r="M812" s="3" t="s">
        <v>45</v>
      </c>
      <c r="N812" s="3" t="s">
        <v>73</v>
      </c>
      <c r="O812" s="3" t="s">
        <v>52</v>
      </c>
      <c r="P812" s="3" t="s">
        <v>197</v>
      </c>
      <c r="Q812" s="7">
        <v>0</v>
      </c>
      <c r="R812" s="8">
        <v>44988</v>
      </c>
      <c r="S812" s="8">
        <v>44974</v>
      </c>
      <c r="T812" s="3" t="s">
        <v>54</v>
      </c>
      <c r="U812" s="3" t="s">
        <v>55</v>
      </c>
      <c r="V812" s="9"/>
      <c r="W812" s="10">
        <v>44991</v>
      </c>
      <c r="X812" s="7">
        <v>3</v>
      </c>
      <c r="Y812" s="7">
        <v>14</v>
      </c>
      <c r="Z812" s="7">
        <v>2</v>
      </c>
      <c r="AA812" s="7">
        <f>INT((S812-DATE(YEAR(S812-WEEKDAY(S812-0)+4),1,4)+WEEKDAY(DATE(YEAR(S812-WEEKDAY(S812-0)+4),1,4))+6)/7)</f>
        <v>7</v>
      </c>
      <c r="AB812" s="3" t="s">
        <v>198</v>
      </c>
      <c r="AC812" s="7">
        <v>334</v>
      </c>
      <c r="AD812" s="7">
        <v>0</v>
      </c>
      <c r="AE812" s="7">
        <v>0</v>
      </c>
      <c r="AF812" s="3" t="s">
        <v>48</v>
      </c>
      <c r="AG812" s="7">
        <v>2023</v>
      </c>
      <c r="AH812" s="3" t="s">
        <v>112</v>
      </c>
      <c r="AI812" s="3" t="s">
        <v>113</v>
      </c>
      <c r="AJ812" s="3" t="s">
        <v>48</v>
      </c>
      <c r="AK812" s="3" t="s">
        <v>199</v>
      </c>
      <c r="AL812" s="3" t="s">
        <v>59</v>
      </c>
      <c r="AM812" s="3" t="s">
        <v>115</v>
      </c>
      <c r="AN812" s="3" t="s">
        <v>61</v>
      </c>
      <c r="AO812" s="3" t="s">
        <v>62</v>
      </c>
      <c r="AP812" s="3" t="s">
        <v>69</v>
      </c>
      <c r="AQ812" s="3" t="s">
        <v>61</v>
      </c>
      <c r="AR812" s="3" t="s">
        <v>48</v>
      </c>
    </row>
    <row r="813" spans="1:44" ht="30" customHeight="1">
      <c r="A813" s="3" t="s">
        <v>44</v>
      </c>
      <c r="B813" s="3" t="s">
        <v>45</v>
      </c>
      <c r="C813" s="3" t="s">
        <v>2322</v>
      </c>
      <c r="D813" s="3" t="s">
        <v>2323</v>
      </c>
      <c r="E813" s="3" t="s">
        <v>48</v>
      </c>
      <c r="F813" s="3" t="s">
        <v>2324</v>
      </c>
      <c r="G813" s="3" t="s">
        <v>2325</v>
      </c>
      <c r="H813" s="5">
        <f>IF(DATEDIF(L813,S813,"m")&gt;12,DATEDIF(L813,S813,"y"),(DATEDIF(L813,S813,"m")/12))</f>
        <v>8.3333333333333329E-2</v>
      </c>
      <c r="I813" s="7">
        <f>DATEDIF(L813,S813,"M")</f>
        <v>1</v>
      </c>
      <c r="J813" s="7">
        <f>DATEDIF(L813,S813,"D")</f>
        <v>50</v>
      </c>
      <c r="K813" s="3" t="s">
        <v>51</v>
      </c>
      <c r="L813" s="8">
        <v>44947</v>
      </c>
      <c r="M813" s="3" t="s">
        <v>45</v>
      </c>
      <c r="N813" s="3" t="s">
        <v>49</v>
      </c>
      <c r="O813" s="3" t="s">
        <v>52</v>
      </c>
      <c r="P813" s="3" t="s">
        <v>2326</v>
      </c>
      <c r="Q813" s="7">
        <v>1</v>
      </c>
      <c r="R813" s="8">
        <v>45000</v>
      </c>
      <c r="S813" s="8">
        <v>44997</v>
      </c>
      <c r="T813" s="3" t="s">
        <v>54</v>
      </c>
      <c r="U813" s="3" t="s">
        <v>55</v>
      </c>
      <c r="V813" s="9"/>
      <c r="W813" s="10">
        <v>45005</v>
      </c>
      <c r="X813" s="7">
        <v>5</v>
      </c>
      <c r="Y813" s="7">
        <v>3</v>
      </c>
      <c r="Z813" s="7">
        <v>3</v>
      </c>
      <c r="AA813" s="7">
        <f>INT((S813-DATE(YEAR(S813-WEEKDAY(S813-0)+4),1,4)+WEEKDAY(DATE(YEAR(S813-WEEKDAY(S813-0)+4),1,4))+6)/7)</f>
        <v>11</v>
      </c>
      <c r="AB813" s="3" t="s">
        <v>2327</v>
      </c>
      <c r="AC813" s="7">
        <v>3451</v>
      </c>
      <c r="AD813" s="7">
        <v>0</v>
      </c>
      <c r="AE813" s="7">
        <v>1</v>
      </c>
      <c r="AF813" s="3" t="s">
        <v>48</v>
      </c>
      <c r="AG813" s="7">
        <v>2023</v>
      </c>
      <c r="AH813" s="3" t="s">
        <v>2328</v>
      </c>
      <c r="AI813" s="3" t="s">
        <v>48</v>
      </c>
      <c r="AJ813" s="3" t="s">
        <v>48</v>
      </c>
      <c r="AK813" s="3" t="s">
        <v>2329</v>
      </c>
      <c r="AL813" s="3" t="s">
        <v>59</v>
      </c>
      <c r="AM813" s="3" t="s">
        <v>60</v>
      </c>
      <c r="AN813" s="3" t="s">
        <v>61</v>
      </c>
      <c r="AO813" s="3" t="s">
        <v>62</v>
      </c>
      <c r="AP813" s="3" t="s">
        <v>69</v>
      </c>
      <c r="AQ813" s="3" t="s">
        <v>61</v>
      </c>
      <c r="AR813" s="3" t="s">
        <v>48</v>
      </c>
    </row>
    <row r="814" spans="1:44" ht="30" customHeight="1">
      <c r="A814" s="3" t="s">
        <v>44</v>
      </c>
      <c r="B814" s="3" t="s">
        <v>45</v>
      </c>
      <c r="C814" s="3" t="s">
        <v>80</v>
      </c>
      <c r="D814" s="3" t="s">
        <v>93</v>
      </c>
      <c r="E814" s="3" t="s">
        <v>48</v>
      </c>
      <c r="F814" s="3" t="s">
        <v>94</v>
      </c>
      <c r="G814" s="3" t="s">
        <v>147</v>
      </c>
      <c r="H814" s="4">
        <f>IF(DATEDIF(L814,S814,"m")&gt;12,DATEDIF(L814,S814,"y"),(DATEDIF(L814,S814,"m")/12))</f>
        <v>1</v>
      </c>
      <c r="I814" s="7">
        <f>DATEDIF(L814,S814,"M")</f>
        <v>16</v>
      </c>
      <c r="J814" s="7">
        <f>DATEDIF(L814,S814,"D")</f>
        <v>486</v>
      </c>
      <c r="K814" s="3" t="s">
        <v>51</v>
      </c>
      <c r="L814" s="8">
        <v>44510</v>
      </c>
      <c r="M814" s="3" t="s">
        <v>45</v>
      </c>
      <c r="N814" s="3" t="s">
        <v>83</v>
      </c>
      <c r="O814" s="3" t="s">
        <v>52</v>
      </c>
      <c r="P814" s="3" t="s">
        <v>91</v>
      </c>
      <c r="Q814" s="7">
        <v>0</v>
      </c>
      <c r="R814" s="8">
        <v>45003</v>
      </c>
      <c r="S814" s="8">
        <v>44996</v>
      </c>
      <c r="T814" s="3" t="s">
        <v>54</v>
      </c>
      <c r="U814" s="3" t="s">
        <v>55</v>
      </c>
      <c r="V814" s="9"/>
      <c r="W814" s="10">
        <v>45006</v>
      </c>
      <c r="X814" s="7">
        <v>3</v>
      </c>
      <c r="Y814" s="7">
        <v>7</v>
      </c>
      <c r="Z814" s="7">
        <v>3</v>
      </c>
      <c r="AA814" s="7">
        <f>INT((S814-DATE(YEAR(S814-WEEKDAY(S814-0)+4),1,4)+WEEKDAY(DATE(YEAR(S814-WEEKDAY(S814-0)+4),1,4))+6)/7)</f>
        <v>10</v>
      </c>
      <c r="AB814" s="3" t="s">
        <v>148</v>
      </c>
      <c r="AC814" s="7">
        <v>741</v>
      </c>
      <c r="AD814" s="7">
        <v>0</v>
      </c>
      <c r="AE814" s="7">
        <v>0</v>
      </c>
      <c r="AF814" s="3" t="s">
        <v>48</v>
      </c>
      <c r="AG814" s="7">
        <v>2023</v>
      </c>
      <c r="AH814" s="3" t="s">
        <v>97</v>
      </c>
      <c r="AI814" s="3" t="s">
        <v>48</v>
      </c>
      <c r="AJ814" s="3" t="s">
        <v>48</v>
      </c>
      <c r="AK814" s="3" t="s">
        <v>149</v>
      </c>
      <c r="AL814" s="3" t="s">
        <v>59</v>
      </c>
      <c r="AM814" s="3" t="s">
        <v>99</v>
      </c>
      <c r="AN814" s="3" t="s">
        <v>61</v>
      </c>
      <c r="AO814" s="3" t="s">
        <v>48</v>
      </c>
      <c r="AP814" s="3" t="s">
        <v>69</v>
      </c>
      <c r="AQ814" s="3" t="s">
        <v>61</v>
      </c>
      <c r="AR814" s="3" t="s">
        <v>48</v>
      </c>
    </row>
    <row r="815" spans="1:44" ht="30" customHeight="1">
      <c r="A815" s="3" t="s">
        <v>44</v>
      </c>
      <c r="B815" s="3" t="s">
        <v>45</v>
      </c>
      <c r="C815" s="3" t="s">
        <v>46</v>
      </c>
      <c r="D815" s="3" t="s">
        <v>100</v>
      </c>
      <c r="E815" s="3" t="s">
        <v>48</v>
      </c>
      <c r="F815" s="3" t="s">
        <v>48</v>
      </c>
      <c r="G815" s="3" t="s">
        <v>221</v>
      </c>
      <c r="H815" s="4">
        <f>IF(DATEDIF(L815,S815,"m")&gt;12,DATEDIF(L815,S815,"y"),(DATEDIF(L815,S815,"m")/12))</f>
        <v>8</v>
      </c>
      <c r="I815" s="7">
        <f>DATEDIF(L815,S815,"M")</f>
        <v>97</v>
      </c>
      <c r="J815" s="7">
        <f>DATEDIF(L815,S815,"D")</f>
        <v>2971</v>
      </c>
      <c r="K815" s="3" t="s">
        <v>64</v>
      </c>
      <c r="L815" s="8">
        <v>42024</v>
      </c>
      <c r="M815" s="3" t="s">
        <v>45</v>
      </c>
      <c r="N815" s="3" t="s">
        <v>101</v>
      </c>
      <c r="O815" s="3" t="s">
        <v>52</v>
      </c>
      <c r="P815" s="3" t="s">
        <v>84</v>
      </c>
      <c r="Q815" s="7">
        <v>1</v>
      </c>
      <c r="R815" s="8">
        <v>44998</v>
      </c>
      <c r="S815" s="8">
        <v>44995</v>
      </c>
      <c r="T815" s="3" t="s">
        <v>54</v>
      </c>
      <c r="U815" s="3" t="s">
        <v>55</v>
      </c>
      <c r="V815" s="9"/>
      <c r="W815" s="10">
        <v>45006</v>
      </c>
      <c r="X815" s="7">
        <v>8</v>
      </c>
      <c r="Y815" s="7">
        <v>3</v>
      </c>
      <c r="Z815" s="7">
        <v>3</v>
      </c>
      <c r="AA815" s="7">
        <f>INT((S815-DATE(YEAR(S815-WEEKDAY(S815-0)+4),1,4)+WEEKDAY(DATE(YEAR(S815-WEEKDAY(S815-0)+4),1,4))+6)/7)</f>
        <v>10</v>
      </c>
      <c r="AB815" s="3" t="s">
        <v>222</v>
      </c>
      <c r="AC815" s="7">
        <v>741</v>
      </c>
      <c r="AD815" s="7">
        <v>0</v>
      </c>
      <c r="AE815" s="7">
        <v>0</v>
      </c>
      <c r="AF815" s="3" t="s">
        <v>48</v>
      </c>
      <c r="AG815" s="7">
        <v>2023</v>
      </c>
      <c r="AH815" s="3" t="s">
        <v>223</v>
      </c>
      <c r="AI815" s="3" t="s">
        <v>106</v>
      </c>
      <c r="AJ815" s="3" t="s">
        <v>100</v>
      </c>
      <c r="AK815" s="3" t="s">
        <v>107</v>
      </c>
      <c r="AL815" s="3" t="s">
        <v>59</v>
      </c>
      <c r="AM815" s="3" t="s">
        <v>99</v>
      </c>
      <c r="AN815" s="3" t="s">
        <v>61</v>
      </c>
      <c r="AO815" s="3" t="s">
        <v>62</v>
      </c>
      <c r="AP815" s="3" t="s">
        <v>69</v>
      </c>
      <c r="AQ815" s="3" t="s">
        <v>61</v>
      </c>
      <c r="AR815" s="3" t="s">
        <v>48</v>
      </c>
    </row>
    <row r="816" spans="1:44" ht="30" customHeight="1">
      <c r="A816" s="3" t="s">
        <v>44</v>
      </c>
      <c r="B816" s="3" t="s">
        <v>45</v>
      </c>
      <c r="C816" s="3" t="s">
        <v>46</v>
      </c>
      <c r="D816" s="3" t="s">
        <v>100</v>
      </c>
      <c r="E816" s="3" t="s">
        <v>48</v>
      </c>
      <c r="F816" s="3" t="s">
        <v>48</v>
      </c>
      <c r="G816" s="3" t="s">
        <v>1357</v>
      </c>
      <c r="H816" s="4">
        <f>IF(DATEDIF(L816,S816,"m")&gt;12,DATEDIF(L816,S816,"y"),(DATEDIF(L816,S816,"m")/12))</f>
        <v>1</v>
      </c>
      <c r="I816" s="7">
        <f>DATEDIF(L816,S816,"M")</f>
        <v>20</v>
      </c>
      <c r="J816" s="7">
        <f>DATEDIF(L816,S816,"D")</f>
        <v>615</v>
      </c>
      <c r="K816" s="3" t="s">
        <v>64</v>
      </c>
      <c r="L816" s="8">
        <v>44385</v>
      </c>
      <c r="M816" s="3" t="s">
        <v>45</v>
      </c>
      <c r="N816" s="3" t="s">
        <v>159</v>
      </c>
      <c r="O816" s="3" t="s">
        <v>52</v>
      </c>
      <c r="P816" s="3" t="s">
        <v>169</v>
      </c>
      <c r="Q816" s="7">
        <v>1</v>
      </c>
      <c r="R816" s="8">
        <v>45002</v>
      </c>
      <c r="S816" s="8">
        <v>45000</v>
      </c>
      <c r="T816" s="3" t="s">
        <v>54</v>
      </c>
      <c r="U816" s="3" t="s">
        <v>55</v>
      </c>
      <c r="V816" s="9"/>
      <c r="W816" s="10">
        <v>45006</v>
      </c>
      <c r="X816" s="7">
        <v>4</v>
      </c>
      <c r="Y816" s="7">
        <v>2</v>
      </c>
      <c r="Z816" s="7">
        <v>3</v>
      </c>
      <c r="AA816" s="7">
        <f>INT((S816-DATE(YEAR(S816-WEEKDAY(S816-0)+4),1,4)+WEEKDAY(DATE(YEAR(S816-WEEKDAY(S816-0)+4),1,4))+6)/7)</f>
        <v>11</v>
      </c>
      <c r="AB816" s="3" t="s">
        <v>1358</v>
      </c>
      <c r="AC816" s="7">
        <v>742</v>
      </c>
      <c r="AD816" s="7">
        <v>0</v>
      </c>
      <c r="AE816" s="7">
        <v>0</v>
      </c>
      <c r="AF816" s="3" t="s">
        <v>48</v>
      </c>
      <c r="AG816" s="7">
        <v>2023</v>
      </c>
      <c r="AH816" s="3" t="s">
        <v>223</v>
      </c>
      <c r="AI816" s="3" t="s">
        <v>106</v>
      </c>
      <c r="AJ816" s="3" t="s">
        <v>200</v>
      </c>
      <c r="AK816" s="3" t="s">
        <v>1359</v>
      </c>
      <c r="AL816" s="3" t="s">
        <v>59</v>
      </c>
      <c r="AM816" s="3" t="s">
        <v>99</v>
      </c>
      <c r="AN816" s="3" t="s">
        <v>61</v>
      </c>
      <c r="AO816" s="3" t="s">
        <v>62</v>
      </c>
      <c r="AP816" s="3" t="s">
        <v>69</v>
      </c>
      <c r="AQ816" s="3" t="s">
        <v>61</v>
      </c>
      <c r="AR816" s="3" t="s">
        <v>48</v>
      </c>
    </row>
    <row r="817" spans="1:44" ht="30" customHeight="1">
      <c r="A817" s="3" t="s">
        <v>44</v>
      </c>
      <c r="B817" s="3" t="s">
        <v>45</v>
      </c>
      <c r="C817" s="3" t="s">
        <v>46</v>
      </c>
      <c r="D817" s="3" t="s">
        <v>100</v>
      </c>
      <c r="E817" s="3" t="s">
        <v>48</v>
      </c>
      <c r="F817" s="3" t="s">
        <v>48</v>
      </c>
      <c r="G817" s="3" t="s">
        <v>2382</v>
      </c>
      <c r="H817" s="4">
        <f>IF(DATEDIF(L817,S817,"m")&gt;12,DATEDIF(L817,S817,"y"),(DATEDIF(L817,S817,"m")/12))</f>
        <v>4</v>
      </c>
      <c r="I817" s="7">
        <f>DATEDIF(L817,S817,"M")</f>
        <v>49</v>
      </c>
      <c r="J817" s="7">
        <f>DATEDIF(L817,S817,"D")</f>
        <v>1514</v>
      </c>
      <c r="K817" s="3" t="s">
        <v>51</v>
      </c>
      <c r="L817" s="8">
        <v>43480</v>
      </c>
      <c r="M817" s="3" t="s">
        <v>45</v>
      </c>
      <c r="N817" s="3" t="s">
        <v>101</v>
      </c>
      <c r="O817" s="3" t="s">
        <v>52</v>
      </c>
      <c r="P817" s="3" t="s">
        <v>169</v>
      </c>
      <c r="Q817" s="7">
        <v>1</v>
      </c>
      <c r="R817" s="8">
        <v>45002</v>
      </c>
      <c r="S817" s="8">
        <v>44994</v>
      </c>
      <c r="T817" s="3" t="s">
        <v>54</v>
      </c>
      <c r="U817" s="3" t="s">
        <v>55</v>
      </c>
      <c r="V817" s="9"/>
      <c r="W817" s="10">
        <v>45006</v>
      </c>
      <c r="X817" s="7">
        <v>4</v>
      </c>
      <c r="Y817" s="7">
        <v>8</v>
      </c>
      <c r="Z817" s="7">
        <v>3</v>
      </c>
      <c r="AA817" s="7">
        <f>INT((S817-DATE(YEAR(S817-WEEKDAY(S817-0)+4),1,4)+WEEKDAY(DATE(YEAR(S817-WEEKDAY(S817-0)+4),1,4))+6)/7)</f>
        <v>10</v>
      </c>
      <c r="AB817" s="3" t="s">
        <v>2383</v>
      </c>
      <c r="AC817" s="7">
        <v>743</v>
      </c>
      <c r="AD817" s="7">
        <v>0</v>
      </c>
      <c r="AE817" s="7">
        <v>0</v>
      </c>
      <c r="AF817" s="3" t="s">
        <v>48</v>
      </c>
      <c r="AG817" s="7">
        <v>2023</v>
      </c>
      <c r="AH817" s="3" t="s">
        <v>223</v>
      </c>
      <c r="AI817" s="3" t="s">
        <v>106</v>
      </c>
      <c r="AJ817" s="3" t="s">
        <v>100</v>
      </c>
      <c r="AK817" s="18" t="s">
        <v>448</v>
      </c>
      <c r="AL817" s="3" t="s">
        <v>59</v>
      </c>
      <c r="AM817" s="3" t="s">
        <v>99</v>
      </c>
      <c r="AN817" s="3" t="s">
        <v>61</v>
      </c>
      <c r="AO817" s="3" t="s">
        <v>62</v>
      </c>
      <c r="AP817" s="3" t="s">
        <v>69</v>
      </c>
      <c r="AQ817" s="3" t="s">
        <v>61</v>
      </c>
      <c r="AR817" s="3" t="s">
        <v>48</v>
      </c>
    </row>
    <row r="818" spans="1:44" ht="30" customHeight="1">
      <c r="A818" s="3" t="s">
        <v>44</v>
      </c>
      <c r="B818" s="3" t="s">
        <v>45</v>
      </c>
      <c r="C818" s="3" t="s">
        <v>80</v>
      </c>
      <c r="D818" s="3" t="s">
        <v>81</v>
      </c>
      <c r="E818" s="3" t="s">
        <v>48</v>
      </c>
      <c r="F818" s="3" t="s">
        <v>81</v>
      </c>
      <c r="G818" s="3" t="s">
        <v>515</v>
      </c>
      <c r="H818" s="4">
        <f>IF(DATEDIF(L818,S818,"m")&gt;12,DATEDIF(L818,S818,"y"),(DATEDIF(L818,S818,"m")/12))</f>
        <v>53</v>
      </c>
      <c r="I818" s="7">
        <f>DATEDIF(L818,S818,"M")</f>
        <v>645</v>
      </c>
      <c r="J818" s="7">
        <f>DATEDIF(L818,S818,"D")</f>
        <v>19639</v>
      </c>
      <c r="K818" s="3" t="s">
        <v>64</v>
      </c>
      <c r="L818" s="8">
        <v>25355</v>
      </c>
      <c r="M818" s="3" t="s">
        <v>45</v>
      </c>
      <c r="N818" s="3" t="s">
        <v>101</v>
      </c>
      <c r="O818" s="3" t="s">
        <v>52</v>
      </c>
      <c r="P818" s="3" t="s">
        <v>91</v>
      </c>
      <c r="Q818" s="7">
        <v>1</v>
      </c>
      <c r="R818" s="8">
        <v>45001</v>
      </c>
      <c r="S818" s="8">
        <v>44994</v>
      </c>
      <c r="T818" s="3" t="s">
        <v>54</v>
      </c>
      <c r="U818" s="3" t="s">
        <v>55</v>
      </c>
      <c r="V818" s="9"/>
      <c r="W818" s="10">
        <v>45008</v>
      </c>
      <c r="X818" s="7">
        <v>7</v>
      </c>
      <c r="Y818" s="7">
        <v>7</v>
      </c>
      <c r="Z818" s="7">
        <v>3</v>
      </c>
      <c r="AA818" s="7">
        <f>INT((S818-DATE(YEAR(S818-WEEKDAY(S818-0)+4),1,4)+WEEKDAY(DATE(YEAR(S818-WEEKDAY(S818-0)+4),1,4))+6)/7)</f>
        <v>10</v>
      </c>
      <c r="AB818" s="3" t="s">
        <v>516</v>
      </c>
      <c r="AC818" s="7">
        <v>14104</v>
      </c>
      <c r="AD818" s="7">
        <v>0</v>
      </c>
      <c r="AE818" s="7">
        <v>0</v>
      </c>
      <c r="AF818" s="3" t="s">
        <v>48</v>
      </c>
      <c r="AG818" s="7">
        <v>2023</v>
      </c>
      <c r="AH818" s="3" t="s">
        <v>86</v>
      </c>
      <c r="AI818" s="3" t="s">
        <v>48</v>
      </c>
      <c r="AJ818" s="3" t="s">
        <v>48</v>
      </c>
      <c r="AK818" s="3" t="s">
        <v>162</v>
      </c>
      <c r="AL818" s="3" t="s">
        <v>59</v>
      </c>
      <c r="AM818" s="3" t="s">
        <v>60</v>
      </c>
      <c r="AN818" s="3" t="s">
        <v>69</v>
      </c>
      <c r="AO818" s="3" t="s">
        <v>62</v>
      </c>
      <c r="AP818" s="3" t="s">
        <v>69</v>
      </c>
      <c r="AQ818" s="3" t="s">
        <v>61</v>
      </c>
      <c r="AR818" s="3" t="s">
        <v>48</v>
      </c>
    </row>
    <row r="819" spans="1:44" ht="30" customHeight="1">
      <c r="A819" s="3" t="s">
        <v>44</v>
      </c>
      <c r="B819" s="3" t="s">
        <v>45</v>
      </c>
      <c r="C819" s="3" t="s">
        <v>80</v>
      </c>
      <c r="D819" s="3" t="s">
        <v>81</v>
      </c>
      <c r="E819" s="3" t="s">
        <v>48</v>
      </c>
      <c r="F819" s="3" t="s">
        <v>81</v>
      </c>
      <c r="G819" s="3" t="s">
        <v>533</v>
      </c>
      <c r="H819" s="5">
        <f>IF(DATEDIF(L819,S819,"m")&gt;12,DATEDIF(L819,S819,"y"),(DATEDIF(L819,S819,"m")/12))</f>
        <v>0.5</v>
      </c>
      <c r="I819" s="7">
        <f>DATEDIF(L819,S819,"M")</f>
        <v>6</v>
      </c>
      <c r="J819" s="7">
        <f>DATEDIF(L819,S819,"D")</f>
        <v>196</v>
      </c>
      <c r="K819" s="3" t="s">
        <v>51</v>
      </c>
      <c r="L819" s="8">
        <v>44800</v>
      </c>
      <c r="M819" s="3" t="s">
        <v>45</v>
      </c>
      <c r="N819" s="3" t="s">
        <v>90</v>
      </c>
      <c r="O819" s="3" t="s">
        <v>52</v>
      </c>
      <c r="P819" s="3" t="s">
        <v>84</v>
      </c>
      <c r="Q819" s="7">
        <v>1</v>
      </c>
      <c r="R819" s="8">
        <v>45001</v>
      </c>
      <c r="S819" s="8">
        <v>44996</v>
      </c>
      <c r="T819" s="3" t="s">
        <v>54</v>
      </c>
      <c r="U819" s="3" t="s">
        <v>55</v>
      </c>
      <c r="V819" s="9"/>
      <c r="W819" s="10">
        <v>45008</v>
      </c>
      <c r="X819" s="7">
        <v>7</v>
      </c>
      <c r="Y819" s="7">
        <v>5</v>
      </c>
      <c r="Z819" s="7">
        <v>3</v>
      </c>
      <c r="AA819" s="7">
        <f>INT((S819-DATE(YEAR(S819-WEEKDAY(S819-0)+4),1,4)+WEEKDAY(DATE(YEAR(S819-WEEKDAY(S819-0)+4),1,4))+6)/7)</f>
        <v>10</v>
      </c>
      <c r="AB819" s="3" t="s">
        <v>534</v>
      </c>
      <c r="AC819" s="7">
        <v>14098</v>
      </c>
      <c r="AD819" s="7">
        <v>0</v>
      </c>
      <c r="AE819" s="7">
        <v>0</v>
      </c>
      <c r="AF819" s="3" t="s">
        <v>48</v>
      </c>
      <c r="AG819" s="7">
        <v>2023</v>
      </c>
      <c r="AH819" s="3" t="s">
        <v>86</v>
      </c>
      <c r="AI819" s="3" t="s">
        <v>48</v>
      </c>
      <c r="AJ819" s="3" t="s">
        <v>48</v>
      </c>
      <c r="AK819" s="3" t="s">
        <v>535</v>
      </c>
      <c r="AL819" s="3" t="s">
        <v>59</v>
      </c>
      <c r="AM819" s="3" t="s">
        <v>60</v>
      </c>
      <c r="AN819" s="3" t="s">
        <v>61</v>
      </c>
      <c r="AO819" s="3" t="s">
        <v>62</v>
      </c>
      <c r="AP819" s="3" t="s">
        <v>69</v>
      </c>
      <c r="AQ819" s="3" t="s">
        <v>61</v>
      </c>
      <c r="AR819" s="3" t="s">
        <v>48</v>
      </c>
    </row>
    <row r="820" spans="1:44" ht="30" customHeight="1">
      <c r="A820" s="3" t="s">
        <v>44</v>
      </c>
      <c r="B820" s="3" t="s">
        <v>45</v>
      </c>
      <c r="C820" s="3" t="s">
        <v>46</v>
      </c>
      <c r="D820" s="3" t="s">
        <v>130</v>
      </c>
      <c r="E820" s="3" t="s">
        <v>48</v>
      </c>
      <c r="F820" s="3" t="s">
        <v>135</v>
      </c>
      <c r="G820" s="3" t="s">
        <v>627</v>
      </c>
      <c r="H820" s="4">
        <f>IF(DATEDIF(L820,S820,"m")&gt;12,DATEDIF(L820,S820,"y"),(DATEDIF(L820,S820,"m")/12))</f>
        <v>39</v>
      </c>
      <c r="I820" s="7">
        <f>DATEDIF(L820,S820,"M")</f>
        <v>472</v>
      </c>
      <c r="J820" s="7">
        <f>DATEDIF(L820,S820,"D")</f>
        <v>14370</v>
      </c>
      <c r="K820" s="3" t="s">
        <v>51</v>
      </c>
      <c r="L820" s="8">
        <v>30635</v>
      </c>
      <c r="M820" s="3" t="s">
        <v>45</v>
      </c>
      <c r="N820" s="3" t="s">
        <v>83</v>
      </c>
      <c r="O820" s="3" t="s">
        <v>52</v>
      </c>
      <c r="P820" s="3" t="s">
        <v>103</v>
      </c>
      <c r="Q820" s="7">
        <v>0</v>
      </c>
      <c r="R820" s="8">
        <v>45006</v>
      </c>
      <c r="S820" s="8">
        <v>45005</v>
      </c>
      <c r="T820" s="3" t="s">
        <v>54</v>
      </c>
      <c r="U820" s="3" t="s">
        <v>55</v>
      </c>
      <c r="V820" s="9"/>
      <c r="W820" s="10">
        <v>45008</v>
      </c>
      <c r="X820" s="7">
        <v>2</v>
      </c>
      <c r="Y820" s="7">
        <v>1</v>
      </c>
      <c r="Z820" s="7">
        <v>3</v>
      </c>
      <c r="AA820" s="7">
        <f>INT((S820-DATE(YEAR(S820-WEEKDAY(S820-0)+4),1,4)+WEEKDAY(DATE(YEAR(S820-WEEKDAY(S820-0)+4),1,4))+6)/7)</f>
        <v>12</v>
      </c>
      <c r="AB820" s="3" t="s">
        <v>628</v>
      </c>
      <c r="AC820" s="7">
        <v>111</v>
      </c>
      <c r="AD820" s="7">
        <v>0</v>
      </c>
      <c r="AE820" s="7">
        <v>0</v>
      </c>
      <c r="AF820" s="3" t="s">
        <v>48</v>
      </c>
      <c r="AG820" s="7">
        <v>2023</v>
      </c>
      <c r="AH820" s="3" t="s">
        <v>139</v>
      </c>
      <c r="AI820" s="3" t="s">
        <v>113</v>
      </c>
      <c r="AJ820" s="3" t="s">
        <v>48</v>
      </c>
      <c r="AK820" s="3" t="s">
        <v>154</v>
      </c>
      <c r="AL820" s="3" t="s">
        <v>59</v>
      </c>
      <c r="AM820" s="3" t="s">
        <v>60</v>
      </c>
      <c r="AN820" s="3" t="s">
        <v>61</v>
      </c>
      <c r="AO820" s="3" t="s">
        <v>62</v>
      </c>
      <c r="AP820" s="3" t="s">
        <v>69</v>
      </c>
      <c r="AQ820" s="3" t="s">
        <v>61</v>
      </c>
      <c r="AR820" s="3" t="s">
        <v>48</v>
      </c>
    </row>
    <row r="821" spans="1:44" ht="30" customHeight="1">
      <c r="A821" s="3" t="s">
        <v>44</v>
      </c>
      <c r="B821" s="3" t="s">
        <v>45</v>
      </c>
      <c r="C821" s="3" t="s">
        <v>80</v>
      </c>
      <c r="D821" s="3" t="s">
        <v>81</v>
      </c>
      <c r="E821" s="3" t="s">
        <v>48</v>
      </c>
      <c r="F821" s="3" t="s">
        <v>81</v>
      </c>
      <c r="G821" s="3" t="s">
        <v>920</v>
      </c>
      <c r="H821" s="4">
        <f>IF(DATEDIF(L821,S821,"m")&gt;12,DATEDIF(L821,S821,"y"),(DATEDIF(L821,S821,"m")/12))</f>
        <v>1</v>
      </c>
      <c r="I821" s="7">
        <f>DATEDIF(L821,S821,"M")</f>
        <v>16</v>
      </c>
      <c r="J821" s="7">
        <f>DATEDIF(L821,S821,"D")</f>
        <v>502</v>
      </c>
      <c r="K821" s="3" t="s">
        <v>51</v>
      </c>
      <c r="L821" s="8">
        <v>44494</v>
      </c>
      <c r="M821" s="3" t="s">
        <v>45</v>
      </c>
      <c r="N821" s="3" t="s">
        <v>83</v>
      </c>
      <c r="O821" s="3" t="s">
        <v>52</v>
      </c>
      <c r="P821" s="3" t="s">
        <v>298</v>
      </c>
      <c r="Q821" s="7">
        <v>1</v>
      </c>
      <c r="R821" s="8">
        <v>44999</v>
      </c>
      <c r="S821" s="8">
        <v>44996</v>
      </c>
      <c r="T821" s="3" t="s">
        <v>54</v>
      </c>
      <c r="U821" s="3" t="s">
        <v>55</v>
      </c>
      <c r="V821" s="9"/>
      <c r="W821" s="10">
        <v>45008</v>
      </c>
      <c r="X821" s="7">
        <v>9</v>
      </c>
      <c r="Y821" s="7">
        <v>3</v>
      </c>
      <c r="Z821" s="7">
        <v>3</v>
      </c>
      <c r="AA821" s="7">
        <f>INT((S821-DATE(YEAR(S821-WEEKDAY(S821-0)+4),1,4)+WEEKDAY(DATE(YEAR(S821-WEEKDAY(S821-0)+4),1,4))+6)/7)</f>
        <v>10</v>
      </c>
      <c r="AB821" s="3" t="s">
        <v>921</v>
      </c>
      <c r="AC821" s="7">
        <v>14099</v>
      </c>
      <c r="AD821" s="7">
        <v>0</v>
      </c>
      <c r="AE821" s="7">
        <v>0</v>
      </c>
      <c r="AF821" s="3" t="s">
        <v>48</v>
      </c>
      <c r="AG821" s="7">
        <v>2023</v>
      </c>
      <c r="AH821" s="3" t="s">
        <v>86</v>
      </c>
      <c r="AI821" s="3" t="s">
        <v>48</v>
      </c>
      <c r="AJ821" s="3" t="s">
        <v>48</v>
      </c>
      <c r="AK821" s="3" t="s">
        <v>216</v>
      </c>
      <c r="AL821" s="3" t="s">
        <v>59</v>
      </c>
      <c r="AM821" s="3" t="s">
        <v>60</v>
      </c>
      <c r="AN821" s="3" t="s">
        <v>61</v>
      </c>
      <c r="AO821" s="3" t="s">
        <v>62</v>
      </c>
      <c r="AP821" s="3" t="s">
        <v>69</v>
      </c>
      <c r="AQ821" s="3" t="s">
        <v>61</v>
      </c>
      <c r="AR821" s="3" t="s">
        <v>48</v>
      </c>
    </row>
    <row r="822" spans="1:44" ht="30" customHeight="1">
      <c r="A822" s="3" t="s">
        <v>44</v>
      </c>
      <c r="B822" s="3" t="s">
        <v>45</v>
      </c>
      <c r="C822" s="3" t="s">
        <v>46</v>
      </c>
      <c r="D822" s="3" t="s">
        <v>130</v>
      </c>
      <c r="E822" s="3" t="s">
        <v>48</v>
      </c>
      <c r="F822" s="3" t="s">
        <v>135</v>
      </c>
      <c r="G822" s="3" t="s">
        <v>1500</v>
      </c>
      <c r="H822" s="5">
        <f>IF(DATEDIF(L822,S822,"m")&gt;12,DATEDIF(L822,S822,"y"),(DATEDIF(L822,S822,"m")/12))</f>
        <v>0.25</v>
      </c>
      <c r="I822" s="7">
        <f>DATEDIF(L822,S822,"M")</f>
        <v>3</v>
      </c>
      <c r="J822" s="7">
        <f>DATEDIF(L822,S822,"D")</f>
        <v>110</v>
      </c>
      <c r="K822" s="3" t="s">
        <v>51</v>
      </c>
      <c r="L822" s="8">
        <v>44895</v>
      </c>
      <c r="M822" s="3" t="s">
        <v>45</v>
      </c>
      <c r="N822" s="3" t="s">
        <v>83</v>
      </c>
      <c r="O822" s="3" t="s">
        <v>52</v>
      </c>
      <c r="P822" s="3" t="s">
        <v>156</v>
      </c>
      <c r="Q822" s="7">
        <v>0</v>
      </c>
      <c r="R822" s="8">
        <v>45007</v>
      </c>
      <c r="S822" s="8">
        <v>45005</v>
      </c>
      <c r="T822" s="3" t="s">
        <v>54</v>
      </c>
      <c r="U822" s="3" t="s">
        <v>55</v>
      </c>
      <c r="V822" s="9"/>
      <c r="W822" s="10">
        <v>45008</v>
      </c>
      <c r="X822" s="7">
        <v>1</v>
      </c>
      <c r="Y822" s="7">
        <v>2</v>
      </c>
      <c r="Z822" s="7">
        <v>3</v>
      </c>
      <c r="AA822" s="7">
        <f>INT((S822-DATE(YEAR(S822-WEEKDAY(S822-0)+4),1,4)+WEEKDAY(DATE(YEAR(S822-WEEKDAY(S822-0)+4),1,4))+6)/7)</f>
        <v>12</v>
      </c>
      <c r="AB822" s="3" t="s">
        <v>1501</v>
      </c>
      <c r="AC822" s="7">
        <v>113</v>
      </c>
      <c r="AD822" s="7">
        <v>0</v>
      </c>
      <c r="AE822" s="7">
        <v>0</v>
      </c>
      <c r="AF822" s="3" t="s">
        <v>48</v>
      </c>
      <c r="AG822" s="7">
        <v>2023</v>
      </c>
      <c r="AH822" s="3" t="s">
        <v>139</v>
      </c>
      <c r="AI822" s="3" t="s">
        <v>113</v>
      </c>
      <c r="AJ822" s="3" t="s">
        <v>48</v>
      </c>
      <c r="AK822" s="12" t="s">
        <v>140</v>
      </c>
      <c r="AL822" s="3" t="s">
        <v>59</v>
      </c>
      <c r="AM822" s="3" t="s">
        <v>60</v>
      </c>
      <c r="AN822" s="3" t="s">
        <v>61</v>
      </c>
      <c r="AO822" s="3" t="s">
        <v>62</v>
      </c>
      <c r="AP822" s="3" t="s">
        <v>69</v>
      </c>
      <c r="AQ822" s="3" t="s">
        <v>61</v>
      </c>
      <c r="AR822" s="3" t="s">
        <v>48</v>
      </c>
    </row>
    <row r="823" spans="1:44" ht="30" customHeight="1">
      <c r="A823" s="3" t="s">
        <v>44</v>
      </c>
      <c r="B823" s="3" t="s">
        <v>45</v>
      </c>
      <c r="C823" s="3" t="s">
        <v>46</v>
      </c>
      <c r="D823" s="3" t="s">
        <v>130</v>
      </c>
      <c r="E823" s="3" t="s">
        <v>48</v>
      </c>
      <c r="F823" s="3" t="s">
        <v>135</v>
      </c>
      <c r="G823" s="3" t="s">
        <v>1571</v>
      </c>
      <c r="H823" s="4">
        <f>IF(DATEDIF(L823,S823,"m")&gt;12,DATEDIF(L823,S823,"y"),(DATEDIF(L823,S823,"m")/12))</f>
        <v>12</v>
      </c>
      <c r="I823" s="7">
        <f>DATEDIF(L823,S823,"M")</f>
        <v>144</v>
      </c>
      <c r="J823" s="7">
        <f>DATEDIF(L823,S823,"D")</f>
        <v>4386</v>
      </c>
      <c r="K823" s="3" t="s">
        <v>51</v>
      </c>
      <c r="L823" s="8">
        <v>40616</v>
      </c>
      <c r="M823" s="3" t="s">
        <v>45</v>
      </c>
      <c r="N823" s="3" t="s">
        <v>83</v>
      </c>
      <c r="O823" s="3" t="s">
        <v>52</v>
      </c>
      <c r="P823" s="3" t="s">
        <v>91</v>
      </c>
      <c r="Q823" s="7">
        <v>0</v>
      </c>
      <c r="R823" s="8">
        <v>45005</v>
      </c>
      <c r="S823" s="8">
        <v>45002</v>
      </c>
      <c r="T823" s="3" t="s">
        <v>54</v>
      </c>
      <c r="U823" s="3" t="s">
        <v>55</v>
      </c>
      <c r="V823" s="9"/>
      <c r="W823" s="10">
        <v>45008</v>
      </c>
      <c r="X823" s="7">
        <v>3</v>
      </c>
      <c r="Y823" s="7">
        <v>3</v>
      </c>
      <c r="Z823" s="7">
        <v>3</v>
      </c>
      <c r="AA823" s="7">
        <f>INT((S823-DATE(YEAR(S823-WEEKDAY(S823-0)+4),1,4)+WEEKDAY(DATE(YEAR(S823-WEEKDAY(S823-0)+4),1,4))+6)/7)</f>
        <v>11</v>
      </c>
      <c r="AB823" s="3" t="s">
        <v>1572</v>
      </c>
      <c r="AC823" s="7">
        <v>109</v>
      </c>
      <c r="AD823" s="7">
        <v>0</v>
      </c>
      <c r="AE823" s="7">
        <v>0</v>
      </c>
      <c r="AF823" s="3" t="s">
        <v>48</v>
      </c>
      <c r="AG823" s="7">
        <v>2023</v>
      </c>
      <c r="AH823" s="3" t="s">
        <v>139</v>
      </c>
      <c r="AI823" s="3" t="s">
        <v>113</v>
      </c>
      <c r="AJ823" s="3" t="s">
        <v>48</v>
      </c>
      <c r="AK823" s="3" t="s">
        <v>1573</v>
      </c>
      <c r="AL823" s="3" t="s">
        <v>59</v>
      </c>
      <c r="AM823" s="3" t="s">
        <v>60</v>
      </c>
      <c r="AN823" s="3" t="s">
        <v>61</v>
      </c>
      <c r="AO823" s="3" t="s">
        <v>62</v>
      </c>
      <c r="AP823" s="3" t="s">
        <v>69</v>
      </c>
      <c r="AQ823" s="3" t="s">
        <v>61</v>
      </c>
      <c r="AR823" s="3" t="s">
        <v>48</v>
      </c>
    </row>
    <row r="824" spans="1:44" ht="30" customHeight="1">
      <c r="A824" s="3" t="s">
        <v>44</v>
      </c>
      <c r="B824" s="3" t="s">
        <v>45</v>
      </c>
      <c r="C824" s="3" t="s">
        <v>46</v>
      </c>
      <c r="D824" s="3" t="s">
        <v>130</v>
      </c>
      <c r="E824" s="3" t="s">
        <v>48</v>
      </c>
      <c r="F824" s="3" t="s">
        <v>135</v>
      </c>
      <c r="G824" s="3" t="s">
        <v>1613</v>
      </c>
      <c r="H824" s="4">
        <f>IF(DATEDIF(L824,S824,"m")&gt;12,DATEDIF(L824,S824,"y"),(DATEDIF(L824,S824,"m")/12))</f>
        <v>28</v>
      </c>
      <c r="I824" s="7">
        <f>DATEDIF(L824,S824,"M")</f>
        <v>343</v>
      </c>
      <c r="J824" s="7">
        <f>DATEDIF(L824,S824,"D")</f>
        <v>10455</v>
      </c>
      <c r="K824" s="3" t="s">
        <v>51</v>
      </c>
      <c r="L824" s="8">
        <v>34550</v>
      </c>
      <c r="M824" s="3" t="s">
        <v>45</v>
      </c>
      <c r="N824" s="3" t="s">
        <v>83</v>
      </c>
      <c r="O824" s="3" t="s">
        <v>52</v>
      </c>
      <c r="P824" s="3" t="s">
        <v>298</v>
      </c>
      <c r="Q824" s="7">
        <v>0</v>
      </c>
      <c r="R824" s="8">
        <v>45005</v>
      </c>
      <c r="S824" s="8">
        <v>45005</v>
      </c>
      <c r="T824" s="3" t="s">
        <v>54</v>
      </c>
      <c r="U824" s="3" t="s">
        <v>55</v>
      </c>
      <c r="V824" s="9"/>
      <c r="W824" s="10">
        <v>45008</v>
      </c>
      <c r="X824" s="7">
        <v>3</v>
      </c>
      <c r="Y824" s="7">
        <v>0</v>
      </c>
      <c r="Z824" s="7">
        <v>3</v>
      </c>
      <c r="AA824" s="7">
        <f>INT((S824-DATE(YEAR(S824-WEEKDAY(S824-0)+4),1,4)+WEEKDAY(DATE(YEAR(S824-WEEKDAY(S824-0)+4),1,4))+6)/7)</f>
        <v>12</v>
      </c>
      <c r="AB824" s="3" t="s">
        <v>1614</v>
      </c>
      <c r="AC824" s="7">
        <v>112</v>
      </c>
      <c r="AD824" s="7">
        <v>0</v>
      </c>
      <c r="AE824" s="7">
        <v>0</v>
      </c>
      <c r="AF824" s="3" t="s">
        <v>48</v>
      </c>
      <c r="AG824" s="7">
        <v>2023</v>
      </c>
      <c r="AH824" s="3" t="s">
        <v>139</v>
      </c>
      <c r="AI824" s="3" t="s">
        <v>113</v>
      </c>
      <c r="AJ824" s="3" t="s">
        <v>48</v>
      </c>
      <c r="AK824" s="3" t="s">
        <v>488</v>
      </c>
      <c r="AL824" s="3" t="s">
        <v>59</v>
      </c>
      <c r="AM824" s="3" t="s">
        <v>60</v>
      </c>
      <c r="AN824" s="3" t="s">
        <v>61</v>
      </c>
      <c r="AO824" s="3" t="s">
        <v>62</v>
      </c>
      <c r="AP824" s="3" t="s">
        <v>69</v>
      </c>
      <c r="AQ824" s="3" t="s">
        <v>61</v>
      </c>
      <c r="AR824" s="3" t="s">
        <v>48</v>
      </c>
    </row>
    <row r="825" spans="1:44" ht="30" customHeight="1">
      <c r="A825" s="3" t="s">
        <v>44</v>
      </c>
      <c r="B825" s="3" t="s">
        <v>45</v>
      </c>
      <c r="C825" s="3" t="s">
        <v>46</v>
      </c>
      <c r="D825" s="3" t="s">
        <v>130</v>
      </c>
      <c r="E825" s="3" t="s">
        <v>48</v>
      </c>
      <c r="F825" s="3" t="s">
        <v>135</v>
      </c>
      <c r="G825" s="3" t="s">
        <v>2109</v>
      </c>
      <c r="H825" s="4">
        <f>IF(DATEDIF(L825,S825,"m")&gt;12,DATEDIF(L825,S825,"y"),(DATEDIF(L825,S825,"m")/12))</f>
        <v>1</v>
      </c>
      <c r="I825" s="7">
        <f>DATEDIF(L825,S825,"M")</f>
        <v>17</v>
      </c>
      <c r="J825" s="7">
        <f>DATEDIF(L825,S825,"D")</f>
        <v>531</v>
      </c>
      <c r="K825" s="3" t="s">
        <v>64</v>
      </c>
      <c r="L825" s="8">
        <v>44473</v>
      </c>
      <c r="M825" s="3" t="s">
        <v>45</v>
      </c>
      <c r="N825" s="3" t="s">
        <v>83</v>
      </c>
      <c r="O825" s="3" t="s">
        <v>52</v>
      </c>
      <c r="P825" s="3" t="s">
        <v>103</v>
      </c>
      <c r="Q825" s="7">
        <v>0</v>
      </c>
      <c r="R825" s="8">
        <v>45005</v>
      </c>
      <c r="S825" s="8">
        <v>45004</v>
      </c>
      <c r="T825" s="3" t="s">
        <v>54</v>
      </c>
      <c r="U825" s="3" t="s">
        <v>55</v>
      </c>
      <c r="V825" s="9"/>
      <c r="W825" s="10">
        <v>45008</v>
      </c>
      <c r="X825" s="7">
        <v>3</v>
      </c>
      <c r="Y825" s="7">
        <v>1</v>
      </c>
      <c r="Z825" s="7">
        <v>3</v>
      </c>
      <c r="AA825" s="7">
        <f>INT((S825-DATE(YEAR(S825-WEEKDAY(S825-0)+4),1,4)+WEEKDAY(DATE(YEAR(S825-WEEKDAY(S825-0)+4),1,4))+6)/7)</f>
        <v>12</v>
      </c>
      <c r="AB825" s="3" t="s">
        <v>2110</v>
      </c>
      <c r="AC825" s="7">
        <v>110</v>
      </c>
      <c r="AD825" s="7">
        <v>0</v>
      </c>
      <c r="AE825" s="7">
        <v>0</v>
      </c>
      <c r="AF825" s="3" t="s">
        <v>48</v>
      </c>
      <c r="AG825" s="7">
        <v>2023</v>
      </c>
      <c r="AH825" s="3" t="s">
        <v>139</v>
      </c>
      <c r="AI825" s="3" t="s">
        <v>113</v>
      </c>
      <c r="AJ825" s="3" t="s">
        <v>48</v>
      </c>
      <c r="AK825" s="3" t="s">
        <v>2111</v>
      </c>
      <c r="AL825" s="3" t="s">
        <v>59</v>
      </c>
      <c r="AM825" s="3" t="s">
        <v>60</v>
      </c>
      <c r="AN825" s="3" t="s">
        <v>61</v>
      </c>
      <c r="AO825" s="3" t="s">
        <v>62</v>
      </c>
      <c r="AP825" s="3" t="s">
        <v>69</v>
      </c>
      <c r="AQ825" s="3" t="s">
        <v>61</v>
      </c>
      <c r="AR825" s="3" t="s">
        <v>48</v>
      </c>
    </row>
    <row r="826" spans="1:44" ht="30" customHeight="1">
      <c r="A826" s="3" t="s">
        <v>44</v>
      </c>
      <c r="B826" s="3" t="s">
        <v>45</v>
      </c>
      <c r="C826" s="3" t="s">
        <v>46</v>
      </c>
      <c r="D826" s="3" t="s">
        <v>130</v>
      </c>
      <c r="E826" s="3" t="s">
        <v>48</v>
      </c>
      <c r="F826" s="3" t="s">
        <v>135</v>
      </c>
      <c r="G826" s="3" t="s">
        <v>155</v>
      </c>
      <c r="H826" s="4">
        <f>IF(DATEDIF(L826,S826,"m")&gt;12,DATEDIF(L826,S826,"y"),(DATEDIF(L826,S826,"m")/12))</f>
        <v>2</v>
      </c>
      <c r="I826" s="7">
        <f>DATEDIF(L826,S826,"M")</f>
        <v>25</v>
      </c>
      <c r="J826" s="7">
        <f>DATEDIF(L826,S826,"D")</f>
        <v>783</v>
      </c>
      <c r="K826" s="3" t="s">
        <v>51</v>
      </c>
      <c r="L826" s="8">
        <v>44225</v>
      </c>
      <c r="M826" s="3" t="s">
        <v>45</v>
      </c>
      <c r="N826" s="3" t="s">
        <v>83</v>
      </c>
      <c r="O826" s="3" t="s">
        <v>52</v>
      </c>
      <c r="P826" s="3" t="s">
        <v>156</v>
      </c>
      <c r="Q826" s="7">
        <v>1</v>
      </c>
      <c r="R826" s="8">
        <v>45009</v>
      </c>
      <c r="S826" s="8">
        <v>45008</v>
      </c>
      <c r="T826" s="3" t="s">
        <v>54</v>
      </c>
      <c r="U826" s="3" t="s">
        <v>55</v>
      </c>
      <c r="V826" s="9"/>
      <c r="W826" s="10">
        <v>45009</v>
      </c>
      <c r="X826" s="7">
        <v>0</v>
      </c>
      <c r="Y826" s="7">
        <v>1</v>
      </c>
      <c r="Z826" s="7">
        <v>3</v>
      </c>
      <c r="AA826" s="7">
        <f>INT((S826-DATE(YEAR(S826-WEEKDAY(S826-0)+4),1,4)+WEEKDAY(DATE(YEAR(S826-WEEKDAY(S826-0)+4),1,4))+6)/7)</f>
        <v>12</v>
      </c>
      <c r="AB826" s="3" t="s">
        <v>157</v>
      </c>
      <c r="AC826" s="7">
        <v>114</v>
      </c>
      <c r="AD826" s="7">
        <v>0</v>
      </c>
      <c r="AE826" s="7">
        <v>0</v>
      </c>
      <c r="AF826" s="3" t="s">
        <v>48</v>
      </c>
      <c r="AG826" s="7">
        <v>2023</v>
      </c>
      <c r="AH826" s="18" t="s">
        <v>139</v>
      </c>
      <c r="AI826" s="3" t="s">
        <v>113</v>
      </c>
      <c r="AJ826" s="3" t="s">
        <v>48</v>
      </c>
      <c r="AK826" s="3" t="s">
        <v>154</v>
      </c>
      <c r="AL826" s="3" t="s">
        <v>59</v>
      </c>
      <c r="AM826" s="3" t="s">
        <v>60</v>
      </c>
      <c r="AN826" s="3" t="s">
        <v>61</v>
      </c>
      <c r="AO826" s="3" t="s">
        <v>62</v>
      </c>
      <c r="AP826" s="3" t="s">
        <v>69</v>
      </c>
      <c r="AQ826" s="3" t="s">
        <v>61</v>
      </c>
      <c r="AR826" s="3" t="s">
        <v>48</v>
      </c>
    </row>
    <row r="827" spans="1:44" ht="30" customHeight="1">
      <c r="A827" s="3" t="s">
        <v>44</v>
      </c>
      <c r="B827" s="3" t="s">
        <v>45</v>
      </c>
      <c r="C827" s="3" t="s">
        <v>46</v>
      </c>
      <c r="D827" s="3" t="s">
        <v>47</v>
      </c>
      <c r="E827" s="3" t="s">
        <v>48</v>
      </c>
      <c r="F827" s="3" t="s">
        <v>49</v>
      </c>
      <c r="G827" s="3" t="s">
        <v>179</v>
      </c>
      <c r="H827" s="4">
        <f>IF(DATEDIF(L827,S827,"m")&gt;12,DATEDIF(L827,S827,"y"),(DATEDIF(L827,S827,"m")/12))</f>
        <v>4</v>
      </c>
      <c r="I827" s="7">
        <f>DATEDIF(L827,S827,"M")</f>
        <v>52</v>
      </c>
      <c r="J827" s="7">
        <f>DATEDIF(L827,S827,"D")</f>
        <v>1594</v>
      </c>
      <c r="K827" s="3" t="s">
        <v>64</v>
      </c>
      <c r="L827" s="8">
        <v>43407</v>
      </c>
      <c r="M827" s="3" t="s">
        <v>45</v>
      </c>
      <c r="N827" s="3" t="s">
        <v>65</v>
      </c>
      <c r="O827" s="3" t="s">
        <v>52</v>
      </c>
      <c r="P827" s="3" t="s">
        <v>180</v>
      </c>
      <c r="Q827" s="7">
        <v>0</v>
      </c>
      <c r="R827" s="8">
        <v>45007</v>
      </c>
      <c r="S827" s="8">
        <v>45001</v>
      </c>
      <c r="T827" s="3" t="s">
        <v>54</v>
      </c>
      <c r="U827" s="3" t="s">
        <v>55</v>
      </c>
      <c r="V827" s="9"/>
      <c r="W827" s="10">
        <v>45009</v>
      </c>
      <c r="X827" s="7">
        <v>2</v>
      </c>
      <c r="Y827" s="7">
        <v>6</v>
      </c>
      <c r="Z827" s="7">
        <v>3</v>
      </c>
      <c r="AA827" s="7">
        <f>INT((S827-DATE(YEAR(S827-WEEKDAY(S827-0)+4),1,4)+WEEKDAY(DATE(YEAR(S827-WEEKDAY(S827-0)+4),1,4))+6)/7)</f>
        <v>11</v>
      </c>
      <c r="AB827" s="3" t="s">
        <v>181</v>
      </c>
      <c r="AC827" s="7">
        <v>152</v>
      </c>
      <c r="AD827" s="7">
        <v>0</v>
      </c>
      <c r="AE827" s="7">
        <v>0</v>
      </c>
      <c r="AF827" s="3" t="s">
        <v>48</v>
      </c>
      <c r="AG827" s="7">
        <v>2023</v>
      </c>
      <c r="AH827" s="3" t="s">
        <v>57</v>
      </c>
      <c r="AI827" s="3" t="s">
        <v>48</v>
      </c>
      <c r="AJ827" s="3" t="s">
        <v>48</v>
      </c>
      <c r="AK827" s="3" t="s">
        <v>182</v>
      </c>
      <c r="AL827" s="3" t="s">
        <v>59</v>
      </c>
      <c r="AM827" s="3" t="s">
        <v>60</v>
      </c>
      <c r="AN827" s="3" t="s">
        <v>61</v>
      </c>
      <c r="AO827" s="3" t="s">
        <v>62</v>
      </c>
      <c r="AP827" s="3" t="s">
        <v>69</v>
      </c>
      <c r="AQ827" s="3" t="s">
        <v>61</v>
      </c>
      <c r="AR827" s="3" t="s">
        <v>48</v>
      </c>
    </row>
    <row r="828" spans="1:44" ht="30" customHeight="1">
      <c r="A828" s="3" t="s">
        <v>44</v>
      </c>
      <c r="B828" s="3" t="s">
        <v>45</v>
      </c>
      <c r="C828" s="3" t="s">
        <v>80</v>
      </c>
      <c r="D828" s="3" t="s">
        <v>81</v>
      </c>
      <c r="E828" s="3" t="s">
        <v>48</v>
      </c>
      <c r="F828" s="3" t="s">
        <v>81</v>
      </c>
      <c r="G828" s="3" t="s">
        <v>324</v>
      </c>
      <c r="H828" s="4">
        <f>IF(DATEDIF(L828,S828,"m")&gt;12,DATEDIF(L828,S828,"y"),(DATEDIF(L828,S828,"m")/12))</f>
        <v>11</v>
      </c>
      <c r="I828" s="7">
        <f>DATEDIF(L828,S828,"M")</f>
        <v>140</v>
      </c>
      <c r="J828" s="7">
        <f>DATEDIF(L828,S828,"D")</f>
        <v>4272</v>
      </c>
      <c r="K828" s="3" t="s">
        <v>64</v>
      </c>
      <c r="L828" s="8">
        <v>40715</v>
      </c>
      <c r="M828" s="3" t="s">
        <v>45</v>
      </c>
      <c r="N828" s="3" t="s">
        <v>203</v>
      </c>
      <c r="O828" s="3" t="s">
        <v>52</v>
      </c>
      <c r="P828" s="3" t="s">
        <v>325</v>
      </c>
      <c r="Q828" s="7">
        <v>1</v>
      </c>
      <c r="R828" s="8">
        <v>45008</v>
      </c>
      <c r="S828" s="8">
        <v>44987</v>
      </c>
      <c r="T828" s="3" t="s">
        <v>54</v>
      </c>
      <c r="U828" s="3" t="s">
        <v>55</v>
      </c>
      <c r="V828" s="9"/>
      <c r="W828" s="10">
        <v>45009</v>
      </c>
      <c r="X828" s="7">
        <v>1</v>
      </c>
      <c r="Y828" s="7">
        <v>21</v>
      </c>
      <c r="Z828" s="7">
        <v>3</v>
      </c>
      <c r="AA828" s="7">
        <f>INT((S828-DATE(YEAR(S828-WEEKDAY(S828-0)+4),1,4)+WEEKDAY(DATE(YEAR(S828-WEEKDAY(S828-0)+4),1,4))+6)/7)</f>
        <v>9</v>
      </c>
      <c r="AB828" s="3" t="s">
        <v>326</v>
      </c>
      <c r="AC828" s="7">
        <v>14111</v>
      </c>
      <c r="AD828" s="7">
        <v>0</v>
      </c>
      <c r="AE828" s="7">
        <v>0</v>
      </c>
      <c r="AF828" s="3" t="s">
        <v>48</v>
      </c>
      <c r="AG828" s="7">
        <v>2023</v>
      </c>
      <c r="AH828" s="3" t="s">
        <v>86</v>
      </c>
      <c r="AI828" s="3" t="s">
        <v>48</v>
      </c>
      <c r="AJ828" s="3" t="s">
        <v>48</v>
      </c>
      <c r="AK828" s="12" t="s">
        <v>327</v>
      </c>
      <c r="AL828" s="3" t="s">
        <v>59</v>
      </c>
      <c r="AM828" s="3" t="s">
        <v>60</v>
      </c>
      <c r="AN828" s="3" t="s">
        <v>61</v>
      </c>
      <c r="AO828" s="3" t="s">
        <v>62</v>
      </c>
      <c r="AP828" s="3" t="s">
        <v>69</v>
      </c>
      <c r="AQ828" s="3" t="s">
        <v>61</v>
      </c>
      <c r="AR828" s="3" t="s">
        <v>48</v>
      </c>
    </row>
    <row r="829" spans="1:44" ht="30" customHeight="1">
      <c r="A829" s="3" t="s">
        <v>44</v>
      </c>
      <c r="B829" s="3" t="s">
        <v>45</v>
      </c>
      <c r="C829" s="3" t="s">
        <v>46</v>
      </c>
      <c r="D829" s="3" t="s">
        <v>108</v>
      </c>
      <c r="E829" s="3" t="s">
        <v>48</v>
      </c>
      <c r="F829" s="3" t="s">
        <v>108</v>
      </c>
      <c r="G829" s="3" t="s">
        <v>263</v>
      </c>
      <c r="H829" s="4">
        <f>IF(DATEDIF(L829,S829,"m")&gt;12,DATEDIF(L829,S829,"y"),(DATEDIF(L829,S829,"m")/12))</f>
        <v>1</v>
      </c>
      <c r="I829" s="7">
        <f>DATEDIF(L829,S829,"M")</f>
        <v>21</v>
      </c>
      <c r="J829" s="7">
        <f>DATEDIF(L829,S829,"D")</f>
        <v>664</v>
      </c>
      <c r="K829" s="3" t="s">
        <v>51</v>
      </c>
      <c r="L829" s="8">
        <v>44321</v>
      </c>
      <c r="M829" s="3" t="s">
        <v>45</v>
      </c>
      <c r="N829" s="3" t="s">
        <v>73</v>
      </c>
      <c r="O829" s="3" t="s">
        <v>52</v>
      </c>
      <c r="P829" s="3" t="s">
        <v>264</v>
      </c>
      <c r="Q829" s="7">
        <v>0</v>
      </c>
      <c r="R829" s="8">
        <v>44988</v>
      </c>
      <c r="S829" s="8">
        <v>44985</v>
      </c>
      <c r="T829" s="3" t="s">
        <v>54</v>
      </c>
      <c r="U829" s="3" t="s">
        <v>55</v>
      </c>
      <c r="V829" s="9"/>
      <c r="W829" s="10">
        <v>44991</v>
      </c>
      <c r="X829" s="7">
        <v>3</v>
      </c>
      <c r="Y829" s="7">
        <v>3</v>
      </c>
      <c r="Z829" s="7">
        <v>2</v>
      </c>
      <c r="AA829" s="7">
        <f>INT((S829-DATE(YEAR(S829-WEEKDAY(S829-0)+4),1,4)+WEEKDAY(DATE(YEAR(S829-WEEKDAY(S829-0)+4),1,4))+6)/7)</f>
        <v>9</v>
      </c>
      <c r="AB829" s="3" t="s">
        <v>265</v>
      </c>
      <c r="AC829" s="7">
        <v>330</v>
      </c>
      <c r="AD829" s="7">
        <v>0</v>
      </c>
      <c r="AE829" s="7">
        <v>0</v>
      </c>
      <c r="AF829" s="3" t="s">
        <v>48</v>
      </c>
      <c r="AG829" s="7">
        <v>2023</v>
      </c>
      <c r="AH829" s="3" t="s">
        <v>112</v>
      </c>
      <c r="AI829" s="3" t="s">
        <v>113</v>
      </c>
      <c r="AJ829" s="3" t="s">
        <v>48</v>
      </c>
      <c r="AK829" s="3" t="s">
        <v>199</v>
      </c>
      <c r="AL829" s="3" t="s">
        <v>59</v>
      </c>
      <c r="AM829" s="3" t="s">
        <v>115</v>
      </c>
      <c r="AN829" s="3" t="s">
        <v>61</v>
      </c>
      <c r="AO829" s="3" t="s">
        <v>62</v>
      </c>
      <c r="AP829" s="3" t="s">
        <v>69</v>
      </c>
      <c r="AQ829" s="3" t="s">
        <v>61</v>
      </c>
      <c r="AR829" s="3" t="s">
        <v>48</v>
      </c>
    </row>
    <row r="830" spans="1:44" ht="30" customHeight="1">
      <c r="A830" s="3" t="s">
        <v>44</v>
      </c>
      <c r="B830" s="3" t="s">
        <v>45</v>
      </c>
      <c r="C830" s="3" t="s">
        <v>46</v>
      </c>
      <c r="D830" s="3" t="s">
        <v>47</v>
      </c>
      <c r="E830" s="3" t="s">
        <v>48</v>
      </c>
      <c r="F830" s="3" t="s">
        <v>49</v>
      </c>
      <c r="G830" s="3" t="s">
        <v>707</v>
      </c>
      <c r="H830" s="4">
        <f>IF(DATEDIF(L830,S830,"m")&gt;12,DATEDIF(L830,S830,"y"),(DATEDIF(L830,S830,"m")/12))</f>
        <v>30</v>
      </c>
      <c r="I830" s="7">
        <f>DATEDIF(L830,S830,"M")</f>
        <v>369</v>
      </c>
      <c r="J830" s="7">
        <f>DATEDIF(L830,S830,"D")</f>
        <v>11257</v>
      </c>
      <c r="K830" s="3" t="s">
        <v>64</v>
      </c>
      <c r="L830" s="8">
        <v>33742</v>
      </c>
      <c r="M830" s="3" t="s">
        <v>45</v>
      </c>
      <c r="N830" s="3" t="s">
        <v>49</v>
      </c>
      <c r="O830" s="3" t="s">
        <v>52</v>
      </c>
      <c r="P830" s="3" t="s">
        <v>103</v>
      </c>
      <c r="Q830" s="7">
        <v>0</v>
      </c>
      <c r="R830" s="8">
        <v>45006</v>
      </c>
      <c r="S830" s="8">
        <v>44999</v>
      </c>
      <c r="T830" s="3" t="s">
        <v>54</v>
      </c>
      <c r="U830" s="3" t="s">
        <v>55</v>
      </c>
      <c r="V830" s="9"/>
      <c r="W830" s="10">
        <v>45009</v>
      </c>
      <c r="X830" s="7">
        <v>3</v>
      </c>
      <c r="Y830" s="7">
        <v>0</v>
      </c>
      <c r="Z830" s="7">
        <v>3</v>
      </c>
      <c r="AA830" s="7">
        <f>INT((S830-DATE(YEAR(S830-WEEKDAY(S830-0)+4),1,4)+WEEKDAY(DATE(YEAR(S830-WEEKDAY(S830-0)+4),1,4))+6)/7)</f>
        <v>11</v>
      </c>
      <c r="AB830" s="3" t="s">
        <v>708</v>
      </c>
      <c r="AC830" s="7">
        <v>144</v>
      </c>
      <c r="AD830" s="7">
        <v>0</v>
      </c>
      <c r="AE830" s="7">
        <v>0</v>
      </c>
      <c r="AF830" s="3" t="s">
        <v>48</v>
      </c>
      <c r="AG830" s="7">
        <v>2023</v>
      </c>
      <c r="AH830" s="3" t="s">
        <v>57</v>
      </c>
      <c r="AI830" s="3" t="s">
        <v>48</v>
      </c>
      <c r="AJ830" s="3" t="s">
        <v>48</v>
      </c>
      <c r="AK830" s="3" t="s">
        <v>220</v>
      </c>
      <c r="AL830" s="3" t="s">
        <v>59</v>
      </c>
      <c r="AM830" s="3" t="s">
        <v>60</v>
      </c>
      <c r="AN830" s="3" t="s">
        <v>61</v>
      </c>
      <c r="AO830" s="3" t="s">
        <v>62</v>
      </c>
      <c r="AP830" s="3" t="s">
        <v>69</v>
      </c>
      <c r="AQ830" s="3" t="s">
        <v>61</v>
      </c>
      <c r="AR830" s="3" t="s">
        <v>48</v>
      </c>
    </row>
    <row r="831" spans="1:44" ht="30" customHeight="1">
      <c r="A831" s="3" t="s">
        <v>44</v>
      </c>
      <c r="B831" s="3" t="s">
        <v>45</v>
      </c>
      <c r="C831" s="3" t="s">
        <v>46</v>
      </c>
      <c r="D831" s="3" t="s">
        <v>70</v>
      </c>
      <c r="E831" s="3" t="s">
        <v>48</v>
      </c>
      <c r="F831" s="3" t="s">
        <v>71</v>
      </c>
      <c r="G831" s="3" t="s">
        <v>741</v>
      </c>
      <c r="H831" s="4">
        <f>IF(DATEDIF(L831,S831,"m")&gt;12,DATEDIF(L831,S831,"y"),(DATEDIF(L831,S831,"m")/12))</f>
        <v>61</v>
      </c>
      <c r="I831" s="7">
        <f>DATEDIF(L831,S831,"M")</f>
        <v>743</v>
      </c>
      <c r="J831" s="7">
        <f>DATEDIF(L831,S831,"D")</f>
        <v>22641</v>
      </c>
      <c r="K831" s="3" t="s">
        <v>64</v>
      </c>
      <c r="L831" s="8">
        <v>22366</v>
      </c>
      <c r="M831" s="3" t="s">
        <v>45</v>
      </c>
      <c r="N831" s="3" t="s">
        <v>203</v>
      </c>
      <c r="O831" s="3" t="s">
        <v>52</v>
      </c>
      <c r="P831" s="3" t="s">
        <v>742</v>
      </c>
      <c r="Q831" s="7">
        <v>1</v>
      </c>
      <c r="R831" s="8">
        <v>45008</v>
      </c>
      <c r="S831" s="8">
        <v>45007</v>
      </c>
      <c r="T831" s="3" t="s">
        <v>54</v>
      </c>
      <c r="U831" s="3" t="s">
        <v>55</v>
      </c>
      <c r="V831" s="9"/>
      <c r="W831" s="10">
        <v>45009</v>
      </c>
      <c r="X831" s="7">
        <v>1</v>
      </c>
      <c r="Y831" s="7">
        <v>366</v>
      </c>
      <c r="Z831" s="7">
        <v>3</v>
      </c>
      <c r="AA831" s="7">
        <f>INT((S831-DATE(YEAR(S831-WEEKDAY(S831-0)+4),1,4)+WEEKDAY(DATE(YEAR(S831-WEEKDAY(S831-0)+4),1,4))+6)/7)</f>
        <v>12</v>
      </c>
      <c r="AB831" s="3" t="s">
        <v>743</v>
      </c>
      <c r="AC831" s="7">
        <v>741</v>
      </c>
      <c r="AD831" s="7">
        <v>0</v>
      </c>
      <c r="AE831" s="7">
        <v>1</v>
      </c>
      <c r="AF831" s="3" t="s">
        <v>48</v>
      </c>
      <c r="AG831" s="7">
        <v>2023</v>
      </c>
      <c r="AH831" s="3" t="s">
        <v>532</v>
      </c>
      <c r="AI831" s="3" t="s">
        <v>77</v>
      </c>
      <c r="AJ831" s="3" t="s">
        <v>78</v>
      </c>
      <c r="AK831" s="3" t="s">
        <v>171</v>
      </c>
      <c r="AL831" s="3" t="s">
        <v>59</v>
      </c>
      <c r="AM831" s="3" t="s">
        <v>60</v>
      </c>
      <c r="AN831" s="3" t="s">
        <v>61</v>
      </c>
      <c r="AO831" s="3" t="s">
        <v>62</v>
      </c>
      <c r="AP831" s="3" t="s">
        <v>69</v>
      </c>
      <c r="AQ831" s="3" t="s">
        <v>61</v>
      </c>
      <c r="AR831" s="3" t="s">
        <v>48</v>
      </c>
    </row>
    <row r="832" spans="1:44" ht="30" customHeight="1">
      <c r="A832" s="3" t="s">
        <v>44</v>
      </c>
      <c r="B832" s="3" t="s">
        <v>45</v>
      </c>
      <c r="C832" s="3" t="s">
        <v>46</v>
      </c>
      <c r="D832" s="3" t="s">
        <v>47</v>
      </c>
      <c r="E832" s="3" t="s">
        <v>48</v>
      </c>
      <c r="F832" s="3" t="s">
        <v>49</v>
      </c>
      <c r="G832" s="3" t="s">
        <v>918</v>
      </c>
      <c r="H832" s="4">
        <f>IF(DATEDIF(L832,S832,"m")&gt;12,DATEDIF(L832,S832,"y"),(DATEDIF(L832,S832,"m")/12))</f>
        <v>13</v>
      </c>
      <c r="I832" s="7">
        <f>DATEDIF(L832,S832,"M")</f>
        <v>157</v>
      </c>
      <c r="J832" s="7">
        <f>DATEDIF(L832,S832,"D")</f>
        <v>4777</v>
      </c>
      <c r="K832" s="3" t="s">
        <v>64</v>
      </c>
      <c r="L832" s="8">
        <v>40224</v>
      </c>
      <c r="M832" s="3" t="s">
        <v>45</v>
      </c>
      <c r="N832" s="3" t="s">
        <v>65</v>
      </c>
      <c r="O832" s="3" t="s">
        <v>52</v>
      </c>
      <c r="P832" s="3" t="s">
        <v>84</v>
      </c>
      <c r="Q832" s="7">
        <v>0</v>
      </c>
      <c r="R832" s="8">
        <v>45004</v>
      </c>
      <c r="S832" s="8">
        <v>45001</v>
      </c>
      <c r="T832" s="3" t="s">
        <v>54</v>
      </c>
      <c r="U832" s="3" t="s">
        <v>55</v>
      </c>
      <c r="V832" s="9"/>
      <c r="W832" s="10">
        <v>45009</v>
      </c>
      <c r="X832" s="7">
        <v>5</v>
      </c>
      <c r="Y832" s="7">
        <v>3</v>
      </c>
      <c r="Z832" s="7">
        <v>3</v>
      </c>
      <c r="AA832" s="7">
        <f>INT((S832-DATE(YEAR(S832-WEEKDAY(S832-0)+4),1,4)+WEEKDAY(DATE(YEAR(S832-WEEKDAY(S832-0)+4),1,4))+6)/7)</f>
        <v>11</v>
      </c>
      <c r="AB832" s="3" t="s">
        <v>919</v>
      </c>
      <c r="AC832" s="7">
        <v>141</v>
      </c>
      <c r="AD832" s="7">
        <v>0</v>
      </c>
      <c r="AE832" s="7">
        <v>0</v>
      </c>
      <c r="AF832" s="3" t="s">
        <v>48</v>
      </c>
      <c r="AG832" s="7">
        <v>2023</v>
      </c>
      <c r="AH832" s="3" t="s">
        <v>57</v>
      </c>
      <c r="AI832" s="3" t="s">
        <v>48</v>
      </c>
      <c r="AJ832" s="3" t="s">
        <v>48</v>
      </c>
      <c r="AK832" s="3" t="s">
        <v>182</v>
      </c>
      <c r="AL832" s="3" t="s">
        <v>59</v>
      </c>
      <c r="AM832" s="3" t="s">
        <v>60</v>
      </c>
      <c r="AN832" s="3" t="s">
        <v>61</v>
      </c>
      <c r="AO832" s="3" t="s">
        <v>62</v>
      </c>
      <c r="AP832" s="3" t="s">
        <v>69</v>
      </c>
      <c r="AQ832" s="3" t="s">
        <v>61</v>
      </c>
      <c r="AR832" s="3" t="s">
        <v>48</v>
      </c>
    </row>
    <row r="833" spans="1:44" ht="30" customHeight="1">
      <c r="A833" s="3" t="s">
        <v>44</v>
      </c>
      <c r="B833" s="3" t="s">
        <v>45</v>
      </c>
      <c r="C833" s="3" t="s">
        <v>46</v>
      </c>
      <c r="D833" s="3" t="s">
        <v>47</v>
      </c>
      <c r="E833" s="3" t="s">
        <v>48</v>
      </c>
      <c r="F833" s="3" t="s">
        <v>49</v>
      </c>
      <c r="G833" s="3" t="s">
        <v>979</v>
      </c>
      <c r="H833" s="4">
        <f>IF(DATEDIF(L833,S833,"m")&gt;12,DATEDIF(L833,S833,"y"),(DATEDIF(L833,S833,"m")/12))</f>
        <v>67</v>
      </c>
      <c r="I833" s="7">
        <f>DATEDIF(L833,S833,"M")</f>
        <v>804</v>
      </c>
      <c r="J833" s="7">
        <f>DATEDIF(L833,S833,"D")</f>
        <v>24495</v>
      </c>
      <c r="K833" s="3" t="s">
        <v>64</v>
      </c>
      <c r="L833" s="8">
        <v>20509</v>
      </c>
      <c r="M833" s="3" t="s">
        <v>45</v>
      </c>
      <c r="N833" s="3" t="s">
        <v>65</v>
      </c>
      <c r="O833" s="3" t="s">
        <v>52</v>
      </c>
      <c r="P833" s="3" t="s">
        <v>74</v>
      </c>
      <c r="Q833" s="7">
        <v>0</v>
      </c>
      <c r="R833" s="8">
        <v>45008</v>
      </c>
      <c r="S833" s="8">
        <v>45004</v>
      </c>
      <c r="T833" s="3" t="s">
        <v>54</v>
      </c>
      <c r="U833" s="3" t="s">
        <v>55</v>
      </c>
      <c r="V833" s="9"/>
      <c r="W833" s="10">
        <v>45009</v>
      </c>
      <c r="X833" s="7">
        <v>1</v>
      </c>
      <c r="Y833" s="7">
        <v>4</v>
      </c>
      <c r="Z833" s="7">
        <v>3</v>
      </c>
      <c r="AA833" s="7">
        <f>INT((S833-DATE(YEAR(S833-WEEKDAY(S833-0)+4),1,4)+WEEKDAY(DATE(YEAR(S833-WEEKDAY(S833-0)+4),1,4))+6)/7)</f>
        <v>12</v>
      </c>
      <c r="AB833" s="3" t="s">
        <v>980</v>
      </c>
      <c r="AC833" s="7">
        <v>156</v>
      </c>
      <c r="AD833" s="7">
        <v>0</v>
      </c>
      <c r="AE833" s="7">
        <v>0</v>
      </c>
      <c r="AF833" s="3" t="s">
        <v>48</v>
      </c>
      <c r="AG833" s="7">
        <v>2023</v>
      </c>
      <c r="AH833" s="3" t="s">
        <v>57</v>
      </c>
      <c r="AI833" s="3" t="s">
        <v>48</v>
      </c>
      <c r="AJ833" s="3" t="s">
        <v>48</v>
      </c>
      <c r="AK833" s="3" t="s">
        <v>162</v>
      </c>
      <c r="AL833" s="3" t="s">
        <v>59</v>
      </c>
      <c r="AM833" s="3" t="s">
        <v>60</v>
      </c>
      <c r="AN833" s="3" t="s">
        <v>61</v>
      </c>
      <c r="AO833" s="3" t="s">
        <v>62</v>
      </c>
      <c r="AP833" s="3" t="s">
        <v>69</v>
      </c>
      <c r="AQ833" s="3" t="s">
        <v>61</v>
      </c>
      <c r="AR833" s="3" t="s">
        <v>48</v>
      </c>
    </row>
    <row r="834" spans="1:44" ht="30" customHeight="1">
      <c r="A834" s="3" t="s">
        <v>44</v>
      </c>
      <c r="B834" s="3" t="s">
        <v>45</v>
      </c>
      <c r="C834" s="3" t="s">
        <v>46</v>
      </c>
      <c r="D834" s="3" t="s">
        <v>70</v>
      </c>
      <c r="E834" s="3" t="s">
        <v>48</v>
      </c>
      <c r="F834" s="3" t="s">
        <v>71</v>
      </c>
      <c r="G834" s="3" t="s">
        <v>1036</v>
      </c>
      <c r="H834" s="4">
        <f>IF(DATEDIF(L834,S834,"m")&gt;12,DATEDIF(L834,S834,"y"),(DATEDIF(L834,S834,"m")/12))</f>
        <v>1</v>
      </c>
      <c r="I834" s="7">
        <f>DATEDIF(L834,S834,"M")</f>
        <v>16</v>
      </c>
      <c r="J834" s="7">
        <f>DATEDIF(L834,S834,"D")</f>
        <v>503</v>
      </c>
      <c r="K834" s="3" t="s">
        <v>51</v>
      </c>
      <c r="L834" s="8">
        <v>44504</v>
      </c>
      <c r="M834" s="3" t="s">
        <v>45</v>
      </c>
      <c r="N834" s="3" t="s">
        <v>203</v>
      </c>
      <c r="O834" s="3" t="s">
        <v>52</v>
      </c>
      <c r="P834" s="3" t="s">
        <v>1037</v>
      </c>
      <c r="Q834" s="7">
        <v>1</v>
      </c>
      <c r="R834" s="8">
        <v>45008</v>
      </c>
      <c r="S834" s="8">
        <v>45007</v>
      </c>
      <c r="T834" s="3" t="s">
        <v>54</v>
      </c>
      <c r="U834" s="3" t="s">
        <v>55</v>
      </c>
      <c r="V834" s="9"/>
      <c r="W834" s="10">
        <v>45009</v>
      </c>
      <c r="X834" s="7">
        <v>1</v>
      </c>
      <c r="Y834" s="7">
        <v>1</v>
      </c>
      <c r="Z834" s="7">
        <v>3</v>
      </c>
      <c r="AA834" s="7">
        <f>INT((S834-DATE(YEAR(S834-WEEKDAY(S834-0)+4),1,4)+WEEKDAY(DATE(YEAR(S834-WEEKDAY(S834-0)+4),1,4))+6)/7)</f>
        <v>12</v>
      </c>
      <c r="AB834" s="3" t="s">
        <v>1038</v>
      </c>
      <c r="AC834" s="7">
        <v>740</v>
      </c>
      <c r="AD834" s="7">
        <v>0</v>
      </c>
      <c r="AE834" s="7">
        <v>1</v>
      </c>
      <c r="AF834" s="3" t="s">
        <v>48</v>
      </c>
      <c r="AG834" s="7">
        <v>2023</v>
      </c>
      <c r="AH834" s="3" t="s">
        <v>532</v>
      </c>
      <c r="AI834" s="3" t="s">
        <v>166</v>
      </c>
      <c r="AJ834" s="3" t="s">
        <v>78</v>
      </c>
      <c r="AK834" s="3" t="s">
        <v>1039</v>
      </c>
      <c r="AL834" s="3" t="s">
        <v>59</v>
      </c>
      <c r="AM834" s="3" t="s">
        <v>60</v>
      </c>
      <c r="AN834" s="3" t="s">
        <v>61</v>
      </c>
      <c r="AO834" s="3" t="s">
        <v>62</v>
      </c>
      <c r="AP834" s="3" t="s">
        <v>69</v>
      </c>
      <c r="AQ834" s="3" t="s">
        <v>61</v>
      </c>
      <c r="AR834" s="3" t="s">
        <v>48</v>
      </c>
    </row>
    <row r="835" spans="1:44" ht="30" customHeight="1">
      <c r="A835" s="3" t="s">
        <v>44</v>
      </c>
      <c r="B835" s="3" t="s">
        <v>45</v>
      </c>
      <c r="C835" s="3" t="s">
        <v>46</v>
      </c>
      <c r="D835" s="3" t="s">
        <v>47</v>
      </c>
      <c r="E835" s="3" t="s">
        <v>48</v>
      </c>
      <c r="F835" s="3" t="s">
        <v>49</v>
      </c>
      <c r="G835" s="3" t="s">
        <v>1099</v>
      </c>
      <c r="H835" s="4">
        <f>IF(DATEDIF(L835,S835,"m")&gt;12,DATEDIF(L835,S835,"y"),(DATEDIF(L835,S835,"m")/12))</f>
        <v>18</v>
      </c>
      <c r="I835" s="7">
        <f>DATEDIF(L835,S835,"M")</f>
        <v>217</v>
      </c>
      <c r="J835" s="7">
        <f>DATEDIF(L835,S835,"D")</f>
        <v>6607</v>
      </c>
      <c r="K835" s="3" t="s">
        <v>64</v>
      </c>
      <c r="L835" s="8">
        <v>38389</v>
      </c>
      <c r="M835" s="3" t="s">
        <v>45</v>
      </c>
      <c r="N835" s="3" t="s">
        <v>49</v>
      </c>
      <c r="O835" s="3" t="s">
        <v>52</v>
      </c>
      <c r="P835" s="3" t="s">
        <v>1100</v>
      </c>
      <c r="Q835" s="7">
        <v>0</v>
      </c>
      <c r="R835" s="8">
        <v>45005</v>
      </c>
      <c r="S835" s="8">
        <v>44996</v>
      </c>
      <c r="T835" s="3" t="s">
        <v>54</v>
      </c>
      <c r="U835" s="3" t="s">
        <v>55</v>
      </c>
      <c r="V835" s="9"/>
      <c r="W835" s="10">
        <v>45009</v>
      </c>
      <c r="X835" s="7">
        <v>4</v>
      </c>
      <c r="Y835" s="7">
        <v>9</v>
      </c>
      <c r="Z835" s="7">
        <v>3</v>
      </c>
      <c r="AA835" s="7">
        <f>INT((S835-DATE(YEAR(S835-WEEKDAY(S835-0)+4),1,4)+WEEKDAY(DATE(YEAR(S835-WEEKDAY(S835-0)+4),1,4))+6)/7)</f>
        <v>10</v>
      </c>
      <c r="AB835" s="3" t="s">
        <v>1101</v>
      </c>
      <c r="AC835" s="7">
        <v>142</v>
      </c>
      <c r="AD835" s="7">
        <v>0</v>
      </c>
      <c r="AE835" s="7">
        <v>0</v>
      </c>
      <c r="AF835" s="3" t="s">
        <v>48</v>
      </c>
      <c r="AG835" s="7">
        <v>2023</v>
      </c>
      <c r="AH835" s="3" t="s">
        <v>57</v>
      </c>
      <c r="AI835" s="3" t="s">
        <v>48</v>
      </c>
      <c r="AJ835" s="3" t="s">
        <v>48</v>
      </c>
      <c r="AK835" s="3" t="s">
        <v>58</v>
      </c>
      <c r="AL835" s="3" t="s">
        <v>59</v>
      </c>
      <c r="AM835" s="3" t="s">
        <v>60</v>
      </c>
      <c r="AN835" s="3" t="s">
        <v>61</v>
      </c>
      <c r="AO835" s="3" t="s">
        <v>62</v>
      </c>
      <c r="AP835" s="3" t="s">
        <v>69</v>
      </c>
      <c r="AQ835" s="3" t="s">
        <v>61</v>
      </c>
      <c r="AR835" s="3" t="s">
        <v>48</v>
      </c>
    </row>
    <row r="836" spans="1:44" ht="30" customHeight="1">
      <c r="A836" s="3" t="s">
        <v>44</v>
      </c>
      <c r="B836" s="3" t="s">
        <v>45</v>
      </c>
      <c r="C836" s="3" t="s">
        <v>46</v>
      </c>
      <c r="D836" s="3" t="s">
        <v>70</v>
      </c>
      <c r="E836" s="3" t="s">
        <v>48</v>
      </c>
      <c r="F836" s="3" t="s">
        <v>71</v>
      </c>
      <c r="G836" s="3" t="s">
        <v>1360</v>
      </c>
      <c r="H836" s="4">
        <f>IF(DATEDIF(L836,S836,"m")&gt;12,DATEDIF(L836,S836,"y"),(DATEDIF(L836,S836,"m")/12))</f>
        <v>1</v>
      </c>
      <c r="I836" s="7">
        <f>DATEDIF(L836,S836,"M")</f>
        <v>22</v>
      </c>
      <c r="J836" s="7">
        <f>DATEDIF(L836,S836,"D")</f>
        <v>696</v>
      </c>
      <c r="K836" s="3" t="s">
        <v>51</v>
      </c>
      <c r="L836" s="8">
        <v>44310</v>
      </c>
      <c r="M836" s="3" t="s">
        <v>45</v>
      </c>
      <c r="N836" s="3" t="s">
        <v>83</v>
      </c>
      <c r="O836" s="3" t="s">
        <v>52</v>
      </c>
      <c r="P836" s="3" t="s">
        <v>91</v>
      </c>
      <c r="Q836" s="7">
        <v>1</v>
      </c>
      <c r="R836" s="8">
        <v>45007</v>
      </c>
      <c r="S836" s="8">
        <v>45006</v>
      </c>
      <c r="T836" s="3" t="s">
        <v>54</v>
      </c>
      <c r="U836" s="3" t="s">
        <v>55</v>
      </c>
      <c r="V836" s="9"/>
      <c r="W836" s="10">
        <v>45009</v>
      </c>
      <c r="X836" s="7">
        <v>2</v>
      </c>
      <c r="Y836" s="7">
        <v>1</v>
      </c>
      <c r="Z836" s="7">
        <v>3</v>
      </c>
      <c r="AA836" s="7">
        <f>INT((S836-DATE(YEAR(S836-WEEKDAY(S836-0)+4),1,4)+WEEKDAY(DATE(YEAR(S836-WEEKDAY(S836-0)+4),1,4))+6)/7)</f>
        <v>12</v>
      </c>
      <c r="AB836" s="3" t="s">
        <v>1361</v>
      </c>
      <c r="AC836" s="7">
        <v>739</v>
      </c>
      <c r="AD836" s="7">
        <v>0</v>
      </c>
      <c r="AE836" s="7">
        <v>1</v>
      </c>
      <c r="AF836" s="3" t="s">
        <v>48</v>
      </c>
      <c r="AG836" s="7">
        <v>2023</v>
      </c>
      <c r="AH836" s="3" t="s">
        <v>532</v>
      </c>
      <c r="AI836" s="3" t="s">
        <v>77</v>
      </c>
      <c r="AJ836" s="3" t="s">
        <v>78</v>
      </c>
      <c r="AK836" s="3" t="s">
        <v>87</v>
      </c>
      <c r="AL836" s="3" t="s">
        <v>59</v>
      </c>
      <c r="AM836" s="3" t="s">
        <v>60</v>
      </c>
      <c r="AN836" s="3" t="s">
        <v>61</v>
      </c>
      <c r="AO836" s="3" t="s">
        <v>62</v>
      </c>
      <c r="AP836" s="3" t="s">
        <v>69</v>
      </c>
      <c r="AQ836" s="3" t="s">
        <v>61</v>
      </c>
      <c r="AR836" s="3" t="s">
        <v>48</v>
      </c>
    </row>
    <row r="837" spans="1:44" ht="30" customHeight="1">
      <c r="A837" s="3" t="s">
        <v>44</v>
      </c>
      <c r="B837" s="3" t="s">
        <v>45</v>
      </c>
      <c r="C837" s="3" t="s">
        <v>46</v>
      </c>
      <c r="D837" s="3" t="s">
        <v>47</v>
      </c>
      <c r="E837" s="3" t="s">
        <v>48</v>
      </c>
      <c r="F837" s="3" t="s">
        <v>49</v>
      </c>
      <c r="G837" s="3" t="s">
        <v>1502</v>
      </c>
      <c r="H837" s="4">
        <f>IF(DATEDIF(L837,S837,"m")&gt;12,DATEDIF(L837,S837,"y"),(DATEDIF(L837,S837,"m")/12))</f>
        <v>5</v>
      </c>
      <c r="I837" s="7">
        <f>DATEDIF(L837,S837,"M")</f>
        <v>67</v>
      </c>
      <c r="J837" s="7">
        <f>DATEDIF(L837,S837,"D")</f>
        <v>2056</v>
      </c>
      <c r="K837" s="3" t="s">
        <v>64</v>
      </c>
      <c r="L837" s="8">
        <v>42947</v>
      </c>
      <c r="M837" s="3" t="s">
        <v>45</v>
      </c>
      <c r="N837" s="3" t="s">
        <v>65</v>
      </c>
      <c r="O837" s="3" t="s">
        <v>52</v>
      </c>
      <c r="P837" s="3" t="s">
        <v>1503</v>
      </c>
      <c r="Q837" s="7">
        <v>0</v>
      </c>
      <c r="R837" s="8">
        <v>45007</v>
      </c>
      <c r="S837" s="8">
        <v>45003</v>
      </c>
      <c r="T837" s="3" t="s">
        <v>54</v>
      </c>
      <c r="U837" s="3" t="s">
        <v>55</v>
      </c>
      <c r="V837" s="9"/>
      <c r="W837" s="10">
        <v>45009</v>
      </c>
      <c r="X837" s="7">
        <v>2</v>
      </c>
      <c r="Y837" s="7">
        <v>4</v>
      </c>
      <c r="Z837" s="7">
        <v>3</v>
      </c>
      <c r="AA837" s="7">
        <f>INT((S837-DATE(YEAR(S837-WEEKDAY(S837-0)+4),1,4)+WEEKDAY(DATE(YEAR(S837-WEEKDAY(S837-0)+4),1,4))+6)/7)</f>
        <v>11</v>
      </c>
      <c r="AB837" s="3" t="s">
        <v>1504</v>
      </c>
      <c r="AC837" s="7">
        <v>153</v>
      </c>
      <c r="AD837" s="7">
        <v>0</v>
      </c>
      <c r="AE837" s="7">
        <v>0</v>
      </c>
      <c r="AF837" s="3" t="s">
        <v>48</v>
      </c>
      <c r="AG837" s="7">
        <v>2023</v>
      </c>
      <c r="AH837" s="3" t="s">
        <v>57</v>
      </c>
      <c r="AI837" s="3" t="s">
        <v>48</v>
      </c>
      <c r="AJ837" s="3" t="s">
        <v>48</v>
      </c>
      <c r="AK837" s="3" t="s">
        <v>282</v>
      </c>
      <c r="AL837" s="3" t="s">
        <v>59</v>
      </c>
      <c r="AM837" s="3" t="s">
        <v>60</v>
      </c>
      <c r="AN837" s="3" t="s">
        <v>61</v>
      </c>
      <c r="AO837" s="3" t="s">
        <v>62</v>
      </c>
      <c r="AP837" s="3" t="s">
        <v>69</v>
      </c>
      <c r="AQ837" s="3" t="s">
        <v>61</v>
      </c>
      <c r="AR837" s="3" t="s">
        <v>48</v>
      </c>
    </row>
    <row r="838" spans="1:44" ht="30" customHeight="1">
      <c r="A838" s="3" t="s">
        <v>44</v>
      </c>
      <c r="B838" s="3" t="s">
        <v>45</v>
      </c>
      <c r="C838" s="3" t="s">
        <v>46</v>
      </c>
      <c r="D838" s="3" t="s">
        <v>70</v>
      </c>
      <c r="E838" s="3" t="s">
        <v>48</v>
      </c>
      <c r="F838" s="3" t="s">
        <v>71</v>
      </c>
      <c r="G838" s="3" t="s">
        <v>1531</v>
      </c>
      <c r="H838" s="4">
        <f>IF(DATEDIF(L838,S838,"m")&gt;12,DATEDIF(L838,S838,"y"),(DATEDIF(L838,S838,"m")/12))</f>
        <v>2</v>
      </c>
      <c r="I838" s="7">
        <f>DATEDIF(L838,S838,"M")</f>
        <v>35</v>
      </c>
      <c r="J838" s="7">
        <f>DATEDIF(L838,S838,"D")</f>
        <v>1078</v>
      </c>
      <c r="K838" s="3" t="s">
        <v>51</v>
      </c>
      <c r="L838" s="8">
        <v>43928</v>
      </c>
      <c r="M838" s="3" t="s">
        <v>45</v>
      </c>
      <c r="N838" s="3" t="s">
        <v>83</v>
      </c>
      <c r="O838" s="3" t="s">
        <v>52</v>
      </c>
      <c r="P838" s="3" t="s">
        <v>91</v>
      </c>
      <c r="Q838" s="7">
        <v>1</v>
      </c>
      <c r="R838" s="8">
        <v>45007</v>
      </c>
      <c r="S838" s="8">
        <v>45006</v>
      </c>
      <c r="T838" s="3" t="s">
        <v>54</v>
      </c>
      <c r="U838" s="3" t="s">
        <v>55</v>
      </c>
      <c r="V838" s="9"/>
      <c r="W838" s="10">
        <v>45009</v>
      </c>
      <c r="X838" s="7">
        <v>2</v>
      </c>
      <c r="Y838" s="7">
        <v>1</v>
      </c>
      <c r="Z838" s="7">
        <v>3</v>
      </c>
      <c r="AA838" s="7">
        <f>INT((S838-DATE(YEAR(S838-WEEKDAY(S838-0)+4),1,4)+WEEKDAY(DATE(YEAR(S838-WEEKDAY(S838-0)+4),1,4))+6)/7)</f>
        <v>12</v>
      </c>
      <c r="AB838" s="3" t="s">
        <v>1532</v>
      </c>
      <c r="AC838" s="7">
        <v>738</v>
      </c>
      <c r="AD838" s="7">
        <v>0</v>
      </c>
      <c r="AE838" s="7">
        <v>1</v>
      </c>
      <c r="AF838" s="3" t="s">
        <v>48</v>
      </c>
      <c r="AG838" s="7">
        <v>2023</v>
      </c>
      <c r="AH838" s="3" t="s">
        <v>532</v>
      </c>
      <c r="AI838" s="3" t="s">
        <v>77</v>
      </c>
      <c r="AJ838" s="3" t="s">
        <v>78</v>
      </c>
      <c r="AK838" s="3" t="s">
        <v>87</v>
      </c>
      <c r="AL838" s="3" t="s">
        <v>59</v>
      </c>
      <c r="AM838" s="3" t="s">
        <v>60</v>
      </c>
      <c r="AN838" s="3" t="s">
        <v>61</v>
      </c>
      <c r="AO838" s="3" t="s">
        <v>62</v>
      </c>
      <c r="AP838" s="3" t="s">
        <v>69</v>
      </c>
      <c r="AQ838" s="3" t="s">
        <v>61</v>
      </c>
      <c r="AR838" s="3" t="s">
        <v>48</v>
      </c>
    </row>
    <row r="839" spans="1:44" ht="30" customHeight="1">
      <c r="A839" s="3" t="s">
        <v>44</v>
      </c>
      <c r="B839" s="3" t="s">
        <v>45</v>
      </c>
      <c r="C839" s="3" t="s">
        <v>46</v>
      </c>
      <c r="D839" s="3" t="s">
        <v>47</v>
      </c>
      <c r="E839" s="3" t="s">
        <v>48</v>
      </c>
      <c r="F839" s="3" t="s">
        <v>49</v>
      </c>
      <c r="G839" s="3" t="s">
        <v>1684</v>
      </c>
      <c r="H839" s="4">
        <f>IF(DATEDIF(L839,S839,"m")&gt;12,DATEDIF(L839,S839,"y"),(DATEDIF(L839,S839,"m")/12))</f>
        <v>5</v>
      </c>
      <c r="I839" s="7">
        <f>DATEDIF(L839,S839,"M")</f>
        <v>65</v>
      </c>
      <c r="J839" s="7">
        <f>DATEDIF(L839,S839,"D")</f>
        <v>1979</v>
      </c>
      <c r="K839" s="3" t="s">
        <v>51</v>
      </c>
      <c r="L839" s="21">
        <v>43021</v>
      </c>
      <c r="M839" s="3" t="s">
        <v>45</v>
      </c>
      <c r="N839" s="3" t="s">
        <v>65</v>
      </c>
      <c r="O839" s="3" t="s">
        <v>52</v>
      </c>
      <c r="P839" s="3" t="s">
        <v>1685</v>
      </c>
      <c r="Q839" s="7">
        <v>0</v>
      </c>
      <c r="R839" s="8">
        <v>45006</v>
      </c>
      <c r="S839" s="8">
        <v>45000</v>
      </c>
      <c r="T839" s="3" t="s">
        <v>54</v>
      </c>
      <c r="U839" s="3" t="s">
        <v>55</v>
      </c>
      <c r="V839" s="9"/>
      <c r="W839" s="10">
        <v>45009</v>
      </c>
      <c r="X839" s="7">
        <v>3</v>
      </c>
      <c r="Y839" s="7">
        <v>6</v>
      </c>
      <c r="Z839" s="7">
        <v>3</v>
      </c>
      <c r="AA839" s="7">
        <f>INT((S839-DATE(YEAR(S839-WEEKDAY(S839-0)+4),1,4)+WEEKDAY(DATE(YEAR(S839-WEEKDAY(S839-0)+4),1,4))+6)/7)</f>
        <v>11</v>
      </c>
      <c r="AB839" s="3" t="s">
        <v>1686</v>
      </c>
      <c r="AC839" s="7">
        <v>147</v>
      </c>
      <c r="AD839" s="7">
        <v>0</v>
      </c>
      <c r="AE839" s="7">
        <v>0</v>
      </c>
      <c r="AF839" s="3" t="s">
        <v>48</v>
      </c>
      <c r="AG839" s="7">
        <v>2023</v>
      </c>
      <c r="AH839" s="3" t="s">
        <v>57</v>
      </c>
      <c r="AI839" s="3" t="s">
        <v>48</v>
      </c>
      <c r="AJ839" s="3" t="s">
        <v>48</v>
      </c>
      <c r="AK839" s="3" t="s">
        <v>162</v>
      </c>
      <c r="AL839" s="3" t="s">
        <v>59</v>
      </c>
      <c r="AM839" s="3" t="s">
        <v>60</v>
      </c>
      <c r="AN839" s="3" t="s">
        <v>61</v>
      </c>
      <c r="AO839" s="3" t="s">
        <v>62</v>
      </c>
      <c r="AP839" s="3" t="s">
        <v>69</v>
      </c>
      <c r="AQ839" s="3" t="s">
        <v>61</v>
      </c>
      <c r="AR839" s="3" t="s">
        <v>48</v>
      </c>
    </row>
    <row r="840" spans="1:44" ht="30" customHeight="1">
      <c r="A840" s="3" t="s">
        <v>44</v>
      </c>
      <c r="B840" s="3" t="s">
        <v>45</v>
      </c>
      <c r="C840" s="3" t="s">
        <v>46</v>
      </c>
      <c r="D840" s="3" t="s">
        <v>47</v>
      </c>
      <c r="E840" s="3" t="s">
        <v>48</v>
      </c>
      <c r="F840" s="3" t="s">
        <v>49</v>
      </c>
      <c r="G840" s="3" t="s">
        <v>2007</v>
      </c>
      <c r="H840" s="4">
        <f>IF(DATEDIF(L840,S840,"m")&gt;12,DATEDIF(L840,S840,"y"),(DATEDIF(L840,S840,"m")/12))</f>
        <v>8</v>
      </c>
      <c r="I840" s="7">
        <f>DATEDIF(L840,S840,"M")</f>
        <v>106</v>
      </c>
      <c r="J840" s="7">
        <f>DATEDIF(L840,S840,"D")</f>
        <v>3237</v>
      </c>
      <c r="K840" s="3" t="s">
        <v>51</v>
      </c>
      <c r="L840" s="8">
        <v>41762</v>
      </c>
      <c r="M840" s="3" t="s">
        <v>45</v>
      </c>
      <c r="N840" s="3" t="s">
        <v>49</v>
      </c>
      <c r="O840" s="3" t="s">
        <v>52</v>
      </c>
      <c r="P840" s="3" t="s">
        <v>432</v>
      </c>
      <c r="Q840" s="7">
        <v>0</v>
      </c>
      <c r="R840" s="8">
        <v>45006</v>
      </c>
      <c r="S840" s="8">
        <v>44999</v>
      </c>
      <c r="T840" s="3" t="s">
        <v>54</v>
      </c>
      <c r="U840" s="3" t="s">
        <v>55</v>
      </c>
      <c r="V840" s="9"/>
      <c r="W840" s="10">
        <v>45009</v>
      </c>
      <c r="X840" s="7">
        <v>3</v>
      </c>
      <c r="Y840" s="7">
        <v>7</v>
      </c>
      <c r="Z840" s="7">
        <v>3</v>
      </c>
      <c r="AA840" s="7">
        <f>INT((S840-DATE(YEAR(S840-WEEKDAY(S840-0)+4),1,4)+WEEKDAY(DATE(YEAR(S840-WEEKDAY(S840-0)+4),1,4))+6)/7)</f>
        <v>11</v>
      </c>
      <c r="AB840" s="3" t="s">
        <v>2008</v>
      </c>
      <c r="AC840" s="7">
        <v>145</v>
      </c>
      <c r="AD840" s="7">
        <v>0</v>
      </c>
      <c r="AE840" s="7">
        <v>0</v>
      </c>
      <c r="AF840" s="3" t="s">
        <v>48</v>
      </c>
      <c r="AG840" s="7">
        <v>2023</v>
      </c>
      <c r="AH840" s="3" t="s">
        <v>57</v>
      </c>
      <c r="AI840" s="3" t="s">
        <v>48</v>
      </c>
      <c r="AJ840" s="3" t="s">
        <v>48</v>
      </c>
      <c r="AK840" s="3" t="s">
        <v>813</v>
      </c>
      <c r="AL840" s="3" t="s">
        <v>59</v>
      </c>
      <c r="AM840" s="3" t="s">
        <v>60</v>
      </c>
      <c r="AN840" s="3" t="s">
        <v>61</v>
      </c>
      <c r="AO840" s="3" t="s">
        <v>62</v>
      </c>
      <c r="AP840" s="3" t="s">
        <v>69</v>
      </c>
      <c r="AQ840" s="3" t="s">
        <v>61</v>
      </c>
      <c r="AR840" s="3" t="s">
        <v>48</v>
      </c>
    </row>
    <row r="841" spans="1:44" ht="30" customHeight="1">
      <c r="A841" s="3" t="s">
        <v>44</v>
      </c>
      <c r="B841" s="3" t="s">
        <v>45</v>
      </c>
      <c r="C841" s="3" t="s">
        <v>46</v>
      </c>
      <c r="D841" s="3" t="s">
        <v>108</v>
      </c>
      <c r="E841" s="3" t="s">
        <v>48</v>
      </c>
      <c r="F841" s="3" t="s">
        <v>108</v>
      </c>
      <c r="G841" s="3" t="s">
        <v>1108</v>
      </c>
      <c r="H841" s="4">
        <f>IF(DATEDIF(L841,S841,"m")&gt;12,DATEDIF(L841,S841,"y"),(DATEDIF(L841,S841,"m")/12))</f>
        <v>4</v>
      </c>
      <c r="I841" s="7">
        <f>DATEDIF(L841,S841,"M")</f>
        <v>59</v>
      </c>
      <c r="J841" s="7">
        <f>DATEDIF(L841,S841,"D")</f>
        <v>1801</v>
      </c>
      <c r="K841" s="3" t="s">
        <v>51</v>
      </c>
      <c r="L841" s="8">
        <v>43179</v>
      </c>
      <c r="M841" s="3" t="s">
        <v>45</v>
      </c>
      <c r="N841" s="3" t="s">
        <v>73</v>
      </c>
      <c r="O841" s="3" t="s">
        <v>52</v>
      </c>
      <c r="P841" s="3" t="s">
        <v>291</v>
      </c>
      <c r="Q841" s="7">
        <v>0</v>
      </c>
      <c r="R841" s="8">
        <v>44984</v>
      </c>
      <c r="S841" s="8">
        <v>44980</v>
      </c>
      <c r="T841" s="3" t="s">
        <v>54</v>
      </c>
      <c r="U841" s="3" t="s">
        <v>55</v>
      </c>
      <c r="V841" s="9"/>
      <c r="W841" s="10">
        <v>44991</v>
      </c>
      <c r="X841" s="7">
        <v>7</v>
      </c>
      <c r="Y841" s="7">
        <v>4</v>
      </c>
      <c r="Z841" s="7">
        <v>2</v>
      </c>
      <c r="AA841" s="7">
        <f>INT((S841-DATE(YEAR(S841-WEEKDAY(S841-0)+4),1,4)+WEEKDAY(DATE(YEAR(S841-WEEKDAY(S841-0)+4),1,4))+6)/7)</f>
        <v>8</v>
      </c>
      <c r="AB841" s="3" t="s">
        <v>1109</v>
      </c>
      <c r="AC841" s="7">
        <v>311</v>
      </c>
      <c r="AD841" s="7">
        <v>0</v>
      </c>
      <c r="AE841" s="7">
        <v>0</v>
      </c>
      <c r="AF841" s="3" t="s">
        <v>48</v>
      </c>
      <c r="AG841" s="7">
        <v>2023</v>
      </c>
      <c r="AH841" s="3" t="s">
        <v>112</v>
      </c>
      <c r="AI841" s="3" t="s">
        <v>113</v>
      </c>
      <c r="AJ841" s="3" t="s">
        <v>48</v>
      </c>
      <c r="AK841" s="3" t="s">
        <v>199</v>
      </c>
      <c r="AL841" s="3" t="s">
        <v>59</v>
      </c>
      <c r="AM841" s="3" t="s">
        <v>115</v>
      </c>
      <c r="AN841" s="3" t="s">
        <v>61</v>
      </c>
      <c r="AO841" s="3" t="s">
        <v>62</v>
      </c>
      <c r="AP841" s="3" t="s">
        <v>69</v>
      </c>
      <c r="AQ841" s="3" t="s">
        <v>61</v>
      </c>
      <c r="AR841" s="3" t="s">
        <v>48</v>
      </c>
    </row>
    <row r="842" spans="1:44" ht="30" customHeight="1">
      <c r="A842" s="3" t="s">
        <v>44</v>
      </c>
      <c r="B842" s="3" t="s">
        <v>45</v>
      </c>
      <c r="C842" s="3" t="s">
        <v>46</v>
      </c>
      <c r="D842" s="3" t="s">
        <v>70</v>
      </c>
      <c r="E842" s="3" t="s">
        <v>48</v>
      </c>
      <c r="F842" s="3" t="s">
        <v>71</v>
      </c>
      <c r="G842" s="3" t="s">
        <v>2131</v>
      </c>
      <c r="H842" s="4">
        <f>IF(DATEDIF(L842,S842,"m")&gt;12,DATEDIF(L842,S842,"y"),(DATEDIF(L842,S842,"m")/12))</f>
        <v>2</v>
      </c>
      <c r="I842" s="7">
        <f>DATEDIF(L842,S842,"M")</f>
        <v>32</v>
      </c>
      <c r="J842" s="7">
        <f>DATEDIF(L842,S842,"D")</f>
        <v>987</v>
      </c>
      <c r="K842" s="3" t="s">
        <v>64</v>
      </c>
      <c r="L842" s="8">
        <v>44016</v>
      </c>
      <c r="M842" s="3" t="s">
        <v>45</v>
      </c>
      <c r="N842" s="3" t="s">
        <v>164</v>
      </c>
      <c r="O842" s="3" t="s">
        <v>52</v>
      </c>
      <c r="P842" s="3" t="s">
        <v>156</v>
      </c>
      <c r="Q842" s="7">
        <v>1</v>
      </c>
      <c r="R842" s="8">
        <v>45004</v>
      </c>
      <c r="S842" s="8">
        <v>45003</v>
      </c>
      <c r="T842" s="3" t="s">
        <v>54</v>
      </c>
      <c r="U842" s="3" t="s">
        <v>55</v>
      </c>
      <c r="V842" s="9"/>
      <c r="W842" s="10">
        <v>45009</v>
      </c>
      <c r="X842" s="7">
        <v>5</v>
      </c>
      <c r="Y842" s="7">
        <v>1</v>
      </c>
      <c r="Z842" s="7">
        <v>3</v>
      </c>
      <c r="AA842" s="7">
        <f>INT((S842-DATE(YEAR(S842-WEEKDAY(S842-0)+4),1,4)+WEEKDAY(DATE(YEAR(S842-WEEKDAY(S842-0)+4),1,4))+6)/7)</f>
        <v>11</v>
      </c>
      <c r="AB842" s="3" t="s">
        <v>2132</v>
      </c>
      <c r="AC842" s="7">
        <v>737</v>
      </c>
      <c r="AD842" s="7">
        <v>0</v>
      </c>
      <c r="AE842" s="7">
        <v>1</v>
      </c>
      <c r="AF842" s="3" t="s">
        <v>48</v>
      </c>
      <c r="AG842" s="7">
        <v>2023</v>
      </c>
      <c r="AH842" s="3" t="s">
        <v>532</v>
      </c>
      <c r="AI842" s="3" t="s">
        <v>166</v>
      </c>
      <c r="AJ842" s="3" t="s">
        <v>78</v>
      </c>
      <c r="AK842" s="3" t="s">
        <v>167</v>
      </c>
      <c r="AL842" s="3" t="s">
        <v>59</v>
      </c>
      <c r="AM842" s="3" t="s">
        <v>60</v>
      </c>
      <c r="AN842" s="3" t="s">
        <v>61</v>
      </c>
      <c r="AO842" s="3" t="s">
        <v>62</v>
      </c>
      <c r="AP842" s="3" t="s">
        <v>69</v>
      </c>
      <c r="AQ842" s="3" t="s">
        <v>61</v>
      </c>
      <c r="AR842" s="3" t="s">
        <v>48</v>
      </c>
    </row>
    <row r="843" spans="1:44" ht="30" customHeight="1">
      <c r="A843" s="3" t="s">
        <v>44</v>
      </c>
      <c r="B843" s="3" t="s">
        <v>45</v>
      </c>
      <c r="C843" s="3" t="s">
        <v>46</v>
      </c>
      <c r="D843" s="3" t="s">
        <v>47</v>
      </c>
      <c r="E843" s="3" t="s">
        <v>48</v>
      </c>
      <c r="F843" s="3" t="s">
        <v>49</v>
      </c>
      <c r="G843" s="3" t="s">
        <v>2140</v>
      </c>
      <c r="H843" s="4">
        <f>IF(DATEDIF(L843,S843,"m")&gt;12,DATEDIF(L843,S843,"y"),(DATEDIF(L843,S843,"m")/12))</f>
        <v>2</v>
      </c>
      <c r="I843" s="7">
        <f>DATEDIF(L843,S843,"M")</f>
        <v>26</v>
      </c>
      <c r="J843" s="7">
        <f>DATEDIF(L843,S843,"D")</f>
        <v>817</v>
      </c>
      <c r="K843" s="3" t="s">
        <v>51</v>
      </c>
      <c r="L843" s="8">
        <v>44182</v>
      </c>
      <c r="M843" s="3" t="s">
        <v>45</v>
      </c>
      <c r="N843" s="3" t="s">
        <v>49</v>
      </c>
      <c r="O843" s="3" t="s">
        <v>52</v>
      </c>
      <c r="P843" s="3" t="s">
        <v>1100</v>
      </c>
      <c r="Q843" s="7">
        <v>0</v>
      </c>
      <c r="R843" s="8">
        <v>45006</v>
      </c>
      <c r="S843" s="8">
        <v>44999</v>
      </c>
      <c r="T843" s="3" t="s">
        <v>54</v>
      </c>
      <c r="U843" s="3" t="s">
        <v>55</v>
      </c>
      <c r="V843" s="9"/>
      <c r="W843" s="10">
        <v>45009</v>
      </c>
      <c r="X843" s="7">
        <v>3</v>
      </c>
      <c r="Y843" s="7">
        <v>7</v>
      </c>
      <c r="Z843" s="7">
        <v>3</v>
      </c>
      <c r="AA843" s="7">
        <f>INT((S843-DATE(YEAR(S843-WEEKDAY(S843-0)+4),1,4)+WEEKDAY(DATE(YEAR(S843-WEEKDAY(S843-0)+4),1,4))+6)/7)</f>
        <v>11</v>
      </c>
      <c r="AB843" s="3" t="s">
        <v>2141</v>
      </c>
      <c r="AC843" s="7">
        <v>143</v>
      </c>
      <c r="AD843" s="7">
        <v>0</v>
      </c>
      <c r="AE843" s="7">
        <v>0</v>
      </c>
      <c r="AF843" s="3" t="s">
        <v>48</v>
      </c>
      <c r="AG843" s="7">
        <v>2023</v>
      </c>
      <c r="AH843" s="3" t="s">
        <v>57</v>
      </c>
      <c r="AI843" s="3" t="s">
        <v>48</v>
      </c>
      <c r="AJ843" s="3" t="s">
        <v>48</v>
      </c>
      <c r="AK843" s="3" t="s">
        <v>58</v>
      </c>
      <c r="AL843" s="3" t="s">
        <v>59</v>
      </c>
      <c r="AM843" s="3" t="s">
        <v>60</v>
      </c>
      <c r="AN843" s="3" t="s">
        <v>61</v>
      </c>
      <c r="AO843" s="3" t="s">
        <v>62</v>
      </c>
      <c r="AP843" s="3" t="s">
        <v>69</v>
      </c>
      <c r="AQ843" s="3" t="s">
        <v>61</v>
      </c>
      <c r="AR843" s="3" t="s">
        <v>48</v>
      </c>
    </row>
    <row r="844" spans="1:44" ht="30" customHeight="1">
      <c r="A844" s="3" t="s">
        <v>44</v>
      </c>
      <c r="B844" s="3" t="s">
        <v>45</v>
      </c>
      <c r="C844" s="3" t="s">
        <v>80</v>
      </c>
      <c r="D844" s="3" t="s">
        <v>81</v>
      </c>
      <c r="E844" s="3" t="s">
        <v>48</v>
      </c>
      <c r="F844" s="3" t="s">
        <v>81</v>
      </c>
      <c r="G844" s="3" t="s">
        <v>2155</v>
      </c>
      <c r="H844" s="5">
        <f>IF(DATEDIF(L844,S844,"m")&gt;12,DATEDIF(L844,S844,"y"),(DATEDIF(L844,S844,"m")/12))</f>
        <v>0.25</v>
      </c>
      <c r="I844" s="7">
        <f>DATEDIF(L844,S844,"M")</f>
        <v>3</v>
      </c>
      <c r="J844" s="7">
        <f>DATEDIF(L844,S844,"D")</f>
        <v>97</v>
      </c>
      <c r="K844" s="3" t="s">
        <v>51</v>
      </c>
      <c r="L844" s="8">
        <v>44864</v>
      </c>
      <c r="M844" s="3" t="s">
        <v>45</v>
      </c>
      <c r="N844" s="3" t="s">
        <v>90</v>
      </c>
      <c r="O844" s="3" t="s">
        <v>52</v>
      </c>
      <c r="P844" s="3" t="s">
        <v>176</v>
      </c>
      <c r="Q844" s="7">
        <v>1</v>
      </c>
      <c r="R844" s="8">
        <v>45000</v>
      </c>
      <c r="S844" s="8">
        <v>44961</v>
      </c>
      <c r="T844" s="3" t="s">
        <v>54</v>
      </c>
      <c r="U844" s="3" t="s">
        <v>55</v>
      </c>
      <c r="V844" s="9"/>
      <c r="W844" s="10">
        <v>45009</v>
      </c>
      <c r="X844" s="7">
        <v>9</v>
      </c>
      <c r="Y844" s="7">
        <v>39</v>
      </c>
      <c r="Z844" s="7">
        <v>2</v>
      </c>
      <c r="AA844" s="7">
        <f>INT((S844-DATE(YEAR(S844-WEEKDAY(S844-0)+4),1,4)+WEEKDAY(DATE(YEAR(S844-WEEKDAY(S844-0)+4),1,4))+6)/7)</f>
        <v>5</v>
      </c>
      <c r="AB844" s="3" t="s">
        <v>2156</v>
      </c>
      <c r="AC844" s="7">
        <v>14115</v>
      </c>
      <c r="AD844" s="7">
        <v>0</v>
      </c>
      <c r="AE844" s="7">
        <v>0</v>
      </c>
      <c r="AF844" s="3" t="s">
        <v>48</v>
      </c>
      <c r="AG844" s="7">
        <v>2023</v>
      </c>
      <c r="AH844" s="18" t="s">
        <v>86</v>
      </c>
      <c r="AI844" s="3" t="s">
        <v>48</v>
      </c>
      <c r="AJ844" s="3" t="s">
        <v>48</v>
      </c>
      <c r="AK844" s="3" t="s">
        <v>2157</v>
      </c>
      <c r="AL844" s="3" t="s">
        <v>59</v>
      </c>
      <c r="AM844" s="3" t="s">
        <v>60</v>
      </c>
      <c r="AN844" s="3" t="s">
        <v>69</v>
      </c>
      <c r="AO844" s="3" t="s">
        <v>62</v>
      </c>
      <c r="AP844" s="3" t="s">
        <v>69</v>
      </c>
      <c r="AQ844" s="3" t="s">
        <v>61</v>
      </c>
      <c r="AR844" s="3" t="s">
        <v>48</v>
      </c>
    </row>
    <row r="845" spans="1:44" ht="30" customHeight="1">
      <c r="A845" s="3" t="s">
        <v>44</v>
      </c>
      <c r="B845" s="3" t="s">
        <v>45</v>
      </c>
      <c r="C845" s="3" t="s">
        <v>46</v>
      </c>
      <c r="D845" s="3" t="s">
        <v>47</v>
      </c>
      <c r="E845" s="3" t="s">
        <v>48</v>
      </c>
      <c r="F845" s="3" t="s">
        <v>49</v>
      </c>
      <c r="G845" s="3" t="s">
        <v>2234</v>
      </c>
      <c r="H845" s="4">
        <f>IF(DATEDIF(L845,S845,"m")&gt;12,DATEDIF(L845,S845,"y"),(DATEDIF(L845,S845,"m")/12))</f>
        <v>4</v>
      </c>
      <c r="I845" s="7">
        <f>DATEDIF(L845,S845,"M")</f>
        <v>57</v>
      </c>
      <c r="J845" s="7">
        <f>DATEDIF(L845,S845,"D")</f>
        <v>1741</v>
      </c>
      <c r="K845" s="3" t="s">
        <v>64</v>
      </c>
      <c r="L845" s="8">
        <v>43262</v>
      </c>
      <c r="M845" s="3" t="s">
        <v>45</v>
      </c>
      <c r="N845" s="3" t="s">
        <v>65</v>
      </c>
      <c r="O845" s="3" t="s">
        <v>52</v>
      </c>
      <c r="P845" s="3" t="s">
        <v>658</v>
      </c>
      <c r="Q845" s="7">
        <v>0</v>
      </c>
      <c r="R845" s="8">
        <v>45006</v>
      </c>
      <c r="S845" s="8">
        <v>45003</v>
      </c>
      <c r="T845" s="3" t="s">
        <v>54</v>
      </c>
      <c r="U845" s="3" t="s">
        <v>55</v>
      </c>
      <c r="V845" s="9"/>
      <c r="W845" s="10">
        <v>45009</v>
      </c>
      <c r="X845" s="7">
        <v>3</v>
      </c>
      <c r="Y845" s="7">
        <v>3</v>
      </c>
      <c r="Z845" s="7">
        <v>3</v>
      </c>
      <c r="AA845" s="7">
        <f>INT((S845-DATE(YEAR(S845-WEEKDAY(S845-0)+4),1,4)+WEEKDAY(DATE(YEAR(S845-WEEKDAY(S845-0)+4),1,4))+6)/7)</f>
        <v>11</v>
      </c>
      <c r="AB845" s="3" t="s">
        <v>2235</v>
      </c>
      <c r="AC845" s="7">
        <v>148</v>
      </c>
      <c r="AD845" s="7">
        <v>0</v>
      </c>
      <c r="AE845" s="7">
        <v>0</v>
      </c>
      <c r="AF845" s="3" t="s">
        <v>48</v>
      </c>
      <c r="AG845" s="7">
        <v>2023</v>
      </c>
      <c r="AH845" s="3" t="s">
        <v>57</v>
      </c>
      <c r="AI845" s="3" t="s">
        <v>48</v>
      </c>
      <c r="AJ845" s="3" t="s">
        <v>48</v>
      </c>
      <c r="AK845" s="3" t="s">
        <v>2236</v>
      </c>
      <c r="AL845" s="3" t="s">
        <v>59</v>
      </c>
      <c r="AM845" s="3" t="s">
        <v>60</v>
      </c>
      <c r="AN845" s="3" t="s">
        <v>61</v>
      </c>
      <c r="AO845" s="3" t="s">
        <v>62</v>
      </c>
      <c r="AP845" s="3" t="s">
        <v>69</v>
      </c>
      <c r="AQ845" s="3" t="s">
        <v>61</v>
      </c>
      <c r="AR845" s="3" t="s">
        <v>48</v>
      </c>
    </row>
    <row r="846" spans="1:44" ht="30" customHeight="1">
      <c r="A846" s="3" t="s">
        <v>44</v>
      </c>
      <c r="B846" s="3" t="s">
        <v>45</v>
      </c>
      <c r="C846" s="3" t="s">
        <v>46</v>
      </c>
      <c r="D846" s="3" t="s">
        <v>47</v>
      </c>
      <c r="E846" s="3" t="s">
        <v>48</v>
      </c>
      <c r="F846" s="3" t="s">
        <v>49</v>
      </c>
      <c r="G846" s="3" t="s">
        <v>2237</v>
      </c>
      <c r="H846" s="4">
        <f>IF(DATEDIF(L846,S846,"m")&gt;12,DATEDIF(L846,S846,"y"),(DATEDIF(L846,S846,"m")/12))</f>
        <v>8</v>
      </c>
      <c r="I846" s="7">
        <f>DATEDIF(L846,S846,"M")</f>
        <v>105</v>
      </c>
      <c r="J846" s="7">
        <f>DATEDIF(L846,S846,"D")</f>
        <v>3214</v>
      </c>
      <c r="K846" s="3" t="s">
        <v>51</v>
      </c>
      <c r="L846" s="8">
        <v>41787</v>
      </c>
      <c r="M846" s="3" t="s">
        <v>45</v>
      </c>
      <c r="N846" s="3" t="s">
        <v>49</v>
      </c>
      <c r="O846" s="3" t="s">
        <v>52</v>
      </c>
      <c r="P846" s="3" t="s">
        <v>2238</v>
      </c>
      <c r="Q846" s="7">
        <v>0</v>
      </c>
      <c r="R846" s="8">
        <v>45006</v>
      </c>
      <c r="S846" s="8">
        <v>45001</v>
      </c>
      <c r="T846" s="3" t="s">
        <v>54</v>
      </c>
      <c r="U846" s="3" t="s">
        <v>55</v>
      </c>
      <c r="V846" s="9"/>
      <c r="W846" s="10">
        <v>45009</v>
      </c>
      <c r="X846" s="7">
        <v>3</v>
      </c>
      <c r="Y846" s="7">
        <v>5</v>
      </c>
      <c r="Z846" s="7">
        <v>3</v>
      </c>
      <c r="AA846" s="7">
        <f>INT((S846-DATE(YEAR(S846-WEEKDAY(S846-0)+4),1,4)+WEEKDAY(DATE(YEAR(S846-WEEKDAY(S846-0)+4),1,4))+6)/7)</f>
        <v>11</v>
      </c>
      <c r="AB846" s="3" t="s">
        <v>2239</v>
      </c>
      <c r="AC846" s="7">
        <v>146</v>
      </c>
      <c r="AD846" s="7">
        <v>0</v>
      </c>
      <c r="AE846" s="7">
        <v>0</v>
      </c>
      <c r="AF846" s="3" t="s">
        <v>48</v>
      </c>
      <c r="AG846" s="7">
        <v>2023</v>
      </c>
      <c r="AH846" s="3" t="s">
        <v>57</v>
      </c>
      <c r="AI846" s="3" t="s">
        <v>48</v>
      </c>
      <c r="AJ846" s="3" t="s">
        <v>48</v>
      </c>
      <c r="AK846" s="18" t="s">
        <v>567</v>
      </c>
      <c r="AL846" s="3" t="s">
        <v>59</v>
      </c>
      <c r="AM846" s="3" t="s">
        <v>60</v>
      </c>
      <c r="AN846" s="3" t="s">
        <v>61</v>
      </c>
      <c r="AO846" s="3" t="s">
        <v>62</v>
      </c>
      <c r="AP846" s="3" t="s">
        <v>69</v>
      </c>
      <c r="AQ846" s="3" t="s">
        <v>61</v>
      </c>
      <c r="AR846" s="3" t="s">
        <v>48</v>
      </c>
    </row>
    <row r="847" spans="1:44" ht="30" customHeight="1">
      <c r="A847" s="3" t="s">
        <v>44</v>
      </c>
      <c r="B847" s="3" t="s">
        <v>45</v>
      </c>
      <c r="C847" s="3" t="s">
        <v>80</v>
      </c>
      <c r="D847" s="3" t="s">
        <v>81</v>
      </c>
      <c r="E847" s="3" t="s">
        <v>48</v>
      </c>
      <c r="F847" s="3" t="s">
        <v>81</v>
      </c>
      <c r="G847" s="3" t="s">
        <v>2261</v>
      </c>
      <c r="H847" s="4">
        <f>IF(DATEDIF(L847,S847,"m")&gt;12,DATEDIF(L847,S847,"y"),(DATEDIF(L847,S847,"m")/12))</f>
        <v>43</v>
      </c>
      <c r="I847" s="7">
        <f>DATEDIF(L847,S847,"M")</f>
        <v>526</v>
      </c>
      <c r="J847" s="7">
        <f>DATEDIF(L847,S847,"D")</f>
        <v>16039</v>
      </c>
      <c r="K847" s="3" t="s">
        <v>64</v>
      </c>
      <c r="L847" s="8">
        <v>28959</v>
      </c>
      <c r="M847" s="3" t="s">
        <v>45</v>
      </c>
      <c r="N847" s="3" t="s">
        <v>90</v>
      </c>
      <c r="O847" s="3" t="s">
        <v>52</v>
      </c>
      <c r="P847" s="3" t="s">
        <v>103</v>
      </c>
      <c r="Q847" s="7">
        <v>1</v>
      </c>
      <c r="R847" s="8">
        <v>45001</v>
      </c>
      <c r="S847" s="8">
        <v>44998</v>
      </c>
      <c r="T847" s="3" t="s">
        <v>54</v>
      </c>
      <c r="U847" s="3" t="s">
        <v>55</v>
      </c>
      <c r="V847" s="9"/>
      <c r="W847" s="10">
        <v>45009</v>
      </c>
      <c r="X847" s="7">
        <v>8</v>
      </c>
      <c r="Y847" s="7">
        <v>3</v>
      </c>
      <c r="Z847" s="7">
        <v>3</v>
      </c>
      <c r="AA847" s="7">
        <f>INT((S847-DATE(YEAR(S847-WEEKDAY(S847-0)+4),1,4)+WEEKDAY(DATE(YEAR(S847-WEEKDAY(S847-0)+4),1,4))+6)/7)</f>
        <v>11</v>
      </c>
      <c r="AB847" s="3" t="s">
        <v>2262</v>
      </c>
      <c r="AC847" s="7">
        <v>14113</v>
      </c>
      <c r="AD847" s="7">
        <v>0</v>
      </c>
      <c r="AE847" s="7">
        <v>0</v>
      </c>
      <c r="AF847" s="3" t="s">
        <v>48</v>
      </c>
      <c r="AG847" s="7">
        <v>2023</v>
      </c>
      <c r="AH847" s="3" t="s">
        <v>86</v>
      </c>
      <c r="AI847" s="3" t="s">
        <v>48</v>
      </c>
      <c r="AJ847" s="3" t="s">
        <v>48</v>
      </c>
      <c r="AK847" s="3" t="s">
        <v>1211</v>
      </c>
      <c r="AL847" s="3" t="s">
        <v>59</v>
      </c>
      <c r="AM847" s="3" t="s">
        <v>60</v>
      </c>
      <c r="AN847" s="3" t="s">
        <v>69</v>
      </c>
      <c r="AO847" s="3" t="s">
        <v>62</v>
      </c>
      <c r="AP847" s="3" t="s">
        <v>69</v>
      </c>
      <c r="AQ847" s="3" t="s">
        <v>61</v>
      </c>
      <c r="AR847" s="3" t="s">
        <v>48</v>
      </c>
    </row>
    <row r="848" spans="1:44" ht="30" customHeight="1">
      <c r="A848" s="3" t="s">
        <v>44</v>
      </c>
      <c r="B848" s="3" t="s">
        <v>45</v>
      </c>
      <c r="C848" s="3" t="s">
        <v>46</v>
      </c>
      <c r="D848" s="3" t="s">
        <v>108</v>
      </c>
      <c r="E848" s="3" t="s">
        <v>48</v>
      </c>
      <c r="F848" s="3" t="s">
        <v>108</v>
      </c>
      <c r="G848" s="3" t="s">
        <v>1714</v>
      </c>
      <c r="H848" s="4">
        <f>IF(DATEDIF(L848,S848,"m")&gt;12,DATEDIF(L848,S848,"y"),(DATEDIF(L848,S848,"m")/12))</f>
        <v>1</v>
      </c>
      <c r="I848" s="7">
        <f>DATEDIF(L848,S848,"M")</f>
        <v>14</v>
      </c>
      <c r="J848" s="7">
        <f>DATEDIF(L848,S848,"D")</f>
        <v>443</v>
      </c>
      <c r="K848" s="3" t="s">
        <v>51</v>
      </c>
      <c r="L848" s="8">
        <v>44534</v>
      </c>
      <c r="M848" s="3" t="s">
        <v>45</v>
      </c>
      <c r="N848" s="3" t="s">
        <v>73</v>
      </c>
      <c r="O848" s="3" t="s">
        <v>52</v>
      </c>
      <c r="P848" s="3" t="s">
        <v>237</v>
      </c>
      <c r="Q848" s="7">
        <v>0</v>
      </c>
      <c r="R848" s="8">
        <v>44984</v>
      </c>
      <c r="S848" s="8">
        <v>44977</v>
      </c>
      <c r="T848" s="3" t="s">
        <v>54</v>
      </c>
      <c r="U848" s="3" t="s">
        <v>55</v>
      </c>
      <c r="V848" s="9"/>
      <c r="W848" s="10">
        <v>44991</v>
      </c>
      <c r="X848" s="7">
        <v>7</v>
      </c>
      <c r="Y848" s="7">
        <v>7</v>
      </c>
      <c r="Z848" s="7">
        <v>2</v>
      </c>
      <c r="AA848" s="7">
        <f>INT((S848-DATE(YEAR(S848-WEEKDAY(S848-0)+4),1,4)+WEEKDAY(DATE(YEAR(S848-WEEKDAY(S848-0)+4),1,4))+6)/7)</f>
        <v>8</v>
      </c>
      <c r="AB848" s="3" t="s">
        <v>1715</v>
      </c>
      <c r="AC848" s="7">
        <v>313</v>
      </c>
      <c r="AD848" s="7">
        <v>0</v>
      </c>
      <c r="AE848" s="7">
        <v>0</v>
      </c>
      <c r="AF848" s="3" t="s">
        <v>48</v>
      </c>
      <c r="AG848" s="7">
        <v>2023</v>
      </c>
      <c r="AH848" s="3" t="s">
        <v>112</v>
      </c>
      <c r="AI848" s="3" t="s">
        <v>113</v>
      </c>
      <c r="AJ848" s="3" t="s">
        <v>48</v>
      </c>
      <c r="AK848" s="3" t="s">
        <v>199</v>
      </c>
      <c r="AL848" s="3" t="s">
        <v>59</v>
      </c>
      <c r="AM848" s="3" t="s">
        <v>115</v>
      </c>
      <c r="AN848" s="3" t="s">
        <v>61</v>
      </c>
      <c r="AO848" s="3" t="s">
        <v>62</v>
      </c>
      <c r="AP848" s="3" t="s">
        <v>69</v>
      </c>
      <c r="AQ848" s="3" t="s">
        <v>61</v>
      </c>
      <c r="AR848" s="3" t="s">
        <v>48</v>
      </c>
    </row>
    <row r="849" spans="1:44" ht="30" customHeight="1">
      <c r="A849" s="3" t="s">
        <v>44</v>
      </c>
      <c r="B849" s="3" t="s">
        <v>45</v>
      </c>
      <c r="C849" s="3" t="s">
        <v>46</v>
      </c>
      <c r="D849" s="3" t="s">
        <v>108</v>
      </c>
      <c r="E849" s="3" t="s">
        <v>48</v>
      </c>
      <c r="F849" s="3" t="s">
        <v>108</v>
      </c>
      <c r="G849" s="3" t="s">
        <v>1734</v>
      </c>
      <c r="H849" s="4">
        <f>IF(DATEDIF(L849,S849,"m")&gt;12,DATEDIF(L849,S849,"y"),(DATEDIF(L849,S849,"m")/12))</f>
        <v>14</v>
      </c>
      <c r="I849" s="7">
        <f>DATEDIF(L849,S849,"M")</f>
        <v>173</v>
      </c>
      <c r="J849" s="7">
        <f>DATEDIF(L849,S849,"D")</f>
        <v>5280</v>
      </c>
      <c r="K849" s="3" t="s">
        <v>64</v>
      </c>
      <c r="L849" s="8">
        <v>39703</v>
      </c>
      <c r="M849" s="3" t="s">
        <v>45</v>
      </c>
      <c r="N849" s="3" t="s">
        <v>73</v>
      </c>
      <c r="O849" s="3" t="s">
        <v>52</v>
      </c>
      <c r="P849" s="3" t="s">
        <v>291</v>
      </c>
      <c r="Q849" s="7">
        <v>0</v>
      </c>
      <c r="R849" s="8">
        <v>44985</v>
      </c>
      <c r="S849" s="8">
        <v>44983</v>
      </c>
      <c r="T849" s="3" t="s">
        <v>54</v>
      </c>
      <c r="U849" s="3" t="s">
        <v>55</v>
      </c>
      <c r="V849" s="9"/>
      <c r="W849" s="10">
        <v>44991</v>
      </c>
      <c r="X849" s="7">
        <v>6</v>
      </c>
      <c r="Y849" s="7">
        <v>2</v>
      </c>
      <c r="Z849" s="7">
        <v>2</v>
      </c>
      <c r="AA849" s="7">
        <f>INT((S849-DATE(YEAR(S849-WEEKDAY(S849-0)+4),1,4)+WEEKDAY(DATE(YEAR(S849-WEEKDAY(S849-0)+4),1,4))+6)/7)</f>
        <v>9</v>
      </c>
      <c r="AB849" s="3" t="s">
        <v>1735</v>
      </c>
      <c r="AC849" s="7">
        <v>315</v>
      </c>
      <c r="AD849" s="7">
        <v>0</v>
      </c>
      <c r="AE849" s="7">
        <v>0</v>
      </c>
      <c r="AF849" s="3" t="s">
        <v>48</v>
      </c>
      <c r="AG849" s="7">
        <v>2023</v>
      </c>
      <c r="AH849" s="3" t="s">
        <v>112</v>
      </c>
      <c r="AI849" s="3" t="s">
        <v>113</v>
      </c>
      <c r="AJ849" s="3" t="s">
        <v>48</v>
      </c>
      <c r="AK849" s="3" t="s">
        <v>199</v>
      </c>
      <c r="AL849" s="3" t="s">
        <v>59</v>
      </c>
      <c r="AM849" s="3" t="s">
        <v>115</v>
      </c>
      <c r="AN849" s="3" t="s">
        <v>61</v>
      </c>
      <c r="AO849" s="3" t="s">
        <v>62</v>
      </c>
      <c r="AP849" s="3" t="s">
        <v>69</v>
      </c>
      <c r="AQ849" s="3" t="s">
        <v>61</v>
      </c>
      <c r="AR849" s="3" t="s">
        <v>48</v>
      </c>
    </row>
    <row r="850" spans="1:44" ht="30" customHeight="1">
      <c r="A850" s="3" t="s">
        <v>44</v>
      </c>
      <c r="B850" s="3" t="s">
        <v>45</v>
      </c>
      <c r="C850" s="3" t="s">
        <v>46</v>
      </c>
      <c r="D850" s="3" t="s">
        <v>108</v>
      </c>
      <c r="E850" s="3" t="s">
        <v>48</v>
      </c>
      <c r="F850" s="3" t="s">
        <v>108</v>
      </c>
      <c r="G850" s="3" t="s">
        <v>1844</v>
      </c>
      <c r="H850" s="4">
        <f>IF(DATEDIF(L850,S850,"m")&gt;12,DATEDIF(L850,S850,"y"),(DATEDIF(L850,S850,"m")/12))</f>
        <v>1</v>
      </c>
      <c r="I850" s="7">
        <f>DATEDIF(L850,S850,"M")</f>
        <v>21</v>
      </c>
      <c r="J850" s="7">
        <f>DATEDIF(L850,S850,"D")</f>
        <v>644</v>
      </c>
      <c r="K850" s="3" t="s">
        <v>64</v>
      </c>
      <c r="L850" s="8">
        <v>44337</v>
      </c>
      <c r="M850" s="3" t="s">
        <v>45</v>
      </c>
      <c r="N850" s="3" t="s">
        <v>73</v>
      </c>
      <c r="O850" s="3" t="s">
        <v>52</v>
      </c>
      <c r="P850" s="3" t="s">
        <v>499</v>
      </c>
      <c r="Q850" s="7">
        <v>0</v>
      </c>
      <c r="R850" s="8">
        <v>44988</v>
      </c>
      <c r="S850" s="8">
        <v>44981</v>
      </c>
      <c r="T850" s="3" t="s">
        <v>54</v>
      </c>
      <c r="U850" s="3" t="s">
        <v>55</v>
      </c>
      <c r="V850" s="9"/>
      <c r="W850" s="10">
        <v>44991</v>
      </c>
      <c r="X850" s="7">
        <v>3</v>
      </c>
      <c r="Y850" s="7">
        <v>7</v>
      </c>
      <c r="Z850" s="7">
        <v>2</v>
      </c>
      <c r="AA850" s="7">
        <f>INT((S850-DATE(YEAR(S850-WEEKDAY(S850-0)+4),1,4)+WEEKDAY(DATE(YEAR(S850-WEEKDAY(S850-0)+4),1,4))+6)/7)</f>
        <v>8</v>
      </c>
      <c r="AB850" s="3" t="s">
        <v>1845</v>
      </c>
      <c r="AC850" s="7">
        <v>322</v>
      </c>
      <c r="AD850" s="7">
        <v>0</v>
      </c>
      <c r="AE850" s="7">
        <v>0</v>
      </c>
      <c r="AF850" s="3" t="s">
        <v>48</v>
      </c>
      <c r="AG850" s="7">
        <v>2023</v>
      </c>
      <c r="AH850" s="3" t="s">
        <v>112</v>
      </c>
      <c r="AI850" s="3" t="s">
        <v>113</v>
      </c>
      <c r="AJ850" s="3" t="s">
        <v>48</v>
      </c>
      <c r="AK850" s="3" t="s">
        <v>199</v>
      </c>
      <c r="AL850" s="3" t="s">
        <v>59</v>
      </c>
      <c r="AM850" s="3" t="s">
        <v>115</v>
      </c>
      <c r="AN850" s="3" t="s">
        <v>61</v>
      </c>
      <c r="AO850" s="3" t="s">
        <v>62</v>
      </c>
      <c r="AP850" s="3" t="s">
        <v>69</v>
      </c>
      <c r="AQ850" s="3" t="s">
        <v>61</v>
      </c>
      <c r="AR850" s="3" t="s">
        <v>48</v>
      </c>
    </row>
    <row r="851" spans="1:44" ht="30" customHeight="1">
      <c r="A851" s="3" t="s">
        <v>44</v>
      </c>
      <c r="B851" s="3" t="s">
        <v>45</v>
      </c>
      <c r="C851" s="3" t="s">
        <v>46</v>
      </c>
      <c r="D851" s="3" t="s">
        <v>108</v>
      </c>
      <c r="E851" s="3" t="s">
        <v>48</v>
      </c>
      <c r="F851" s="3" t="s">
        <v>108</v>
      </c>
      <c r="G851" s="3" t="s">
        <v>2160</v>
      </c>
      <c r="H851" s="4">
        <f>IF(DATEDIF(L851,S851,"m")&gt;12,DATEDIF(L851,S851,"y"),(DATEDIF(L851,S851,"m")/12))</f>
        <v>5</v>
      </c>
      <c r="I851" s="7">
        <f>DATEDIF(L851,S851,"M")</f>
        <v>65</v>
      </c>
      <c r="J851" s="7">
        <f>DATEDIF(L851,S851,"D")</f>
        <v>1985</v>
      </c>
      <c r="K851" s="3" t="s">
        <v>51</v>
      </c>
      <c r="L851" s="8">
        <v>42992</v>
      </c>
      <c r="M851" s="3" t="s">
        <v>45</v>
      </c>
      <c r="N851" s="3" t="s">
        <v>73</v>
      </c>
      <c r="O851" s="3" t="s">
        <v>52</v>
      </c>
      <c r="P851" s="3" t="s">
        <v>137</v>
      </c>
      <c r="Q851" s="7">
        <v>0</v>
      </c>
      <c r="R851" s="8">
        <v>44980</v>
      </c>
      <c r="S851" s="8">
        <v>44977</v>
      </c>
      <c r="T851" s="3" t="s">
        <v>54</v>
      </c>
      <c r="U851" s="3" t="s">
        <v>55</v>
      </c>
      <c r="V851" s="9"/>
      <c r="W851" s="10">
        <v>44991</v>
      </c>
      <c r="X851" s="7">
        <v>11</v>
      </c>
      <c r="Y851" s="7">
        <v>3</v>
      </c>
      <c r="Z851" s="7">
        <v>2</v>
      </c>
      <c r="AA851" s="7">
        <f>INT((S851-DATE(YEAR(S851-WEEKDAY(S851-0)+4),1,4)+WEEKDAY(DATE(YEAR(S851-WEEKDAY(S851-0)+4),1,4))+6)/7)</f>
        <v>8</v>
      </c>
      <c r="AB851" s="3" t="s">
        <v>2161</v>
      </c>
      <c r="AC851" s="7">
        <v>307</v>
      </c>
      <c r="AD851" s="7">
        <v>0</v>
      </c>
      <c r="AE851" s="7">
        <v>0</v>
      </c>
      <c r="AF851" s="3" t="s">
        <v>48</v>
      </c>
      <c r="AG851" s="7">
        <v>2023</v>
      </c>
      <c r="AH851" s="3" t="s">
        <v>112</v>
      </c>
      <c r="AI851" s="3" t="s">
        <v>113</v>
      </c>
      <c r="AJ851" s="3" t="s">
        <v>48</v>
      </c>
      <c r="AK851" s="3" t="s">
        <v>199</v>
      </c>
      <c r="AL851" s="3" t="s">
        <v>59</v>
      </c>
      <c r="AM851" s="3" t="s">
        <v>115</v>
      </c>
      <c r="AN851" s="3" t="s">
        <v>61</v>
      </c>
      <c r="AO851" s="3" t="s">
        <v>62</v>
      </c>
      <c r="AP851" s="3" t="s">
        <v>69</v>
      </c>
      <c r="AQ851" s="3" t="s">
        <v>61</v>
      </c>
      <c r="AR851" s="3" t="s">
        <v>48</v>
      </c>
    </row>
    <row r="852" spans="1:44" ht="30" customHeight="1">
      <c r="A852" s="3" t="s">
        <v>44</v>
      </c>
      <c r="B852" s="3" t="s">
        <v>45</v>
      </c>
      <c r="C852" s="3" t="s">
        <v>46</v>
      </c>
      <c r="D852" s="3" t="s">
        <v>186</v>
      </c>
      <c r="E852" s="3" t="s">
        <v>48</v>
      </c>
      <c r="F852" s="3" t="s">
        <v>271</v>
      </c>
      <c r="G852" s="3" t="s">
        <v>610</v>
      </c>
      <c r="H852" s="5">
        <f>IF(DATEDIF(L852,S852,"m")&gt;12,DATEDIF(L852,S852,"y"),(DATEDIF(L852,S852,"m")/12))</f>
        <v>0.41666666666666669</v>
      </c>
      <c r="I852" s="7">
        <f>DATEDIF(L852,S852,"M")</f>
        <v>5</v>
      </c>
      <c r="J852" s="7">
        <f>DATEDIF(L852,S852,"D")</f>
        <v>163</v>
      </c>
      <c r="K852" s="3" t="s">
        <v>51</v>
      </c>
      <c r="L852" s="8">
        <v>44836</v>
      </c>
      <c r="M852" s="3" t="s">
        <v>45</v>
      </c>
      <c r="N852" s="3" t="s">
        <v>187</v>
      </c>
      <c r="O852" s="3" t="s">
        <v>52</v>
      </c>
      <c r="P852" s="3" t="s">
        <v>298</v>
      </c>
      <c r="Q852" s="7">
        <v>0</v>
      </c>
      <c r="R852" s="8">
        <v>45006</v>
      </c>
      <c r="S852" s="8">
        <v>44999</v>
      </c>
      <c r="T852" s="3" t="s">
        <v>54</v>
      </c>
      <c r="U852" s="3" t="s">
        <v>55</v>
      </c>
      <c r="V852" s="9"/>
      <c r="W852" s="10">
        <v>45012</v>
      </c>
      <c r="X852" s="7">
        <v>6</v>
      </c>
      <c r="Y852" s="7">
        <v>7</v>
      </c>
      <c r="Z852" s="7">
        <v>3</v>
      </c>
      <c r="AA852" s="7">
        <f>INT((S852-DATE(YEAR(S852-WEEKDAY(S852-0)+4),1,4)+WEEKDAY(DATE(YEAR(S852-WEEKDAY(S852-0)+4),1,4))+6)/7)</f>
        <v>11</v>
      </c>
      <c r="AB852" s="3" t="s">
        <v>611</v>
      </c>
      <c r="AC852" s="7">
        <v>138</v>
      </c>
      <c r="AD852" s="7">
        <v>0</v>
      </c>
      <c r="AE852" s="7">
        <v>0</v>
      </c>
      <c r="AF852" s="3" t="s">
        <v>48</v>
      </c>
      <c r="AG852" s="7">
        <v>2023</v>
      </c>
      <c r="AH852" s="3" t="s">
        <v>276</v>
      </c>
      <c r="AI852" s="3" t="s">
        <v>191</v>
      </c>
      <c r="AJ852" s="3" t="s">
        <v>186</v>
      </c>
      <c r="AK852" s="3" t="s">
        <v>612</v>
      </c>
      <c r="AL852" s="3" t="s">
        <v>59</v>
      </c>
      <c r="AM852" s="3" t="s">
        <v>60</v>
      </c>
      <c r="AN852" s="3" t="s">
        <v>61</v>
      </c>
      <c r="AO852" s="3" t="s">
        <v>62</v>
      </c>
      <c r="AP852" s="3" t="s">
        <v>69</v>
      </c>
      <c r="AQ852" s="3" t="s">
        <v>61</v>
      </c>
      <c r="AR852" s="3" t="s">
        <v>48</v>
      </c>
    </row>
    <row r="853" spans="1:44" ht="30" customHeight="1">
      <c r="A853" s="3" t="s">
        <v>44</v>
      </c>
      <c r="B853" s="3" t="s">
        <v>45</v>
      </c>
      <c r="C853" s="3" t="s">
        <v>46</v>
      </c>
      <c r="D853" s="3" t="s">
        <v>186</v>
      </c>
      <c r="E853" s="3" t="s">
        <v>48</v>
      </c>
      <c r="F853" s="3" t="s">
        <v>271</v>
      </c>
      <c r="G853" s="3" t="s">
        <v>657</v>
      </c>
      <c r="H853" s="4">
        <f>IF(DATEDIF(L853,S853,"m")&gt;12,DATEDIF(L853,S853,"y"),(DATEDIF(L853,S853,"m")/12))</f>
        <v>24</v>
      </c>
      <c r="I853" s="7">
        <f>DATEDIF(L853,S853,"M")</f>
        <v>298</v>
      </c>
      <c r="J853" s="7">
        <f>DATEDIF(L853,S853,"D")</f>
        <v>9081</v>
      </c>
      <c r="K853" s="3" t="s">
        <v>64</v>
      </c>
      <c r="L853" s="8">
        <v>35923</v>
      </c>
      <c r="M853" s="3" t="s">
        <v>45</v>
      </c>
      <c r="N853" s="3" t="s">
        <v>187</v>
      </c>
      <c r="O853" s="3" t="s">
        <v>52</v>
      </c>
      <c r="P853" s="3" t="s">
        <v>658</v>
      </c>
      <c r="Q853" s="7">
        <v>0</v>
      </c>
      <c r="R853" s="8">
        <v>45006</v>
      </c>
      <c r="S853" s="8">
        <v>45004</v>
      </c>
      <c r="T853" s="3" t="s">
        <v>54</v>
      </c>
      <c r="U853" s="3" t="s">
        <v>55</v>
      </c>
      <c r="V853" s="9"/>
      <c r="W853" s="10">
        <v>45012</v>
      </c>
      <c r="X853" s="7">
        <v>6</v>
      </c>
      <c r="Y853" s="7">
        <v>2</v>
      </c>
      <c r="Z853" s="7">
        <v>3</v>
      </c>
      <c r="AA853" s="7">
        <f>INT((S853-DATE(YEAR(S853-WEEKDAY(S853-0)+4),1,4)+WEEKDAY(DATE(YEAR(S853-WEEKDAY(S853-0)+4),1,4))+6)/7)</f>
        <v>12</v>
      </c>
      <c r="AB853" s="3" t="s">
        <v>659</v>
      </c>
      <c r="AC853" s="7">
        <v>140</v>
      </c>
      <c r="AD853" s="7">
        <v>0</v>
      </c>
      <c r="AE853" s="7">
        <v>0</v>
      </c>
      <c r="AF853" s="3" t="s">
        <v>48</v>
      </c>
      <c r="AG853" s="7">
        <v>2023</v>
      </c>
      <c r="AH853" s="3" t="s">
        <v>276</v>
      </c>
      <c r="AI853" s="3" t="s">
        <v>191</v>
      </c>
      <c r="AJ853" s="3" t="s">
        <v>186</v>
      </c>
      <c r="AK853" s="3" t="s">
        <v>192</v>
      </c>
      <c r="AL853" s="3" t="s">
        <v>59</v>
      </c>
      <c r="AM853" s="3" t="s">
        <v>60</v>
      </c>
      <c r="AN853" s="3" t="s">
        <v>61</v>
      </c>
      <c r="AO853" s="3" t="s">
        <v>62</v>
      </c>
      <c r="AP853" s="3" t="s">
        <v>69</v>
      </c>
      <c r="AQ853" s="3" t="s">
        <v>61</v>
      </c>
      <c r="AR853" s="3" t="s">
        <v>48</v>
      </c>
    </row>
    <row r="854" spans="1:44" ht="30" customHeight="1">
      <c r="A854" s="3" t="s">
        <v>44</v>
      </c>
      <c r="B854" s="3" t="s">
        <v>45</v>
      </c>
      <c r="C854" s="3" t="s">
        <v>46</v>
      </c>
      <c r="D854" s="3" t="s">
        <v>108</v>
      </c>
      <c r="E854" s="3" t="s">
        <v>48</v>
      </c>
      <c r="F854" s="3" t="s">
        <v>108</v>
      </c>
      <c r="G854" s="3" t="s">
        <v>2411</v>
      </c>
      <c r="H854" s="4">
        <f>IF(DATEDIF(L854,S854,"m")&gt;12,DATEDIF(L854,S854,"y"),(DATEDIF(L854,S854,"m")/12))</f>
        <v>4</v>
      </c>
      <c r="I854" s="7">
        <f>DATEDIF(L854,S854,"M")</f>
        <v>50</v>
      </c>
      <c r="J854" s="7">
        <f>DATEDIF(L854,S854,"D")</f>
        <v>1548</v>
      </c>
      <c r="K854" s="3" t="s">
        <v>51</v>
      </c>
      <c r="L854" s="8">
        <v>43438</v>
      </c>
      <c r="M854" s="3" t="s">
        <v>45</v>
      </c>
      <c r="N854" s="3" t="s">
        <v>73</v>
      </c>
      <c r="O854" s="3" t="s">
        <v>52</v>
      </c>
      <c r="P854" s="3" t="s">
        <v>499</v>
      </c>
      <c r="Q854" s="7">
        <v>0</v>
      </c>
      <c r="R854" s="8">
        <v>44988</v>
      </c>
      <c r="S854" s="8">
        <v>44986</v>
      </c>
      <c r="T854" s="3" t="s">
        <v>54</v>
      </c>
      <c r="U854" s="3" t="s">
        <v>55</v>
      </c>
      <c r="V854" s="9"/>
      <c r="W854" s="10">
        <v>44991</v>
      </c>
      <c r="X854" s="7">
        <v>3</v>
      </c>
      <c r="Y854" s="7">
        <v>2</v>
      </c>
      <c r="Z854" s="7">
        <v>3</v>
      </c>
      <c r="AA854" s="7">
        <f>INT((S854-DATE(YEAR(S854-WEEKDAY(S854-0)+4),1,4)+WEEKDAY(DATE(YEAR(S854-WEEKDAY(S854-0)+4),1,4))+6)/7)</f>
        <v>9</v>
      </c>
      <c r="AB854" s="3" t="s">
        <v>2412</v>
      </c>
      <c r="AC854" s="7">
        <v>328</v>
      </c>
      <c r="AD854" s="7">
        <v>0</v>
      </c>
      <c r="AE854" s="7">
        <v>0</v>
      </c>
      <c r="AF854" s="3" t="s">
        <v>48</v>
      </c>
      <c r="AG854" s="7">
        <v>2023</v>
      </c>
      <c r="AH854" s="3" t="s">
        <v>112</v>
      </c>
      <c r="AI854" s="3" t="s">
        <v>113</v>
      </c>
      <c r="AJ854" s="3" t="s">
        <v>48</v>
      </c>
      <c r="AK854" s="3" t="s">
        <v>199</v>
      </c>
      <c r="AL854" s="3" t="s">
        <v>59</v>
      </c>
      <c r="AM854" s="3" t="s">
        <v>115</v>
      </c>
      <c r="AN854" s="3" t="s">
        <v>61</v>
      </c>
      <c r="AO854" s="3" t="s">
        <v>62</v>
      </c>
      <c r="AP854" s="3" t="s">
        <v>69</v>
      </c>
      <c r="AQ854" s="3" t="s">
        <v>61</v>
      </c>
      <c r="AR854" s="3" t="s">
        <v>48</v>
      </c>
    </row>
    <row r="855" spans="1:44" ht="30" customHeight="1">
      <c r="A855" s="3" t="s">
        <v>44</v>
      </c>
      <c r="B855" s="3" t="s">
        <v>45</v>
      </c>
      <c r="C855" s="3" t="s">
        <v>46</v>
      </c>
      <c r="D855" s="3" t="s">
        <v>47</v>
      </c>
      <c r="E855" s="3" t="s">
        <v>48</v>
      </c>
      <c r="F855" s="3" t="s">
        <v>49</v>
      </c>
      <c r="G855" s="3" t="s">
        <v>1516</v>
      </c>
      <c r="H855" s="4">
        <f>IF(DATEDIF(L855,S855,"m")&gt;12,DATEDIF(L855,S855,"y"),(DATEDIF(L855,S855,"m")/12))</f>
        <v>6</v>
      </c>
      <c r="I855" s="7">
        <f>DATEDIF(L855,S855,"M")</f>
        <v>79</v>
      </c>
      <c r="J855" s="7">
        <f>DATEDIF(L855,S855,"D")</f>
        <v>2415</v>
      </c>
      <c r="K855" s="3" t="s">
        <v>51</v>
      </c>
      <c r="L855" s="8">
        <v>42566</v>
      </c>
      <c r="M855" s="3" t="s">
        <v>45</v>
      </c>
      <c r="N855" s="3" t="s">
        <v>73</v>
      </c>
      <c r="O855" s="3" t="s">
        <v>52</v>
      </c>
      <c r="P855" s="3" t="s">
        <v>761</v>
      </c>
      <c r="Q855" s="7">
        <v>0</v>
      </c>
      <c r="R855" s="8">
        <v>44990</v>
      </c>
      <c r="S855" s="8">
        <v>44981</v>
      </c>
      <c r="T855" s="3" t="s">
        <v>54</v>
      </c>
      <c r="U855" s="3" t="s">
        <v>55</v>
      </c>
      <c r="V855" s="9"/>
      <c r="W855" s="10">
        <v>44994</v>
      </c>
      <c r="X855" s="7">
        <v>4</v>
      </c>
      <c r="Y855" s="7">
        <v>9</v>
      </c>
      <c r="Z855" s="7">
        <v>2</v>
      </c>
      <c r="AA855" s="7">
        <f>INT((S855-DATE(YEAR(S855-WEEKDAY(S855-0)+4),1,4)+WEEKDAY(DATE(YEAR(S855-WEEKDAY(S855-0)+4),1,4))+6)/7)</f>
        <v>8</v>
      </c>
      <c r="AB855" s="3" t="s">
        <v>1517</v>
      </c>
      <c r="AC855" s="7">
        <v>86</v>
      </c>
      <c r="AD855" s="7">
        <v>0</v>
      </c>
      <c r="AE855" s="7">
        <v>0</v>
      </c>
      <c r="AF855" s="3" t="s">
        <v>48</v>
      </c>
      <c r="AG855" s="7">
        <v>2023</v>
      </c>
      <c r="AH855" s="3" t="s">
        <v>57</v>
      </c>
      <c r="AI855" s="3" t="s">
        <v>48</v>
      </c>
      <c r="AJ855" s="3" t="s">
        <v>48</v>
      </c>
      <c r="AK855" s="3" t="s">
        <v>199</v>
      </c>
      <c r="AL855" s="3" t="s">
        <v>59</v>
      </c>
      <c r="AM855" s="3" t="s">
        <v>60</v>
      </c>
      <c r="AN855" s="3" t="s">
        <v>61</v>
      </c>
      <c r="AO855" s="3" t="s">
        <v>62</v>
      </c>
      <c r="AP855" s="3" t="s">
        <v>69</v>
      </c>
      <c r="AQ855" s="3" t="s">
        <v>61</v>
      </c>
      <c r="AR855" s="3" t="s">
        <v>48</v>
      </c>
    </row>
    <row r="856" spans="1:44" ht="30" customHeight="1">
      <c r="A856" s="3" t="s">
        <v>44</v>
      </c>
      <c r="B856" s="3" t="s">
        <v>45</v>
      </c>
      <c r="C856" s="3" t="s">
        <v>46</v>
      </c>
      <c r="D856" s="3" t="s">
        <v>186</v>
      </c>
      <c r="E856" s="3" t="s">
        <v>48</v>
      </c>
      <c r="F856" s="3" t="s">
        <v>271</v>
      </c>
      <c r="G856" s="3" t="s">
        <v>833</v>
      </c>
      <c r="H856" s="4">
        <f>IF(DATEDIF(L856,S856,"m")&gt;12,DATEDIF(L856,S856,"y"),(DATEDIF(L856,S856,"m")/12))</f>
        <v>2</v>
      </c>
      <c r="I856" s="7">
        <f>DATEDIF(L856,S856,"M")</f>
        <v>30</v>
      </c>
      <c r="J856" s="7">
        <f>DATEDIF(L856,S856,"D")</f>
        <v>920</v>
      </c>
      <c r="K856" s="3" t="s">
        <v>51</v>
      </c>
      <c r="L856" s="8">
        <v>44085</v>
      </c>
      <c r="M856" s="3" t="s">
        <v>45</v>
      </c>
      <c r="N856" s="3" t="s">
        <v>187</v>
      </c>
      <c r="O856" s="3" t="s">
        <v>52</v>
      </c>
      <c r="P856" s="3" t="s">
        <v>834</v>
      </c>
      <c r="Q856" s="7">
        <v>0</v>
      </c>
      <c r="R856" s="8">
        <v>45006</v>
      </c>
      <c r="S856" s="8">
        <v>45005</v>
      </c>
      <c r="T856" s="3" t="s">
        <v>54</v>
      </c>
      <c r="U856" s="3" t="s">
        <v>55</v>
      </c>
      <c r="V856" s="9"/>
      <c r="W856" s="10">
        <v>45012</v>
      </c>
      <c r="X856" s="7">
        <v>6</v>
      </c>
      <c r="Y856" s="7">
        <v>1</v>
      </c>
      <c r="Z856" s="7">
        <v>3</v>
      </c>
      <c r="AA856" s="7">
        <f>INT((S856-DATE(YEAR(S856-WEEKDAY(S856-0)+4),1,4)+WEEKDAY(DATE(YEAR(S856-WEEKDAY(S856-0)+4),1,4))+6)/7)</f>
        <v>12</v>
      </c>
      <c r="AB856" s="3" t="s">
        <v>835</v>
      </c>
      <c r="AC856" s="7">
        <v>135</v>
      </c>
      <c r="AD856" s="7">
        <v>0</v>
      </c>
      <c r="AE856" s="7">
        <v>0</v>
      </c>
      <c r="AF856" s="3" t="s">
        <v>48</v>
      </c>
      <c r="AG856" s="7">
        <v>2023</v>
      </c>
      <c r="AH856" s="3" t="s">
        <v>276</v>
      </c>
      <c r="AI856" s="3" t="s">
        <v>191</v>
      </c>
      <c r="AJ856" s="3" t="s">
        <v>186</v>
      </c>
      <c r="AK856" s="3" t="s">
        <v>192</v>
      </c>
      <c r="AL856" s="3" t="s">
        <v>59</v>
      </c>
      <c r="AM856" s="3" t="s">
        <v>60</v>
      </c>
      <c r="AN856" s="3" t="s">
        <v>61</v>
      </c>
      <c r="AO856" s="3" t="s">
        <v>62</v>
      </c>
      <c r="AP856" s="3" t="s">
        <v>69</v>
      </c>
      <c r="AQ856" s="3" t="s">
        <v>61</v>
      </c>
      <c r="AR856" s="3" t="s">
        <v>48</v>
      </c>
    </row>
    <row r="857" spans="1:44" ht="30" customHeight="1">
      <c r="A857" s="3" t="s">
        <v>44</v>
      </c>
      <c r="B857" s="3" t="s">
        <v>45</v>
      </c>
      <c r="C857" s="3" t="s">
        <v>46</v>
      </c>
      <c r="D857" s="3" t="s">
        <v>47</v>
      </c>
      <c r="E857" s="3" t="s">
        <v>48</v>
      </c>
      <c r="F857" s="3" t="s">
        <v>49</v>
      </c>
      <c r="G857" s="3" t="s">
        <v>1480</v>
      </c>
      <c r="H857" s="4">
        <f>IF(DATEDIF(L857,S857,"m")&gt;12,DATEDIF(L857,S857,"y"),(DATEDIF(L857,S857,"m")/12))</f>
        <v>1</v>
      </c>
      <c r="I857" s="7">
        <f>DATEDIF(L857,S857,"M")</f>
        <v>18</v>
      </c>
      <c r="J857" s="7">
        <f>DATEDIF(L857,S857,"D")</f>
        <v>550</v>
      </c>
      <c r="K857" s="3" t="s">
        <v>64</v>
      </c>
      <c r="L857" s="8">
        <v>44436</v>
      </c>
      <c r="M857" s="3" t="s">
        <v>45</v>
      </c>
      <c r="N857" s="3" t="s">
        <v>73</v>
      </c>
      <c r="O857" s="3" t="s">
        <v>52</v>
      </c>
      <c r="P857" s="3" t="s">
        <v>1481</v>
      </c>
      <c r="Q857" s="7">
        <v>0</v>
      </c>
      <c r="R857" s="8">
        <v>44993</v>
      </c>
      <c r="S857" s="8">
        <v>44986</v>
      </c>
      <c r="T857" s="3" t="s">
        <v>54</v>
      </c>
      <c r="U857" s="3" t="s">
        <v>55</v>
      </c>
      <c r="V857" s="9"/>
      <c r="W857" s="10">
        <v>44995</v>
      </c>
      <c r="X857" s="7">
        <v>2</v>
      </c>
      <c r="Y857" s="7">
        <v>7</v>
      </c>
      <c r="Z857" s="7">
        <v>3</v>
      </c>
      <c r="AA857" s="7">
        <f>INT((S857-DATE(YEAR(S857-WEEKDAY(S857-0)+4),1,4)+WEEKDAY(DATE(YEAR(S857-WEEKDAY(S857-0)+4),1,4))+6)/7)</f>
        <v>9</v>
      </c>
      <c r="AB857" s="3" t="s">
        <v>1482</v>
      </c>
      <c r="AC857" s="7">
        <v>106</v>
      </c>
      <c r="AD857" s="7">
        <v>0</v>
      </c>
      <c r="AE857" s="7">
        <v>0</v>
      </c>
      <c r="AF857" s="3" t="s">
        <v>48</v>
      </c>
      <c r="AG857" s="7">
        <v>2023</v>
      </c>
      <c r="AH857" s="3" t="s">
        <v>57</v>
      </c>
      <c r="AI857" s="3" t="s">
        <v>48</v>
      </c>
      <c r="AJ857" s="3" t="s">
        <v>48</v>
      </c>
      <c r="AK857" s="3" t="s">
        <v>199</v>
      </c>
      <c r="AL857" s="3" t="s">
        <v>59</v>
      </c>
      <c r="AM857" s="3" t="s">
        <v>60</v>
      </c>
      <c r="AN857" s="3" t="s">
        <v>61</v>
      </c>
      <c r="AO857" s="3" t="s">
        <v>62</v>
      </c>
      <c r="AP857" s="3" t="s">
        <v>69</v>
      </c>
      <c r="AQ857" s="3" t="s">
        <v>61</v>
      </c>
      <c r="AR857" s="3" t="s">
        <v>48</v>
      </c>
    </row>
    <row r="858" spans="1:44" ht="30" customHeight="1">
      <c r="A858" s="3" t="s">
        <v>44</v>
      </c>
      <c r="B858" s="3" t="s">
        <v>45</v>
      </c>
      <c r="C858" s="3" t="s">
        <v>46</v>
      </c>
      <c r="D858" s="3" t="s">
        <v>70</v>
      </c>
      <c r="E858" s="3" t="s">
        <v>48</v>
      </c>
      <c r="F858" s="3" t="s">
        <v>71</v>
      </c>
      <c r="G858" s="3" t="s">
        <v>1643</v>
      </c>
      <c r="H858" s="4">
        <f>IF(DATEDIF(L858,S858,"m")&gt;12,DATEDIF(L858,S858,"y"),(DATEDIF(L858,S858,"m")/12))</f>
        <v>60</v>
      </c>
      <c r="I858" s="7">
        <f>DATEDIF(L858,S858,"M")</f>
        <v>720</v>
      </c>
      <c r="J858" s="7">
        <f>DATEDIF(L858,S858,"D")</f>
        <v>21926</v>
      </c>
      <c r="K858" s="3" t="s">
        <v>51</v>
      </c>
      <c r="L858" s="8">
        <v>23082</v>
      </c>
      <c r="M858" s="3" t="s">
        <v>45</v>
      </c>
      <c r="N858" s="3" t="s">
        <v>329</v>
      </c>
      <c r="O858" s="3" t="s">
        <v>52</v>
      </c>
      <c r="P858" s="3" t="s">
        <v>463</v>
      </c>
      <c r="Q858" s="7">
        <v>1</v>
      </c>
      <c r="R858" s="8">
        <v>45009</v>
      </c>
      <c r="S858" s="8">
        <v>45008</v>
      </c>
      <c r="T858" s="3" t="s">
        <v>54</v>
      </c>
      <c r="U858" s="3" t="s">
        <v>55</v>
      </c>
      <c r="V858" s="9"/>
      <c r="W858" s="10">
        <v>45012</v>
      </c>
      <c r="X858" s="7">
        <v>3</v>
      </c>
      <c r="Y858" s="7">
        <v>1</v>
      </c>
      <c r="Z858" s="7">
        <v>3</v>
      </c>
      <c r="AA858" s="7">
        <f>INT((S858-DATE(YEAR(S858-WEEKDAY(S858-0)+4),1,4)+WEEKDAY(DATE(YEAR(S858-WEEKDAY(S858-0)+4),1,4))+6)/7)</f>
        <v>12</v>
      </c>
      <c r="AB858" s="3" t="s">
        <v>1644</v>
      </c>
      <c r="AC858" s="7">
        <v>742</v>
      </c>
      <c r="AD858" s="7">
        <v>0</v>
      </c>
      <c r="AE858" s="7">
        <v>1</v>
      </c>
      <c r="AF858" s="3" t="s">
        <v>48</v>
      </c>
      <c r="AG858" s="7">
        <v>2023</v>
      </c>
      <c r="AH858" s="3" t="s">
        <v>532</v>
      </c>
      <c r="AI858" s="3" t="s">
        <v>166</v>
      </c>
      <c r="AJ858" s="3" t="s">
        <v>78</v>
      </c>
      <c r="AK858" s="3" t="s">
        <v>162</v>
      </c>
      <c r="AL858" s="3" t="s">
        <v>59</v>
      </c>
      <c r="AM858" s="3" t="s">
        <v>60</v>
      </c>
      <c r="AN858" s="3" t="s">
        <v>61</v>
      </c>
      <c r="AO858" s="3" t="s">
        <v>62</v>
      </c>
      <c r="AP858" s="3" t="s">
        <v>69</v>
      </c>
      <c r="AQ858" s="3" t="s">
        <v>61</v>
      </c>
      <c r="AR858" s="3" t="s">
        <v>48</v>
      </c>
    </row>
    <row r="859" spans="1:44" ht="30" customHeight="1">
      <c r="A859" s="3" t="s">
        <v>44</v>
      </c>
      <c r="B859" s="3" t="s">
        <v>45</v>
      </c>
      <c r="C859" s="3" t="s">
        <v>46</v>
      </c>
      <c r="D859" s="3" t="s">
        <v>186</v>
      </c>
      <c r="E859" s="3" t="s">
        <v>48</v>
      </c>
      <c r="F859" s="3" t="s">
        <v>271</v>
      </c>
      <c r="G859" s="3" t="s">
        <v>1679</v>
      </c>
      <c r="H859" s="4">
        <f>IF(DATEDIF(L859,S859,"m")&gt;12,DATEDIF(L859,S859,"y"),(DATEDIF(L859,S859,"m")/12))</f>
        <v>1</v>
      </c>
      <c r="I859" s="7">
        <f>DATEDIF(L859,S859,"M")</f>
        <v>16</v>
      </c>
      <c r="J859" s="7">
        <f>DATEDIF(L859,S859,"D")</f>
        <v>491</v>
      </c>
      <c r="K859" s="3" t="s">
        <v>51</v>
      </c>
      <c r="L859" s="8">
        <v>44513</v>
      </c>
      <c r="M859" s="3" t="s">
        <v>45</v>
      </c>
      <c r="N859" s="3" t="s">
        <v>49</v>
      </c>
      <c r="O859" s="3" t="s">
        <v>52</v>
      </c>
      <c r="P859" s="3" t="s">
        <v>1680</v>
      </c>
      <c r="Q859" s="7">
        <v>0</v>
      </c>
      <c r="R859" s="8">
        <v>45006</v>
      </c>
      <c r="S859" s="8">
        <v>45004</v>
      </c>
      <c r="T859" s="3" t="s">
        <v>54</v>
      </c>
      <c r="U859" s="3" t="s">
        <v>55</v>
      </c>
      <c r="V859" s="9"/>
      <c r="W859" s="10">
        <v>45012</v>
      </c>
      <c r="X859" s="7">
        <v>6</v>
      </c>
      <c r="Y859" s="7">
        <v>2</v>
      </c>
      <c r="Z859" s="7">
        <v>3</v>
      </c>
      <c r="AA859" s="7">
        <f>INT((S859-DATE(YEAR(S859-WEEKDAY(S859-0)+4),1,4)+WEEKDAY(DATE(YEAR(S859-WEEKDAY(S859-0)+4),1,4))+6)/7)</f>
        <v>12</v>
      </c>
      <c r="AB859" s="3" t="s">
        <v>1681</v>
      </c>
      <c r="AC859" s="7">
        <v>136</v>
      </c>
      <c r="AD859" s="7">
        <v>0</v>
      </c>
      <c r="AE859" s="7">
        <v>0</v>
      </c>
      <c r="AF859" s="3" t="s">
        <v>48</v>
      </c>
      <c r="AG859" s="7">
        <v>2023</v>
      </c>
      <c r="AH859" s="3" t="s">
        <v>276</v>
      </c>
      <c r="AI859" s="3" t="s">
        <v>191</v>
      </c>
      <c r="AJ859" s="3" t="s">
        <v>186</v>
      </c>
      <c r="AK859" s="3" t="s">
        <v>1682</v>
      </c>
      <c r="AL859" s="3" t="s">
        <v>59</v>
      </c>
      <c r="AM859" s="3" t="s">
        <v>60</v>
      </c>
      <c r="AN859" s="3" t="s">
        <v>61</v>
      </c>
      <c r="AO859" s="3" t="s">
        <v>62</v>
      </c>
      <c r="AP859" s="3" t="s">
        <v>69</v>
      </c>
      <c r="AQ859" s="3" t="s">
        <v>61</v>
      </c>
      <c r="AR859" s="3" t="s">
        <v>48</v>
      </c>
    </row>
    <row r="860" spans="1:44" ht="30" customHeight="1">
      <c r="A860" s="3" t="s">
        <v>44</v>
      </c>
      <c r="B860" s="3" t="s">
        <v>45</v>
      </c>
      <c r="C860" s="3" t="s">
        <v>46</v>
      </c>
      <c r="D860" s="3" t="s">
        <v>186</v>
      </c>
      <c r="E860" s="3" t="s">
        <v>48</v>
      </c>
      <c r="F860" s="3" t="s">
        <v>271</v>
      </c>
      <c r="G860" s="3" t="s">
        <v>1679</v>
      </c>
      <c r="H860" s="4">
        <f>IF(DATEDIF(L860,S860,"m")&gt;12,DATEDIF(L860,S860,"y"),(DATEDIF(L860,S860,"m")/12))</f>
        <v>5</v>
      </c>
      <c r="I860" s="7">
        <f>DATEDIF(L860,S860,"M")</f>
        <v>64</v>
      </c>
      <c r="J860" s="7">
        <f>DATEDIF(L860,S860,"D")</f>
        <v>1959</v>
      </c>
      <c r="K860" s="3" t="s">
        <v>51</v>
      </c>
      <c r="L860" s="8">
        <v>43040</v>
      </c>
      <c r="M860" s="3" t="s">
        <v>45</v>
      </c>
      <c r="N860" s="3" t="s">
        <v>187</v>
      </c>
      <c r="O860" s="3" t="s">
        <v>52</v>
      </c>
      <c r="P860" s="3" t="s">
        <v>298</v>
      </c>
      <c r="Q860" s="7">
        <v>0</v>
      </c>
      <c r="R860" s="8">
        <v>45006</v>
      </c>
      <c r="S860" s="8">
        <v>44999</v>
      </c>
      <c r="T860" s="3" t="s">
        <v>54</v>
      </c>
      <c r="U860" s="3" t="s">
        <v>55</v>
      </c>
      <c r="V860" s="9"/>
      <c r="W860" s="10">
        <v>45012</v>
      </c>
      <c r="X860" s="7">
        <v>6</v>
      </c>
      <c r="Y860" s="7">
        <v>7</v>
      </c>
      <c r="Z860" s="7">
        <v>3</v>
      </c>
      <c r="AA860" s="7">
        <f>INT((S860-DATE(YEAR(S860-WEEKDAY(S860-0)+4),1,4)+WEEKDAY(DATE(YEAR(S860-WEEKDAY(S860-0)+4),1,4))+6)/7)</f>
        <v>11</v>
      </c>
      <c r="AB860" s="3" t="s">
        <v>1687</v>
      </c>
      <c r="AC860" s="7">
        <v>137</v>
      </c>
      <c r="AD860" s="7">
        <v>0</v>
      </c>
      <c r="AE860" s="7">
        <v>0</v>
      </c>
      <c r="AF860" s="3" t="s">
        <v>48</v>
      </c>
      <c r="AG860" s="7">
        <v>2023</v>
      </c>
      <c r="AH860" s="3" t="s">
        <v>276</v>
      </c>
      <c r="AI860" s="3" t="s">
        <v>191</v>
      </c>
      <c r="AJ860" s="3" t="s">
        <v>186</v>
      </c>
      <c r="AK860" s="18" t="s">
        <v>612</v>
      </c>
      <c r="AL860" s="3" t="s">
        <v>59</v>
      </c>
      <c r="AM860" s="3" t="s">
        <v>60</v>
      </c>
      <c r="AN860" s="3" t="s">
        <v>61</v>
      </c>
      <c r="AO860" s="3" t="s">
        <v>62</v>
      </c>
      <c r="AP860" s="3" t="s">
        <v>69</v>
      </c>
      <c r="AQ860" s="3" t="s">
        <v>61</v>
      </c>
      <c r="AR860" s="3" t="s">
        <v>48</v>
      </c>
    </row>
    <row r="861" spans="1:44" ht="30" customHeight="1">
      <c r="A861" s="3" t="s">
        <v>44</v>
      </c>
      <c r="B861" s="3" t="s">
        <v>45</v>
      </c>
      <c r="C861" s="3" t="s">
        <v>46</v>
      </c>
      <c r="D861" s="3" t="s">
        <v>47</v>
      </c>
      <c r="E861" s="3" t="s">
        <v>48</v>
      </c>
      <c r="F861" s="3" t="s">
        <v>49</v>
      </c>
      <c r="G861" s="3" t="s">
        <v>635</v>
      </c>
      <c r="H861" s="4">
        <f>IF(DATEDIF(L861,S861,"m")&gt;12,DATEDIF(L861,S861,"y"),(DATEDIF(L861,S861,"m")/12))</f>
        <v>1</v>
      </c>
      <c r="I861" s="7">
        <f>DATEDIF(L861,S861,"M")</f>
        <v>17</v>
      </c>
      <c r="J861" s="7">
        <f>DATEDIF(L861,S861,"D")</f>
        <v>531</v>
      </c>
      <c r="K861" s="3" t="s">
        <v>51</v>
      </c>
      <c r="L861" s="8">
        <v>44465</v>
      </c>
      <c r="M861" s="3" t="s">
        <v>45</v>
      </c>
      <c r="N861" s="3" t="s">
        <v>73</v>
      </c>
      <c r="O861" s="3" t="s">
        <v>52</v>
      </c>
      <c r="P861" s="3" t="s">
        <v>264</v>
      </c>
      <c r="Q861" s="7">
        <v>0</v>
      </c>
      <c r="R861" s="8">
        <v>44999</v>
      </c>
      <c r="S861" s="8">
        <v>44996</v>
      </c>
      <c r="T861" s="3" t="s">
        <v>54</v>
      </c>
      <c r="U861" s="3" t="s">
        <v>55</v>
      </c>
      <c r="V861" s="9"/>
      <c r="W861" s="10">
        <v>45001</v>
      </c>
      <c r="X861" s="7">
        <v>2</v>
      </c>
      <c r="Y861" s="7">
        <v>3</v>
      </c>
      <c r="Z861" s="7">
        <v>3</v>
      </c>
      <c r="AA861" s="7">
        <f>INT((S861-DATE(YEAR(S861-WEEKDAY(S861-0)+4),1,4)+WEEKDAY(DATE(YEAR(S861-WEEKDAY(S861-0)+4),1,4))+6)/7)</f>
        <v>10</v>
      </c>
      <c r="AB861" s="3" t="s">
        <v>636</v>
      </c>
      <c r="AC861" s="7">
        <v>122</v>
      </c>
      <c r="AD861" s="7">
        <v>0</v>
      </c>
      <c r="AE861" s="7">
        <v>0</v>
      </c>
      <c r="AF861" s="3" t="s">
        <v>48</v>
      </c>
      <c r="AG861" s="7">
        <v>2023</v>
      </c>
      <c r="AH861" s="3" t="s">
        <v>57</v>
      </c>
      <c r="AI861" s="3" t="s">
        <v>48</v>
      </c>
      <c r="AJ861" s="3" t="s">
        <v>48</v>
      </c>
      <c r="AK861" s="3" t="s">
        <v>199</v>
      </c>
      <c r="AL861" s="3" t="s">
        <v>59</v>
      </c>
      <c r="AM861" s="3" t="s">
        <v>60</v>
      </c>
      <c r="AN861" s="3" t="s">
        <v>61</v>
      </c>
      <c r="AO861" s="3" t="s">
        <v>62</v>
      </c>
      <c r="AP861" s="3" t="s">
        <v>69</v>
      </c>
      <c r="AQ861" s="3" t="s">
        <v>61</v>
      </c>
      <c r="AR861" s="3" t="s">
        <v>48</v>
      </c>
    </row>
    <row r="862" spans="1:44" ht="30" customHeight="1">
      <c r="A862" s="3" t="s">
        <v>44</v>
      </c>
      <c r="B862" s="3" t="s">
        <v>45</v>
      </c>
      <c r="C862" s="3" t="s">
        <v>46</v>
      </c>
      <c r="D862" s="3" t="s">
        <v>47</v>
      </c>
      <c r="E862" s="3" t="s">
        <v>48</v>
      </c>
      <c r="F862" s="3" t="s">
        <v>49</v>
      </c>
      <c r="G862" s="3" t="s">
        <v>1325</v>
      </c>
      <c r="H862" s="4">
        <f>IF(DATEDIF(L862,S862,"m")&gt;12,DATEDIF(L862,S862,"y"),(DATEDIF(L862,S862,"m")/12))</f>
        <v>21</v>
      </c>
      <c r="I862" s="7">
        <f>DATEDIF(L862,S862,"M")</f>
        <v>255</v>
      </c>
      <c r="J862" s="7">
        <f>DATEDIF(L862,S862,"D")</f>
        <v>7760</v>
      </c>
      <c r="K862" s="3" t="s">
        <v>64</v>
      </c>
      <c r="L862" s="8">
        <v>37236</v>
      </c>
      <c r="M862" s="3" t="s">
        <v>45</v>
      </c>
      <c r="N862" s="3" t="s">
        <v>73</v>
      </c>
      <c r="O862" s="3" t="s">
        <v>52</v>
      </c>
      <c r="P862" s="3" t="s">
        <v>1326</v>
      </c>
      <c r="Q862" s="7">
        <v>0</v>
      </c>
      <c r="R862" s="8">
        <v>45000</v>
      </c>
      <c r="S862" s="8">
        <v>44996</v>
      </c>
      <c r="T862" s="3" t="s">
        <v>54</v>
      </c>
      <c r="U862" s="3" t="s">
        <v>55</v>
      </c>
      <c r="V862" s="9"/>
      <c r="W862" s="10">
        <v>45001</v>
      </c>
      <c r="X862" s="7">
        <v>1</v>
      </c>
      <c r="Y862" s="7">
        <v>4</v>
      </c>
      <c r="Z862" s="7">
        <v>3</v>
      </c>
      <c r="AA862" s="7">
        <f>INT((S862-DATE(YEAR(S862-WEEKDAY(S862-0)+4),1,4)+WEEKDAY(DATE(YEAR(S862-WEEKDAY(S862-0)+4),1,4))+6)/7)</f>
        <v>10</v>
      </c>
      <c r="AB862" s="3" t="s">
        <v>1327</v>
      </c>
      <c r="AC862" s="7">
        <v>131</v>
      </c>
      <c r="AD862" s="7">
        <v>0</v>
      </c>
      <c r="AE862" s="7">
        <v>0</v>
      </c>
      <c r="AF862" s="3" t="s">
        <v>48</v>
      </c>
      <c r="AG862" s="7">
        <v>2023</v>
      </c>
      <c r="AH862" s="3" t="s">
        <v>57</v>
      </c>
      <c r="AI862" s="3" t="s">
        <v>48</v>
      </c>
      <c r="AJ862" s="3" t="s">
        <v>48</v>
      </c>
      <c r="AK862" s="3" t="s">
        <v>199</v>
      </c>
      <c r="AL862" s="3" t="s">
        <v>59</v>
      </c>
      <c r="AM862" s="3" t="s">
        <v>60</v>
      </c>
      <c r="AN862" s="3" t="s">
        <v>61</v>
      </c>
      <c r="AO862" s="3" t="s">
        <v>62</v>
      </c>
      <c r="AP862" s="3" t="s">
        <v>69</v>
      </c>
      <c r="AQ862" s="3" t="s">
        <v>61</v>
      </c>
      <c r="AR862" s="3" t="s">
        <v>48</v>
      </c>
    </row>
    <row r="863" spans="1:44" ht="30" customHeight="1">
      <c r="A863" s="3" t="s">
        <v>44</v>
      </c>
      <c r="B863" s="3" t="s">
        <v>45</v>
      </c>
      <c r="C863" s="3" t="s">
        <v>46</v>
      </c>
      <c r="D863" s="3" t="s">
        <v>108</v>
      </c>
      <c r="E863" s="3" t="s">
        <v>48</v>
      </c>
      <c r="F863" s="3" t="s">
        <v>108</v>
      </c>
      <c r="G863" s="3" t="s">
        <v>290</v>
      </c>
      <c r="H863" s="4">
        <f>IF(DATEDIF(L863,S863,"m")&gt;12,DATEDIF(L863,S863,"y"),(DATEDIF(L863,S863,"m")/12))</f>
        <v>5</v>
      </c>
      <c r="I863" s="7">
        <f>DATEDIF(L863,S863,"M")</f>
        <v>68</v>
      </c>
      <c r="J863" s="7">
        <f>DATEDIF(L863,S863,"D")</f>
        <v>2090</v>
      </c>
      <c r="K863" s="3" t="s">
        <v>51</v>
      </c>
      <c r="L863" s="8">
        <v>42905</v>
      </c>
      <c r="M863" s="3" t="s">
        <v>45</v>
      </c>
      <c r="N863" s="3" t="s">
        <v>73</v>
      </c>
      <c r="O863" s="3" t="s">
        <v>52</v>
      </c>
      <c r="P863" s="3" t="s">
        <v>291</v>
      </c>
      <c r="Q863" s="7">
        <v>0</v>
      </c>
      <c r="R863" s="8">
        <v>44998</v>
      </c>
      <c r="S863" s="8">
        <v>44995</v>
      </c>
      <c r="T863" s="3" t="s">
        <v>54</v>
      </c>
      <c r="U863" s="3" t="s">
        <v>55</v>
      </c>
      <c r="V863" s="9"/>
      <c r="W863" s="10">
        <v>45005</v>
      </c>
      <c r="X863" s="7">
        <v>7</v>
      </c>
      <c r="Y863" s="7">
        <v>3</v>
      </c>
      <c r="Z863" s="7">
        <v>3</v>
      </c>
      <c r="AA863" s="7">
        <f>INT((S863-DATE(YEAR(S863-WEEKDAY(S863-0)+4),1,4)+WEEKDAY(DATE(YEAR(S863-WEEKDAY(S863-0)+4),1,4))+6)/7)</f>
        <v>10</v>
      </c>
      <c r="AB863" s="3" t="s">
        <v>292</v>
      </c>
      <c r="AC863" s="7">
        <v>367</v>
      </c>
      <c r="AD863" s="7">
        <v>0</v>
      </c>
      <c r="AE863" s="7">
        <v>0</v>
      </c>
      <c r="AF863" s="3" t="s">
        <v>48</v>
      </c>
      <c r="AG863" s="7">
        <v>2023</v>
      </c>
      <c r="AH863" s="3" t="s">
        <v>112</v>
      </c>
      <c r="AI863" s="3" t="s">
        <v>113</v>
      </c>
      <c r="AJ863" s="3" t="s">
        <v>48</v>
      </c>
      <c r="AK863" s="3" t="s">
        <v>199</v>
      </c>
      <c r="AL863" s="3" t="s">
        <v>59</v>
      </c>
      <c r="AM863" s="3" t="s">
        <v>115</v>
      </c>
      <c r="AN863" s="3" t="s">
        <v>61</v>
      </c>
      <c r="AO863" s="3" t="s">
        <v>62</v>
      </c>
      <c r="AP863" s="3" t="s">
        <v>69</v>
      </c>
      <c r="AQ863" s="3" t="s">
        <v>61</v>
      </c>
      <c r="AR863" s="3" t="s">
        <v>48</v>
      </c>
    </row>
    <row r="864" spans="1:44" ht="30" customHeight="1">
      <c r="A864" s="3" t="s">
        <v>44</v>
      </c>
      <c r="B864" s="3" t="s">
        <v>45</v>
      </c>
      <c r="C864" s="3" t="s">
        <v>46</v>
      </c>
      <c r="D864" s="3" t="s">
        <v>186</v>
      </c>
      <c r="E864" s="3" t="s">
        <v>48</v>
      </c>
      <c r="F864" s="3" t="s">
        <v>271</v>
      </c>
      <c r="G864" s="3" t="s">
        <v>1962</v>
      </c>
      <c r="H864" s="5">
        <f>IF(DATEDIF(L864,S864,"m")&gt;12,DATEDIF(L864,S864,"y"),(DATEDIF(L864,S864,"m")/12))</f>
        <v>0.5</v>
      </c>
      <c r="I864" s="7">
        <f>DATEDIF(L864,S864,"M")</f>
        <v>6</v>
      </c>
      <c r="J864" s="7">
        <f>DATEDIF(L864,S864,"D")</f>
        <v>190</v>
      </c>
      <c r="K864" s="3" t="s">
        <v>64</v>
      </c>
      <c r="L864" s="8">
        <v>44813</v>
      </c>
      <c r="M864" s="3" t="s">
        <v>45</v>
      </c>
      <c r="N864" s="3" t="s">
        <v>187</v>
      </c>
      <c r="O864" s="3" t="s">
        <v>52</v>
      </c>
      <c r="P864" s="3" t="s">
        <v>895</v>
      </c>
      <c r="Q864" s="7">
        <v>0</v>
      </c>
      <c r="R864" s="8">
        <v>45006</v>
      </c>
      <c r="S864" s="8">
        <v>45003</v>
      </c>
      <c r="T864" s="3" t="s">
        <v>54</v>
      </c>
      <c r="U864" s="3" t="s">
        <v>55</v>
      </c>
      <c r="V864" s="9"/>
      <c r="W864" s="10">
        <v>45012</v>
      </c>
      <c r="X864" s="7">
        <v>6</v>
      </c>
      <c r="Y864" s="7">
        <v>3</v>
      </c>
      <c r="Z864" s="7">
        <v>3</v>
      </c>
      <c r="AA864" s="7">
        <f>INT((S864-DATE(YEAR(S864-WEEKDAY(S864-0)+4),1,4)+WEEKDAY(DATE(YEAR(S864-WEEKDAY(S864-0)+4),1,4))+6)/7)</f>
        <v>11</v>
      </c>
      <c r="AB864" s="3" t="s">
        <v>1963</v>
      </c>
      <c r="AC864" s="7">
        <v>139</v>
      </c>
      <c r="AD864" s="7">
        <v>0</v>
      </c>
      <c r="AE864" s="7">
        <v>0</v>
      </c>
      <c r="AF864" s="3" t="s">
        <v>48</v>
      </c>
      <c r="AG864" s="7">
        <v>2023</v>
      </c>
      <c r="AH864" s="3" t="s">
        <v>276</v>
      </c>
      <c r="AI864" s="3" t="s">
        <v>191</v>
      </c>
      <c r="AJ864" s="3" t="s">
        <v>186</v>
      </c>
      <c r="AK864" s="3" t="s">
        <v>817</v>
      </c>
      <c r="AL864" s="3" t="s">
        <v>59</v>
      </c>
      <c r="AM864" s="3" t="s">
        <v>60</v>
      </c>
      <c r="AN864" s="3" t="s">
        <v>61</v>
      </c>
      <c r="AO864" s="3" t="s">
        <v>62</v>
      </c>
      <c r="AP864" s="3" t="s">
        <v>69</v>
      </c>
      <c r="AQ864" s="3" t="s">
        <v>61</v>
      </c>
      <c r="AR864" s="3" t="s">
        <v>48</v>
      </c>
    </row>
    <row r="865" spans="1:44" ht="30" customHeight="1">
      <c r="A865" s="3" t="s">
        <v>44</v>
      </c>
      <c r="B865" s="3" t="s">
        <v>45</v>
      </c>
      <c r="C865" s="3" t="s">
        <v>46</v>
      </c>
      <c r="D865" s="3" t="s">
        <v>186</v>
      </c>
      <c r="E865" s="3" t="s">
        <v>48</v>
      </c>
      <c r="F865" s="3" t="s">
        <v>271</v>
      </c>
      <c r="G865" s="3" t="s">
        <v>1983</v>
      </c>
      <c r="H865" s="4">
        <f>IF(DATEDIF(L865,S865,"m")&gt;12,DATEDIF(L865,S865,"y"),(DATEDIF(L865,S865,"m")/12))</f>
        <v>15</v>
      </c>
      <c r="I865" s="7">
        <f>DATEDIF(L865,S865,"M")</f>
        <v>189</v>
      </c>
      <c r="J865" s="7">
        <f>DATEDIF(L865,S865,"D")</f>
        <v>5754</v>
      </c>
      <c r="K865" s="3" t="s">
        <v>64</v>
      </c>
      <c r="L865" s="8">
        <v>39245</v>
      </c>
      <c r="M865" s="3" t="s">
        <v>45</v>
      </c>
      <c r="N865" s="3" t="s">
        <v>187</v>
      </c>
      <c r="O865" s="3" t="s">
        <v>52</v>
      </c>
      <c r="P865" s="3" t="s">
        <v>1984</v>
      </c>
      <c r="Q865" s="7">
        <v>1</v>
      </c>
      <c r="R865" s="8">
        <v>45004</v>
      </c>
      <c r="S865" s="8">
        <v>44999</v>
      </c>
      <c r="T865" s="3" t="s">
        <v>274</v>
      </c>
      <c r="U865" s="3" t="s">
        <v>55</v>
      </c>
      <c r="V865" s="9"/>
      <c r="W865" s="10">
        <v>45012</v>
      </c>
      <c r="X865" s="7">
        <v>8</v>
      </c>
      <c r="Y865" s="7">
        <v>5</v>
      </c>
      <c r="Z865" s="7">
        <v>3</v>
      </c>
      <c r="AA865" s="7">
        <f>INT((S865-DATE(YEAR(S865-WEEKDAY(S865-0)+4),1,4)+WEEKDAY(DATE(YEAR(S865-WEEKDAY(S865-0)+4),1,4))+6)/7)</f>
        <v>11</v>
      </c>
      <c r="AB865" s="3" t="s">
        <v>1985</v>
      </c>
      <c r="AC865" s="7">
        <v>141</v>
      </c>
      <c r="AD865" s="7">
        <v>0</v>
      </c>
      <c r="AE865" s="7">
        <v>0</v>
      </c>
      <c r="AF865" s="3" t="s">
        <v>48</v>
      </c>
      <c r="AG865" s="7">
        <v>2023</v>
      </c>
      <c r="AH865" s="3" t="s">
        <v>276</v>
      </c>
      <c r="AI865" s="3" t="s">
        <v>191</v>
      </c>
      <c r="AJ865" s="3" t="s">
        <v>186</v>
      </c>
      <c r="AK865" s="3" t="s">
        <v>192</v>
      </c>
      <c r="AL865" s="3" t="s">
        <v>278</v>
      </c>
      <c r="AM865" s="3" t="s">
        <v>60</v>
      </c>
      <c r="AN865" s="3" t="s">
        <v>61</v>
      </c>
      <c r="AO865" s="3" t="s">
        <v>279</v>
      </c>
      <c r="AP865" s="3" t="s">
        <v>69</v>
      </c>
      <c r="AQ865" s="3" t="s">
        <v>61</v>
      </c>
      <c r="AR865" s="3" t="s">
        <v>48</v>
      </c>
    </row>
    <row r="866" spans="1:44" ht="30" customHeight="1">
      <c r="A866" s="3" t="s">
        <v>44</v>
      </c>
      <c r="B866" s="3" t="s">
        <v>45</v>
      </c>
      <c r="C866" s="3" t="s">
        <v>46</v>
      </c>
      <c r="D866" s="3" t="s">
        <v>108</v>
      </c>
      <c r="E866" s="3" t="s">
        <v>48</v>
      </c>
      <c r="F866" s="3" t="s">
        <v>108</v>
      </c>
      <c r="G866" s="3" t="s">
        <v>1853</v>
      </c>
      <c r="H866" s="5">
        <f>IF(DATEDIF(L866,S866,"m")&gt;12,DATEDIF(L866,S866,"y"),(DATEDIF(L866,S866,"m")/12))</f>
        <v>0.58333333333333337</v>
      </c>
      <c r="I866" s="7">
        <f>DATEDIF(L866,S866,"M")</f>
        <v>7</v>
      </c>
      <c r="J866" s="7">
        <f>DATEDIF(L866,S866,"D")</f>
        <v>241</v>
      </c>
      <c r="K866" s="3" t="s">
        <v>64</v>
      </c>
      <c r="L866" s="8">
        <v>44763</v>
      </c>
      <c r="M866" s="3" t="s">
        <v>45</v>
      </c>
      <c r="N866" s="3" t="s">
        <v>73</v>
      </c>
      <c r="O866" s="3" t="s">
        <v>52</v>
      </c>
      <c r="P866" s="3" t="s">
        <v>1626</v>
      </c>
      <c r="Q866" s="7">
        <v>0</v>
      </c>
      <c r="R866" s="8">
        <v>45007</v>
      </c>
      <c r="S866" s="8">
        <v>45004</v>
      </c>
      <c r="T866" s="3" t="s">
        <v>54</v>
      </c>
      <c r="U866" s="3" t="s">
        <v>55</v>
      </c>
      <c r="V866" s="9"/>
      <c r="W866" s="10">
        <v>45012</v>
      </c>
      <c r="X866" s="7">
        <v>5</v>
      </c>
      <c r="Y866" s="7">
        <v>3</v>
      </c>
      <c r="Z866" s="7">
        <v>3</v>
      </c>
      <c r="AA866" s="7">
        <f>INT((S866-DATE(YEAR(S866-WEEKDAY(S866-0)+4),1,4)+WEEKDAY(DATE(YEAR(S866-WEEKDAY(S866-0)+4),1,4))+6)/7)</f>
        <v>12</v>
      </c>
      <c r="AB866" s="3" t="s">
        <v>1854</v>
      </c>
      <c r="AC866" s="7">
        <v>377</v>
      </c>
      <c r="AD866" s="7">
        <v>0</v>
      </c>
      <c r="AE866" s="7">
        <v>0</v>
      </c>
      <c r="AF866" s="3" t="s">
        <v>48</v>
      </c>
      <c r="AG866" s="7">
        <v>2023</v>
      </c>
      <c r="AH866" s="3" t="s">
        <v>112</v>
      </c>
      <c r="AI866" s="3" t="s">
        <v>113</v>
      </c>
      <c r="AJ866" s="3" t="s">
        <v>48</v>
      </c>
      <c r="AK866" s="3" t="s">
        <v>199</v>
      </c>
      <c r="AL866" s="3" t="s">
        <v>59</v>
      </c>
      <c r="AM866" s="3" t="s">
        <v>115</v>
      </c>
      <c r="AN866" s="3" t="s">
        <v>61</v>
      </c>
      <c r="AO866" s="3" t="s">
        <v>62</v>
      </c>
      <c r="AP866" s="3" t="s">
        <v>69</v>
      </c>
      <c r="AQ866" s="3" t="s">
        <v>61</v>
      </c>
      <c r="AR866" s="3" t="s">
        <v>48</v>
      </c>
    </row>
    <row r="867" spans="1:44" ht="30" customHeight="1">
      <c r="A867" s="3" t="s">
        <v>44</v>
      </c>
      <c r="B867" s="3" t="s">
        <v>45</v>
      </c>
      <c r="C867" s="3" t="s">
        <v>80</v>
      </c>
      <c r="D867" s="3" t="s">
        <v>416</v>
      </c>
      <c r="E867" s="3" t="s">
        <v>48</v>
      </c>
      <c r="F867" s="3" t="s">
        <v>848</v>
      </c>
      <c r="G867" s="3" t="s">
        <v>1959</v>
      </c>
      <c r="H867" s="4">
        <f>IF(DATEDIF(L867,S867,"m")&gt;12,DATEDIF(L867,S867,"y"),(DATEDIF(L867,S867,"m")/12))</f>
        <v>8</v>
      </c>
      <c r="I867" s="7">
        <f>DATEDIF(L867,S867,"M")</f>
        <v>101</v>
      </c>
      <c r="J867" s="7">
        <f>DATEDIF(L867,S867,"D")</f>
        <v>3073</v>
      </c>
      <c r="K867" s="3" t="s">
        <v>51</v>
      </c>
      <c r="L867" s="8">
        <v>41934</v>
      </c>
      <c r="M867" s="3" t="s">
        <v>45</v>
      </c>
      <c r="N867" s="3" t="s">
        <v>73</v>
      </c>
      <c r="O867" s="3" t="s">
        <v>52</v>
      </c>
      <c r="P867" s="3" t="s">
        <v>1960</v>
      </c>
      <c r="Q867" s="7">
        <v>1</v>
      </c>
      <c r="R867" s="8">
        <v>45016</v>
      </c>
      <c r="S867" s="8">
        <v>45007</v>
      </c>
      <c r="T867" s="3" t="s">
        <v>54</v>
      </c>
      <c r="U867" s="3" t="s">
        <v>55</v>
      </c>
      <c r="V867" s="9"/>
      <c r="W867" s="10">
        <v>45018</v>
      </c>
      <c r="X867" s="7">
        <v>2</v>
      </c>
      <c r="Y867" s="7">
        <v>9</v>
      </c>
      <c r="Z867" s="7">
        <v>3</v>
      </c>
      <c r="AA867" s="7">
        <f>INT((S867-DATE(YEAR(S867-WEEKDAY(S867-0)+4),1,4)+WEEKDAY(DATE(YEAR(S867-WEEKDAY(S867-0)+4),1,4))+6)/7)</f>
        <v>12</v>
      </c>
      <c r="AB867" s="3" t="s">
        <v>1961</v>
      </c>
      <c r="AC867" s="7">
        <v>416</v>
      </c>
      <c r="AD867" s="7">
        <v>0</v>
      </c>
      <c r="AE867" s="7">
        <v>0</v>
      </c>
      <c r="AF867" s="3" t="s">
        <v>48</v>
      </c>
      <c r="AG867" s="7">
        <v>2023</v>
      </c>
      <c r="AH867" s="3" t="s">
        <v>851</v>
      </c>
      <c r="AI867" s="3" t="s">
        <v>48</v>
      </c>
      <c r="AJ867" s="3" t="s">
        <v>48</v>
      </c>
      <c r="AK867" s="3" t="s">
        <v>199</v>
      </c>
      <c r="AL867" s="3" t="s">
        <v>59</v>
      </c>
      <c r="AM867" s="3" t="s">
        <v>99</v>
      </c>
      <c r="AN867" s="3" t="s">
        <v>61</v>
      </c>
      <c r="AO867" s="3" t="s">
        <v>62</v>
      </c>
      <c r="AP867" s="3" t="s">
        <v>69</v>
      </c>
      <c r="AQ867" s="3" t="s">
        <v>61</v>
      </c>
      <c r="AR867" s="3" t="s">
        <v>48</v>
      </c>
    </row>
    <row r="868" spans="1:44" ht="30" customHeight="1">
      <c r="A868" s="3" t="s">
        <v>44</v>
      </c>
      <c r="B868" s="3" t="s">
        <v>45</v>
      </c>
      <c r="C868" s="3" t="s">
        <v>46</v>
      </c>
      <c r="D868" s="3" t="s">
        <v>186</v>
      </c>
      <c r="E868" s="3" t="s">
        <v>48</v>
      </c>
      <c r="F868" s="3" t="s">
        <v>271</v>
      </c>
      <c r="G868" s="3" t="s">
        <v>2283</v>
      </c>
      <c r="H868" s="4">
        <f>IF(DATEDIF(L868,S868,"m")&gt;12,DATEDIF(L868,S868,"y"),(DATEDIF(L868,S868,"m")/12))</f>
        <v>71</v>
      </c>
      <c r="I868" s="7">
        <f>DATEDIF(L868,S868,"M")</f>
        <v>863</v>
      </c>
      <c r="J868" s="7">
        <f>DATEDIF(L868,S868,"D")</f>
        <v>26287</v>
      </c>
      <c r="K868" s="3" t="s">
        <v>64</v>
      </c>
      <c r="L868" s="8">
        <v>18720</v>
      </c>
      <c r="M868" s="3" t="s">
        <v>45</v>
      </c>
      <c r="N868" s="3" t="s">
        <v>187</v>
      </c>
      <c r="O868" s="3" t="s">
        <v>52</v>
      </c>
      <c r="P868" s="3" t="s">
        <v>2284</v>
      </c>
      <c r="Q868" s="7">
        <v>1</v>
      </c>
      <c r="R868" s="8">
        <v>45007</v>
      </c>
      <c r="S868" s="8">
        <v>45007</v>
      </c>
      <c r="T868" s="3" t="s">
        <v>274</v>
      </c>
      <c r="U868" s="3" t="s">
        <v>55</v>
      </c>
      <c r="V868" s="9"/>
      <c r="W868" s="10">
        <v>45012</v>
      </c>
      <c r="X868" s="7">
        <v>5</v>
      </c>
      <c r="Y868" s="7">
        <v>0</v>
      </c>
      <c r="Z868" s="7">
        <v>3</v>
      </c>
      <c r="AA868" s="7">
        <f>INT((S868-DATE(YEAR(S868-WEEKDAY(S868-0)+4),1,4)+WEEKDAY(DATE(YEAR(S868-WEEKDAY(S868-0)+4),1,4))+6)/7)</f>
        <v>12</v>
      </c>
      <c r="AB868" s="3" t="s">
        <v>2285</v>
      </c>
      <c r="AC868" s="7">
        <v>143</v>
      </c>
      <c r="AD868" s="7">
        <v>0</v>
      </c>
      <c r="AE868" s="7">
        <v>0</v>
      </c>
      <c r="AF868" s="3" t="s">
        <v>48</v>
      </c>
      <c r="AG868" s="7">
        <v>2023</v>
      </c>
      <c r="AH868" s="3" t="s">
        <v>276</v>
      </c>
      <c r="AI868" s="3" t="s">
        <v>191</v>
      </c>
      <c r="AJ868" s="3" t="s">
        <v>186</v>
      </c>
      <c r="AK868" s="3" t="s">
        <v>260</v>
      </c>
      <c r="AL868" s="3" t="s">
        <v>278</v>
      </c>
      <c r="AM868" s="3" t="s">
        <v>60</v>
      </c>
      <c r="AN868" s="3" t="s">
        <v>61</v>
      </c>
      <c r="AO868" s="3" t="s">
        <v>48</v>
      </c>
      <c r="AP868" s="3" t="s">
        <v>69</v>
      </c>
      <c r="AQ868" s="3" t="s">
        <v>61</v>
      </c>
      <c r="AR868" s="3" t="s">
        <v>48</v>
      </c>
    </row>
    <row r="869" spans="1:44" ht="30" customHeight="1">
      <c r="A869" s="3" t="s">
        <v>44</v>
      </c>
      <c r="B869" s="3" t="s">
        <v>45</v>
      </c>
      <c r="C869" s="3" t="s">
        <v>46</v>
      </c>
      <c r="D869" s="3" t="s">
        <v>1261</v>
      </c>
      <c r="E869" s="3" t="s">
        <v>48</v>
      </c>
      <c r="F869" s="3" t="s">
        <v>1261</v>
      </c>
      <c r="G869" s="3" t="s">
        <v>1758</v>
      </c>
      <c r="H869" s="5">
        <f>IF(DATEDIF(L869,S869,"m")&gt;12,DATEDIF(L869,S869,"y"),(DATEDIF(L869,S869,"m")/12))</f>
        <v>0.91666666666666663</v>
      </c>
      <c r="I869" s="7">
        <f>DATEDIF(L869,S869,"M")</f>
        <v>11</v>
      </c>
      <c r="J869" s="7">
        <f>DATEDIF(L869,S869,"D")</f>
        <v>334</v>
      </c>
      <c r="K869" s="3" t="s">
        <v>64</v>
      </c>
      <c r="L869" s="8">
        <v>44668</v>
      </c>
      <c r="M869" s="3" t="s">
        <v>45</v>
      </c>
      <c r="N869" s="3" t="s">
        <v>65</v>
      </c>
      <c r="O869" s="3" t="s">
        <v>52</v>
      </c>
      <c r="P869" s="3" t="s">
        <v>74</v>
      </c>
      <c r="Q869" s="7">
        <v>0</v>
      </c>
      <c r="R869" s="8">
        <v>45002</v>
      </c>
      <c r="S869" s="8">
        <v>45002</v>
      </c>
      <c r="T869" s="3" t="s">
        <v>54</v>
      </c>
      <c r="U869" s="3" t="s">
        <v>55</v>
      </c>
      <c r="V869" s="9"/>
      <c r="W869" s="10">
        <v>45013</v>
      </c>
      <c r="X869" s="7">
        <v>11</v>
      </c>
      <c r="Y869" s="7">
        <v>0</v>
      </c>
      <c r="Z869" s="7">
        <v>3</v>
      </c>
      <c r="AA869" s="7">
        <f>INT((S869-DATE(YEAR(S869-WEEKDAY(S869-0)+4),1,4)+WEEKDAY(DATE(YEAR(S869-WEEKDAY(S869-0)+4),1,4))+6)/7)</f>
        <v>11</v>
      </c>
      <c r="AB869" s="3" t="s">
        <v>1759</v>
      </c>
      <c r="AC869" s="7">
        <v>747</v>
      </c>
      <c r="AD869" s="7">
        <v>0</v>
      </c>
      <c r="AE869" s="7">
        <v>0</v>
      </c>
      <c r="AF869" s="3" t="s">
        <v>48</v>
      </c>
      <c r="AG869" s="7">
        <v>2023</v>
      </c>
      <c r="AH869" s="3" t="s">
        <v>1264</v>
      </c>
      <c r="AI869" s="3" t="s">
        <v>106</v>
      </c>
      <c r="AJ869" s="3" t="s">
        <v>252</v>
      </c>
      <c r="AK869" s="3" t="s">
        <v>162</v>
      </c>
      <c r="AL869" s="3" t="s">
        <v>59</v>
      </c>
      <c r="AM869" s="3" t="s">
        <v>115</v>
      </c>
      <c r="AN869" s="3" t="s">
        <v>61</v>
      </c>
      <c r="AO869" s="3" t="s">
        <v>62</v>
      </c>
      <c r="AP869" s="3" t="s">
        <v>69</v>
      </c>
      <c r="AQ869" s="3" t="s">
        <v>61</v>
      </c>
      <c r="AR869" s="3" t="s">
        <v>48</v>
      </c>
    </row>
    <row r="870" spans="1:44" ht="30" customHeight="1">
      <c r="A870" s="3" t="s">
        <v>44</v>
      </c>
      <c r="B870" s="3" t="s">
        <v>45</v>
      </c>
      <c r="C870" s="3" t="s">
        <v>46</v>
      </c>
      <c r="D870" s="3" t="s">
        <v>100</v>
      </c>
      <c r="E870" s="3" t="s">
        <v>48</v>
      </c>
      <c r="F870" s="3" t="s">
        <v>48</v>
      </c>
      <c r="G870" s="3" t="s">
        <v>48</v>
      </c>
      <c r="H870" s="4">
        <f>IF(DATEDIF(L870,S870,"m")&gt;12,DATEDIF(L870,S870,"y"),(DATEDIF(L870,S870,"m")/12))</f>
        <v>3</v>
      </c>
      <c r="I870" s="7">
        <f>DATEDIF(L870,S870,"M")</f>
        <v>44</v>
      </c>
      <c r="J870" s="7">
        <f>DATEDIF(L870,S870,"D")</f>
        <v>1343</v>
      </c>
      <c r="K870" s="3" t="s">
        <v>51</v>
      </c>
      <c r="L870" s="8">
        <v>43662</v>
      </c>
      <c r="M870" s="3" t="s">
        <v>45</v>
      </c>
      <c r="N870" s="3" t="s">
        <v>65</v>
      </c>
      <c r="O870" s="3" t="s">
        <v>52</v>
      </c>
      <c r="P870" s="3" t="s">
        <v>91</v>
      </c>
      <c r="Q870" s="7">
        <v>1</v>
      </c>
      <c r="R870" s="8">
        <v>45006</v>
      </c>
      <c r="S870" s="8">
        <v>45005</v>
      </c>
      <c r="T870" s="3" t="s">
        <v>54</v>
      </c>
      <c r="U870" s="3" t="s">
        <v>55</v>
      </c>
      <c r="V870" s="9"/>
      <c r="W870" s="10">
        <v>45013</v>
      </c>
      <c r="X870" s="7">
        <v>7</v>
      </c>
      <c r="Y870" s="7">
        <v>1</v>
      </c>
      <c r="Z870" s="7">
        <v>3</v>
      </c>
      <c r="AA870" s="7">
        <f>INT((S870-DATE(YEAR(S870-WEEKDAY(S870-0)+4),1,4)+WEEKDAY(DATE(YEAR(S870-WEEKDAY(S870-0)+4),1,4))+6)/7)</f>
        <v>12</v>
      </c>
      <c r="AB870" s="3" t="s">
        <v>1799</v>
      </c>
      <c r="AC870" s="7">
        <v>746</v>
      </c>
      <c r="AD870" s="7">
        <v>0</v>
      </c>
      <c r="AE870" s="7">
        <v>0</v>
      </c>
      <c r="AF870" s="3" t="s">
        <v>48</v>
      </c>
      <c r="AG870" s="7">
        <v>2023</v>
      </c>
      <c r="AH870" s="3" t="s">
        <v>223</v>
      </c>
      <c r="AI870" s="3" t="s">
        <v>106</v>
      </c>
      <c r="AJ870" s="3" t="s">
        <v>252</v>
      </c>
      <c r="AK870" s="3" t="s">
        <v>232</v>
      </c>
      <c r="AL870" s="3" t="s">
        <v>59</v>
      </c>
      <c r="AM870" s="3" t="s">
        <v>99</v>
      </c>
      <c r="AN870" s="3" t="s">
        <v>61</v>
      </c>
      <c r="AO870" s="3" t="s">
        <v>62</v>
      </c>
      <c r="AP870" s="3" t="s">
        <v>69</v>
      </c>
      <c r="AQ870" s="3" t="s">
        <v>61</v>
      </c>
      <c r="AR870" s="3" t="s">
        <v>48</v>
      </c>
    </row>
    <row r="871" spans="1:44" ht="30" customHeight="1">
      <c r="A871" s="3" t="s">
        <v>44</v>
      </c>
      <c r="B871" s="3" t="s">
        <v>45</v>
      </c>
      <c r="C871" s="3" t="s">
        <v>46</v>
      </c>
      <c r="D871" s="3" t="s">
        <v>100</v>
      </c>
      <c r="E871" s="3" t="s">
        <v>48</v>
      </c>
      <c r="F871" s="3" t="s">
        <v>48</v>
      </c>
      <c r="G871" s="3" t="s">
        <v>48</v>
      </c>
      <c r="H871" s="5">
        <f>IF(DATEDIF(L871,S871,"m")&gt;12,DATEDIF(L871,S871,"y"),(DATEDIF(L871,S871,"m")/12))</f>
        <v>0.33333333333333331</v>
      </c>
      <c r="I871" s="7">
        <f>DATEDIF(L871,S871,"M")</f>
        <v>4</v>
      </c>
      <c r="J871" s="7">
        <f>DATEDIF(L871,S871,"D")</f>
        <v>122</v>
      </c>
      <c r="K871" s="3" t="s">
        <v>64</v>
      </c>
      <c r="L871" s="8">
        <v>44881</v>
      </c>
      <c r="M871" s="3" t="s">
        <v>45</v>
      </c>
      <c r="N871" s="3" t="s">
        <v>65</v>
      </c>
      <c r="O871" s="3" t="s">
        <v>52</v>
      </c>
      <c r="P871" s="3" t="s">
        <v>110</v>
      </c>
      <c r="Q871" s="7">
        <v>1</v>
      </c>
      <c r="R871" s="8">
        <v>45006</v>
      </c>
      <c r="S871" s="8">
        <v>45003</v>
      </c>
      <c r="T871" s="3" t="s">
        <v>54</v>
      </c>
      <c r="U871" s="3" t="s">
        <v>55</v>
      </c>
      <c r="V871" s="9"/>
      <c r="W871" s="10">
        <v>45013</v>
      </c>
      <c r="X871" s="7">
        <v>7</v>
      </c>
      <c r="Y871" s="7">
        <v>3</v>
      </c>
      <c r="Z871" s="7">
        <v>3</v>
      </c>
      <c r="AA871" s="7">
        <f>INT((S871-DATE(YEAR(S871-WEEKDAY(S871-0)+4),1,4)+WEEKDAY(DATE(YEAR(S871-WEEKDAY(S871-0)+4),1,4))+6)/7)</f>
        <v>11</v>
      </c>
      <c r="AB871" s="3" t="s">
        <v>2035</v>
      </c>
      <c r="AC871" s="7">
        <v>745</v>
      </c>
      <c r="AD871" s="7">
        <v>0</v>
      </c>
      <c r="AE871" s="7">
        <v>0</v>
      </c>
      <c r="AF871" s="3" t="s">
        <v>48</v>
      </c>
      <c r="AG871" s="7">
        <v>2023</v>
      </c>
      <c r="AH871" s="3" t="s">
        <v>223</v>
      </c>
      <c r="AI871" s="3" t="s">
        <v>106</v>
      </c>
      <c r="AJ871" s="3" t="s">
        <v>252</v>
      </c>
      <c r="AK871" s="18" t="s">
        <v>590</v>
      </c>
      <c r="AL871" s="3" t="s">
        <v>59</v>
      </c>
      <c r="AM871" s="3" t="s">
        <v>99</v>
      </c>
      <c r="AN871" s="3" t="s">
        <v>61</v>
      </c>
      <c r="AO871" s="3" t="s">
        <v>62</v>
      </c>
      <c r="AP871" s="3" t="s">
        <v>69</v>
      </c>
      <c r="AQ871" s="3" t="s">
        <v>61</v>
      </c>
      <c r="AR871" s="3" t="s">
        <v>48</v>
      </c>
    </row>
    <row r="872" spans="1:44" ht="30" customHeight="1">
      <c r="A872" s="3" t="s">
        <v>44</v>
      </c>
      <c r="B872" s="3" t="s">
        <v>45</v>
      </c>
      <c r="C872" s="3" t="s">
        <v>46</v>
      </c>
      <c r="D872" s="3" t="s">
        <v>100</v>
      </c>
      <c r="E872" s="3" t="s">
        <v>48</v>
      </c>
      <c r="F872" s="3" t="s">
        <v>101</v>
      </c>
      <c r="G872" s="3" t="s">
        <v>2415</v>
      </c>
      <c r="H872" s="4">
        <f>IF(DATEDIF(L872,S872,"m")&gt;12,DATEDIF(L872,S872,"y"),(DATEDIF(L872,S872,"m")/12))</f>
        <v>1</v>
      </c>
      <c r="I872" s="7">
        <f>DATEDIF(L872,S872,"M")</f>
        <v>16</v>
      </c>
      <c r="J872" s="7">
        <f>DATEDIF(L872,S872,"D")</f>
        <v>502</v>
      </c>
      <c r="K872" s="3" t="s">
        <v>51</v>
      </c>
      <c r="L872" s="8">
        <v>44504</v>
      </c>
      <c r="M872" s="3" t="s">
        <v>45</v>
      </c>
      <c r="N872" s="3" t="s">
        <v>101</v>
      </c>
      <c r="O872" s="3" t="s">
        <v>52</v>
      </c>
      <c r="P872" s="3" t="s">
        <v>137</v>
      </c>
      <c r="Q872" s="7">
        <v>1</v>
      </c>
      <c r="R872" s="8">
        <v>45007</v>
      </c>
      <c r="S872" s="8">
        <v>45006</v>
      </c>
      <c r="T872" s="3" t="s">
        <v>54</v>
      </c>
      <c r="U872" s="3" t="s">
        <v>55</v>
      </c>
      <c r="V872" s="9"/>
      <c r="W872" s="10">
        <v>45013</v>
      </c>
      <c r="X872" s="7">
        <v>6</v>
      </c>
      <c r="Y872" s="7">
        <v>1</v>
      </c>
      <c r="Z872" s="7">
        <v>3</v>
      </c>
      <c r="AA872" s="7">
        <f>INT((S872-DATE(YEAR(S872-WEEKDAY(S872-0)+4),1,4)+WEEKDAY(DATE(YEAR(S872-WEEKDAY(S872-0)+4),1,4))+6)/7)</f>
        <v>12</v>
      </c>
      <c r="AB872" s="3" t="s">
        <v>2416</v>
      </c>
      <c r="AC872" s="7">
        <v>743</v>
      </c>
      <c r="AD872" s="7">
        <v>0</v>
      </c>
      <c r="AE872" s="7">
        <v>0</v>
      </c>
      <c r="AF872" s="3" t="s">
        <v>48</v>
      </c>
      <c r="AG872" s="7">
        <v>2023</v>
      </c>
      <c r="AH872" s="3" t="s">
        <v>105</v>
      </c>
      <c r="AI872" s="3" t="s">
        <v>106</v>
      </c>
      <c r="AJ872" s="3" t="s">
        <v>100</v>
      </c>
      <c r="AK872" s="3" t="s">
        <v>316</v>
      </c>
      <c r="AL872" s="3" t="s">
        <v>59</v>
      </c>
      <c r="AM872" s="3" t="s">
        <v>99</v>
      </c>
      <c r="AN872" s="3" t="s">
        <v>61</v>
      </c>
      <c r="AO872" s="3" t="s">
        <v>62</v>
      </c>
      <c r="AP872" s="3" t="s">
        <v>69</v>
      </c>
      <c r="AQ872" s="3" t="s">
        <v>61</v>
      </c>
      <c r="AR872" s="3" t="s">
        <v>48</v>
      </c>
    </row>
    <row r="873" spans="1:44" ht="30" customHeight="1">
      <c r="A873" s="3" t="s">
        <v>44</v>
      </c>
      <c r="B873" s="3" t="s">
        <v>45</v>
      </c>
      <c r="C873" s="3" t="s">
        <v>46</v>
      </c>
      <c r="D873" s="3" t="s">
        <v>100</v>
      </c>
      <c r="E873" s="3" t="s">
        <v>48</v>
      </c>
      <c r="F873" s="3" t="s">
        <v>101</v>
      </c>
      <c r="G873" s="3" t="s">
        <v>2427</v>
      </c>
      <c r="H873" s="4">
        <f>IF(DATEDIF(L873,S873,"m")&gt;12,DATEDIF(L873,S873,"y"),(DATEDIF(L873,S873,"m")/12))</f>
        <v>54</v>
      </c>
      <c r="I873" s="7">
        <f>DATEDIF(L873,S873,"M")</f>
        <v>650</v>
      </c>
      <c r="J873" s="7">
        <f>DATEDIF(L873,S873,"D")</f>
        <v>19806</v>
      </c>
      <c r="K873" s="3" t="s">
        <v>51</v>
      </c>
      <c r="L873" s="8">
        <v>25200</v>
      </c>
      <c r="M873" s="3" t="s">
        <v>45</v>
      </c>
      <c r="N873" s="3" t="s">
        <v>101</v>
      </c>
      <c r="O873" s="3" t="s">
        <v>52</v>
      </c>
      <c r="P873" s="3" t="s">
        <v>255</v>
      </c>
      <c r="Q873" s="7">
        <v>1</v>
      </c>
      <c r="R873" s="8">
        <v>45008</v>
      </c>
      <c r="S873" s="8">
        <v>45006</v>
      </c>
      <c r="T873" s="3" t="s">
        <v>54</v>
      </c>
      <c r="U873" s="3" t="s">
        <v>55</v>
      </c>
      <c r="V873" s="9"/>
      <c r="W873" s="10">
        <v>45013</v>
      </c>
      <c r="X873" s="7">
        <v>5</v>
      </c>
      <c r="Y873" s="7">
        <v>2</v>
      </c>
      <c r="Z873" s="7">
        <v>3</v>
      </c>
      <c r="AA873" s="7">
        <f>INT((S873-DATE(YEAR(S873-WEEKDAY(S873-0)+4),1,4)+WEEKDAY(DATE(YEAR(S873-WEEKDAY(S873-0)+4),1,4))+6)/7)</f>
        <v>12</v>
      </c>
      <c r="AB873" s="3" t="s">
        <v>2428</v>
      </c>
      <c r="AC873" s="7">
        <v>744</v>
      </c>
      <c r="AD873" s="7">
        <v>0</v>
      </c>
      <c r="AE873" s="7">
        <v>0</v>
      </c>
      <c r="AF873" s="3" t="s">
        <v>48</v>
      </c>
      <c r="AG873" s="7">
        <v>2023</v>
      </c>
      <c r="AH873" s="3" t="s">
        <v>105</v>
      </c>
      <c r="AI873" s="3" t="s">
        <v>191</v>
      </c>
      <c r="AJ873" s="3" t="s">
        <v>100</v>
      </c>
      <c r="AK873" s="3" t="s">
        <v>162</v>
      </c>
      <c r="AL873" s="3" t="s">
        <v>59</v>
      </c>
      <c r="AM873" s="3" t="s">
        <v>99</v>
      </c>
      <c r="AN873" s="3" t="s">
        <v>61</v>
      </c>
      <c r="AO873" s="3" t="s">
        <v>62</v>
      </c>
      <c r="AP873" s="3" t="s">
        <v>69</v>
      </c>
      <c r="AQ873" s="3" t="s">
        <v>61</v>
      </c>
      <c r="AR873" s="3" t="s">
        <v>48</v>
      </c>
    </row>
    <row r="874" spans="1:44" ht="30" customHeight="1">
      <c r="A874" s="3" t="s">
        <v>44</v>
      </c>
      <c r="B874" s="3" t="s">
        <v>45</v>
      </c>
      <c r="C874" s="3" t="s">
        <v>80</v>
      </c>
      <c r="D874" s="3" t="s">
        <v>81</v>
      </c>
      <c r="E874" s="3" t="s">
        <v>48</v>
      </c>
      <c r="F874" s="3" t="s">
        <v>81</v>
      </c>
      <c r="G874" s="3" t="s">
        <v>597</v>
      </c>
      <c r="H874" s="5">
        <f>IF(DATEDIF(L874,S874,"m")&gt;12,DATEDIF(L874,S874,"y"),(DATEDIF(L874,S874,"m")/12))</f>
        <v>0.25</v>
      </c>
      <c r="I874" s="7">
        <f>DATEDIF(L874,S874,"M")</f>
        <v>3</v>
      </c>
      <c r="J874" s="7">
        <f>DATEDIF(L874,S874,"D")</f>
        <v>90</v>
      </c>
      <c r="K874" s="3" t="s">
        <v>51</v>
      </c>
      <c r="L874" s="8">
        <v>44916</v>
      </c>
      <c r="M874" s="3" t="s">
        <v>45</v>
      </c>
      <c r="N874" s="3" t="s">
        <v>83</v>
      </c>
      <c r="O874" s="3" t="s">
        <v>52</v>
      </c>
      <c r="P874" s="3" t="s">
        <v>169</v>
      </c>
      <c r="Q874" s="7">
        <v>1</v>
      </c>
      <c r="R874" s="8">
        <v>45010</v>
      </c>
      <c r="S874" s="8">
        <v>45006</v>
      </c>
      <c r="T874" s="3" t="s">
        <v>54</v>
      </c>
      <c r="U874" s="3" t="s">
        <v>55</v>
      </c>
      <c r="V874" s="9"/>
      <c r="W874" s="10">
        <v>45016</v>
      </c>
      <c r="X874" s="7">
        <v>6</v>
      </c>
      <c r="Y874" s="7">
        <v>4</v>
      </c>
      <c r="Z874" s="7">
        <v>3</v>
      </c>
      <c r="AA874" s="7">
        <f>INT((S874-DATE(YEAR(S874-WEEKDAY(S874-0)+4),1,4)+WEEKDAY(DATE(YEAR(S874-WEEKDAY(S874-0)+4),1,4))+6)/7)</f>
        <v>12</v>
      </c>
      <c r="AB874" s="3" t="s">
        <v>598</v>
      </c>
      <c r="AC874" s="7">
        <v>14123</v>
      </c>
      <c r="AD874" s="7">
        <v>0</v>
      </c>
      <c r="AE874" s="7">
        <v>0</v>
      </c>
      <c r="AF874" s="3" t="s">
        <v>48</v>
      </c>
      <c r="AG874" s="7">
        <v>2023</v>
      </c>
      <c r="AH874" s="3" t="s">
        <v>86</v>
      </c>
      <c r="AI874" s="3" t="s">
        <v>48</v>
      </c>
      <c r="AJ874" s="3" t="s">
        <v>48</v>
      </c>
      <c r="AK874" s="3" t="s">
        <v>409</v>
      </c>
      <c r="AL874" s="3" t="s">
        <v>59</v>
      </c>
      <c r="AM874" s="3" t="s">
        <v>60</v>
      </c>
      <c r="AN874" s="3" t="s">
        <v>69</v>
      </c>
      <c r="AO874" s="3" t="s">
        <v>62</v>
      </c>
      <c r="AP874" s="3" t="s">
        <v>69</v>
      </c>
      <c r="AQ874" s="3" t="s">
        <v>61</v>
      </c>
      <c r="AR874" s="3" t="s">
        <v>48</v>
      </c>
    </row>
    <row r="875" spans="1:44" ht="30" customHeight="1">
      <c r="A875" s="3" t="s">
        <v>44</v>
      </c>
      <c r="B875" s="3" t="s">
        <v>45</v>
      </c>
      <c r="C875" s="3" t="s">
        <v>80</v>
      </c>
      <c r="D875" s="3" t="s">
        <v>81</v>
      </c>
      <c r="E875" s="3" t="s">
        <v>48</v>
      </c>
      <c r="F875" s="3" t="s">
        <v>81</v>
      </c>
      <c r="G875" s="3" t="s">
        <v>607</v>
      </c>
      <c r="H875" s="5">
        <f>IF(DATEDIF(L875,S875,"m")&gt;12,DATEDIF(L875,S875,"y"),(DATEDIF(L875,S875,"m")/12))</f>
        <v>0.66666666666666663</v>
      </c>
      <c r="I875" s="7">
        <f>DATEDIF(L875,S875,"M")</f>
        <v>8</v>
      </c>
      <c r="J875" s="7">
        <f>DATEDIF(L875,S875,"D")</f>
        <v>245</v>
      </c>
      <c r="K875" s="3" t="s">
        <v>51</v>
      </c>
      <c r="L875" s="8">
        <v>44749</v>
      </c>
      <c r="M875" s="3" t="s">
        <v>45</v>
      </c>
      <c r="N875" s="3" t="s">
        <v>329</v>
      </c>
      <c r="O875" s="3" t="s">
        <v>52</v>
      </c>
      <c r="P875" s="3" t="s">
        <v>608</v>
      </c>
      <c r="Q875" s="7">
        <v>1</v>
      </c>
      <c r="R875" s="8">
        <v>45011</v>
      </c>
      <c r="S875" s="8">
        <v>44994</v>
      </c>
      <c r="T875" s="3" t="s">
        <v>54</v>
      </c>
      <c r="U875" s="3" t="s">
        <v>55</v>
      </c>
      <c r="V875" s="9"/>
      <c r="W875" s="10">
        <v>45016</v>
      </c>
      <c r="X875" s="7">
        <v>5</v>
      </c>
      <c r="Y875" s="7">
        <v>17</v>
      </c>
      <c r="Z875" s="7">
        <v>3</v>
      </c>
      <c r="AA875" s="7">
        <f>INT((S875-DATE(YEAR(S875-WEEKDAY(S875-0)+4),1,4)+WEEKDAY(DATE(YEAR(S875-WEEKDAY(S875-0)+4),1,4))+6)/7)</f>
        <v>10</v>
      </c>
      <c r="AB875" s="3" t="s">
        <v>609</v>
      </c>
      <c r="AC875" s="7">
        <v>14119</v>
      </c>
      <c r="AD875" s="7">
        <v>0</v>
      </c>
      <c r="AE875" s="7">
        <v>0</v>
      </c>
      <c r="AF875" s="3" t="s">
        <v>48</v>
      </c>
      <c r="AG875" s="7">
        <v>2023</v>
      </c>
      <c r="AH875" s="3" t="s">
        <v>86</v>
      </c>
      <c r="AI875" s="3" t="s">
        <v>48</v>
      </c>
      <c r="AJ875" s="3" t="s">
        <v>48</v>
      </c>
      <c r="AK875" s="3" t="s">
        <v>162</v>
      </c>
      <c r="AL875" s="3" t="s">
        <v>59</v>
      </c>
      <c r="AM875" s="3" t="s">
        <v>60</v>
      </c>
      <c r="AN875" s="3" t="s">
        <v>61</v>
      </c>
      <c r="AO875" s="3" t="s">
        <v>62</v>
      </c>
      <c r="AP875" s="3" t="s">
        <v>69</v>
      </c>
      <c r="AQ875" s="3" t="s">
        <v>61</v>
      </c>
      <c r="AR875" s="3" t="s">
        <v>48</v>
      </c>
    </row>
    <row r="876" spans="1:44" ht="30" customHeight="1">
      <c r="A876" s="3" t="s">
        <v>44</v>
      </c>
      <c r="B876" s="3" t="s">
        <v>45</v>
      </c>
      <c r="C876" s="3" t="s">
        <v>80</v>
      </c>
      <c r="D876" s="3" t="s">
        <v>81</v>
      </c>
      <c r="E876" s="3" t="s">
        <v>48</v>
      </c>
      <c r="F876" s="3" t="s">
        <v>81</v>
      </c>
      <c r="G876" s="3" t="s">
        <v>615</v>
      </c>
      <c r="H876" s="5">
        <f>IF(DATEDIF(L876,S876,"m")&gt;12,DATEDIF(L876,S876,"y"),(DATEDIF(L876,S876,"m")/12))</f>
        <v>0.16666666666666666</v>
      </c>
      <c r="I876" s="7">
        <f>DATEDIF(L876,S876,"M")</f>
        <v>2</v>
      </c>
      <c r="J876" s="7">
        <f>DATEDIF(L876,S876,"D")</f>
        <v>70</v>
      </c>
      <c r="K876" s="3" t="s">
        <v>51</v>
      </c>
      <c r="L876" s="8">
        <v>44927</v>
      </c>
      <c r="M876" s="3" t="s">
        <v>45</v>
      </c>
      <c r="N876" s="3" t="s">
        <v>83</v>
      </c>
      <c r="O876" s="3" t="s">
        <v>52</v>
      </c>
      <c r="P876" s="3" t="s">
        <v>298</v>
      </c>
      <c r="Q876" s="7">
        <v>1</v>
      </c>
      <c r="R876" s="8">
        <v>45011</v>
      </c>
      <c r="S876" s="8">
        <v>44997</v>
      </c>
      <c r="T876" s="3" t="s">
        <v>54</v>
      </c>
      <c r="U876" s="3" t="s">
        <v>55</v>
      </c>
      <c r="V876" s="9"/>
      <c r="W876" s="10">
        <v>45016</v>
      </c>
      <c r="X876" s="7">
        <v>5</v>
      </c>
      <c r="Y876" s="7">
        <v>14</v>
      </c>
      <c r="Z876" s="7">
        <v>3</v>
      </c>
      <c r="AA876" s="7">
        <f>INT((S876-DATE(YEAR(S876-WEEKDAY(S876-0)+4),1,4)+WEEKDAY(DATE(YEAR(S876-WEEKDAY(S876-0)+4),1,4))+6)/7)</f>
        <v>11</v>
      </c>
      <c r="AB876" s="3" t="s">
        <v>616</v>
      </c>
      <c r="AC876" s="7">
        <v>14120</v>
      </c>
      <c r="AD876" s="7">
        <v>0</v>
      </c>
      <c r="AE876" s="7">
        <v>0</v>
      </c>
      <c r="AF876" s="3" t="s">
        <v>48</v>
      </c>
      <c r="AG876" s="7">
        <v>2023</v>
      </c>
      <c r="AH876" s="3" t="s">
        <v>86</v>
      </c>
      <c r="AI876" s="3" t="s">
        <v>48</v>
      </c>
      <c r="AJ876" s="3" t="s">
        <v>48</v>
      </c>
      <c r="AK876" s="3" t="s">
        <v>162</v>
      </c>
      <c r="AL876" s="3" t="s">
        <v>59</v>
      </c>
      <c r="AM876" s="3" t="s">
        <v>60</v>
      </c>
      <c r="AN876" s="3" t="s">
        <v>61</v>
      </c>
      <c r="AO876" s="3" t="s">
        <v>62</v>
      </c>
      <c r="AP876" s="3" t="s">
        <v>69</v>
      </c>
      <c r="AQ876" s="3" t="s">
        <v>61</v>
      </c>
      <c r="AR876" s="3" t="s">
        <v>48</v>
      </c>
    </row>
    <row r="877" spans="1:44" ht="30" customHeight="1">
      <c r="A877" s="3" t="s">
        <v>44</v>
      </c>
      <c r="B877" s="3" t="s">
        <v>45</v>
      </c>
      <c r="C877" s="3" t="s">
        <v>80</v>
      </c>
      <c r="D877" s="3" t="s">
        <v>81</v>
      </c>
      <c r="E877" s="3" t="s">
        <v>48</v>
      </c>
      <c r="F877" s="3" t="s">
        <v>81</v>
      </c>
      <c r="G877" s="3" t="s">
        <v>1022</v>
      </c>
      <c r="H877" s="4">
        <f>IF(DATEDIF(L877,S877,"m")&gt;12,DATEDIF(L877,S877,"y"),(DATEDIF(L877,S877,"m")/12))</f>
        <v>8</v>
      </c>
      <c r="I877" s="7">
        <f>DATEDIF(L877,S877,"M")</f>
        <v>107</v>
      </c>
      <c r="J877" s="7">
        <f>DATEDIF(L877,S877,"D")</f>
        <v>3284</v>
      </c>
      <c r="K877" s="3" t="s">
        <v>64</v>
      </c>
      <c r="L877" s="8">
        <v>41715</v>
      </c>
      <c r="M877" s="3" t="s">
        <v>45</v>
      </c>
      <c r="N877" s="3" t="s">
        <v>329</v>
      </c>
      <c r="O877" s="3" t="s">
        <v>52</v>
      </c>
      <c r="P877" s="3" t="s">
        <v>537</v>
      </c>
      <c r="Q877" s="7">
        <v>1</v>
      </c>
      <c r="R877" s="8">
        <v>45008</v>
      </c>
      <c r="S877" s="8">
        <v>44999</v>
      </c>
      <c r="T877" s="3" t="s">
        <v>54</v>
      </c>
      <c r="U877" s="3" t="s">
        <v>55</v>
      </c>
      <c r="V877" s="9"/>
      <c r="W877" s="10">
        <v>45016</v>
      </c>
      <c r="X877" s="7">
        <v>8</v>
      </c>
      <c r="Y877" s="7">
        <v>9</v>
      </c>
      <c r="Z877" s="7">
        <v>3</v>
      </c>
      <c r="AA877" s="7">
        <f>INT((S877-DATE(YEAR(S877-WEEKDAY(S877-0)+4),1,4)+WEEKDAY(DATE(YEAR(S877-WEEKDAY(S877-0)+4),1,4))+6)/7)</f>
        <v>11</v>
      </c>
      <c r="AB877" s="3" t="s">
        <v>1023</v>
      </c>
      <c r="AC877" s="7">
        <v>14117</v>
      </c>
      <c r="AD877" s="7">
        <v>0</v>
      </c>
      <c r="AE877" s="7">
        <v>0</v>
      </c>
      <c r="AF877" s="3" t="s">
        <v>48</v>
      </c>
      <c r="AG877" s="7">
        <v>2023</v>
      </c>
      <c r="AH877" s="3" t="s">
        <v>86</v>
      </c>
      <c r="AI877" s="3" t="s">
        <v>48</v>
      </c>
      <c r="AJ877" s="3" t="s">
        <v>48</v>
      </c>
      <c r="AK877" s="3" t="s">
        <v>162</v>
      </c>
      <c r="AL877" s="3" t="s">
        <v>59</v>
      </c>
      <c r="AM877" s="3" t="s">
        <v>60</v>
      </c>
      <c r="AN877" s="3" t="s">
        <v>61</v>
      </c>
      <c r="AO877" s="3" t="s">
        <v>62</v>
      </c>
      <c r="AP877" s="3" t="s">
        <v>69</v>
      </c>
      <c r="AQ877" s="3" t="s">
        <v>61</v>
      </c>
      <c r="AR877" s="3" t="s">
        <v>48</v>
      </c>
    </row>
    <row r="878" spans="1:44" ht="30" customHeight="1">
      <c r="A878" s="3" t="s">
        <v>44</v>
      </c>
      <c r="B878" s="3" t="s">
        <v>45</v>
      </c>
      <c r="C878" s="3" t="s">
        <v>46</v>
      </c>
      <c r="D878" s="3" t="s">
        <v>108</v>
      </c>
      <c r="E878" s="3" t="s">
        <v>48</v>
      </c>
      <c r="F878" s="3" t="s">
        <v>108</v>
      </c>
      <c r="G878" s="3" t="s">
        <v>647</v>
      </c>
      <c r="H878" s="5">
        <f>IF(DATEDIF(L878,S878,"m")&gt;12,DATEDIF(L878,S878,"y"),(DATEDIF(L878,S878,"m")/12))</f>
        <v>0.66666666666666663</v>
      </c>
      <c r="I878" s="7">
        <f>DATEDIF(L878,S878,"M")</f>
        <v>8</v>
      </c>
      <c r="J878" s="7">
        <f>DATEDIF(L878,S878,"D")</f>
        <v>251</v>
      </c>
      <c r="K878" s="3" t="s">
        <v>64</v>
      </c>
      <c r="L878" s="8">
        <v>44767</v>
      </c>
      <c r="M878" s="3" t="s">
        <v>45</v>
      </c>
      <c r="N878" s="3" t="s">
        <v>73</v>
      </c>
      <c r="O878" s="3" t="s">
        <v>52</v>
      </c>
      <c r="P878" s="3" t="s">
        <v>648</v>
      </c>
      <c r="Q878" s="7">
        <v>0</v>
      </c>
      <c r="R878" s="8">
        <v>45021</v>
      </c>
      <c r="S878" s="8">
        <v>45018</v>
      </c>
      <c r="T878" s="3" t="s">
        <v>54</v>
      </c>
      <c r="U878" s="3" t="s">
        <v>55</v>
      </c>
      <c r="V878" s="9"/>
      <c r="W878" s="10">
        <v>45021</v>
      </c>
      <c r="X878" s="7">
        <v>0</v>
      </c>
      <c r="Y878" s="7">
        <v>3</v>
      </c>
      <c r="Z878" s="7">
        <v>4</v>
      </c>
      <c r="AA878" s="7">
        <f>INT((S878-DATE(YEAR(S878-WEEKDAY(S878-0)+4),1,4)+WEEKDAY(DATE(YEAR(S878-WEEKDAY(S878-0)+4),1,4))+6)/7)</f>
        <v>14</v>
      </c>
      <c r="AB878" s="3" t="s">
        <v>649</v>
      </c>
      <c r="AC878" s="7">
        <v>450</v>
      </c>
      <c r="AD878" s="7">
        <v>0</v>
      </c>
      <c r="AE878" s="7">
        <v>0</v>
      </c>
      <c r="AF878" s="3" t="s">
        <v>48</v>
      </c>
      <c r="AG878" s="7">
        <v>2023</v>
      </c>
      <c r="AH878" s="3" t="s">
        <v>112</v>
      </c>
      <c r="AI878" s="3" t="s">
        <v>113</v>
      </c>
      <c r="AJ878" s="3" t="s">
        <v>48</v>
      </c>
      <c r="AK878" s="3" t="s">
        <v>199</v>
      </c>
      <c r="AL878" s="3" t="s">
        <v>59</v>
      </c>
      <c r="AM878" s="3" t="s">
        <v>115</v>
      </c>
      <c r="AN878" s="3" t="s">
        <v>61</v>
      </c>
      <c r="AO878" s="3" t="s">
        <v>62</v>
      </c>
      <c r="AP878" s="3" t="s">
        <v>61</v>
      </c>
      <c r="AQ878" s="3" t="s">
        <v>61</v>
      </c>
      <c r="AR878" s="3" t="s">
        <v>48</v>
      </c>
    </row>
    <row r="879" spans="1:44" ht="30" customHeight="1">
      <c r="A879" s="3" t="s">
        <v>44</v>
      </c>
      <c r="B879" s="3" t="s">
        <v>45</v>
      </c>
      <c r="C879" s="3" t="s">
        <v>46</v>
      </c>
      <c r="D879" s="3" t="s">
        <v>186</v>
      </c>
      <c r="E879" s="3" t="s">
        <v>48</v>
      </c>
      <c r="F879" s="3" t="s">
        <v>48</v>
      </c>
      <c r="G879" s="3" t="s">
        <v>48</v>
      </c>
      <c r="H879" s="4">
        <f>IF(DATEDIF(L879,S879,"m")&gt;12,DATEDIF(L879,S879,"y"),(DATEDIF(L879,S879,"m")/12))</f>
        <v>7</v>
      </c>
      <c r="I879" s="7">
        <f>DATEDIF(L879,S879,"M")</f>
        <v>86</v>
      </c>
      <c r="J879" s="7">
        <f>DATEDIF(L879,S879,"D")</f>
        <v>2631</v>
      </c>
      <c r="K879" s="3" t="s">
        <v>51</v>
      </c>
      <c r="L879" s="8">
        <v>42374</v>
      </c>
      <c r="M879" s="3" t="s">
        <v>45</v>
      </c>
      <c r="N879" s="3" t="s">
        <v>187</v>
      </c>
      <c r="O879" s="3" t="s">
        <v>52</v>
      </c>
      <c r="P879" s="3" t="s">
        <v>258</v>
      </c>
      <c r="Q879" s="7">
        <v>0</v>
      </c>
      <c r="R879" s="8">
        <v>45012</v>
      </c>
      <c r="S879" s="8">
        <v>45005</v>
      </c>
      <c r="T879" s="3" t="s">
        <v>54</v>
      </c>
      <c r="U879" s="3" t="s">
        <v>55</v>
      </c>
      <c r="V879" s="9"/>
      <c r="W879" s="10">
        <v>45019</v>
      </c>
      <c r="X879" s="7">
        <v>7</v>
      </c>
      <c r="Y879" s="7">
        <v>7</v>
      </c>
      <c r="Z879" s="7">
        <v>3</v>
      </c>
      <c r="AA879" s="7">
        <f>INT((S879-DATE(YEAR(S879-WEEKDAY(S879-0)+4),1,4)+WEEKDAY(DATE(YEAR(S879-WEEKDAY(S879-0)+4),1,4))+6)/7)</f>
        <v>12</v>
      </c>
      <c r="AB879" s="3" t="s">
        <v>259</v>
      </c>
      <c r="AC879" s="7">
        <v>81</v>
      </c>
      <c r="AD879" s="7">
        <v>0</v>
      </c>
      <c r="AE879" s="7">
        <v>0</v>
      </c>
      <c r="AF879" s="3" t="s">
        <v>48</v>
      </c>
      <c r="AG879" s="7">
        <v>2023</v>
      </c>
      <c r="AH879" s="3" t="s">
        <v>190</v>
      </c>
      <c r="AI879" s="3" t="s">
        <v>191</v>
      </c>
      <c r="AJ879" s="3" t="s">
        <v>186</v>
      </c>
      <c r="AK879" s="3" t="s">
        <v>260</v>
      </c>
      <c r="AL879" s="3" t="s">
        <v>59</v>
      </c>
      <c r="AM879" s="3" t="s">
        <v>115</v>
      </c>
      <c r="AN879" s="3" t="s">
        <v>61</v>
      </c>
      <c r="AO879" s="3" t="s">
        <v>48</v>
      </c>
      <c r="AP879" s="3" t="s">
        <v>61</v>
      </c>
      <c r="AQ879" s="3" t="s">
        <v>61</v>
      </c>
      <c r="AR879" s="3" t="s">
        <v>48</v>
      </c>
    </row>
    <row r="880" spans="1:44" ht="30" customHeight="1">
      <c r="A880" s="3" t="s">
        <v>44</v>
      </c>
      <c r="B880" s="3" t="s">
        <v>45</v>
      </c>
      <c r="C880" s="3" t="s">
        <v>80</v>
      </c>
      <c r="D880" s="3" t="s">
        <v>81</v>
      </c>
      <c r="E880" s="3" t="s">
        <v>48</v>
      </c>
      <c r="F880" s="3" t="s">
        <v>483</v>
      </c>
      <c r="G880" s="3" t="s">
        <v>484</v>
      </c>
      <c r="H880" s="4">
        <f>IF(DATEDIF(L880,S880,"m")&gt;12,DATEDIF(L880,S880,"y"),(DATEDIF(L880,S880,"m")/12))</f>
        <v>11</v>
      </c>
      <c r="I880" s="7">
        <f>DATEDIF(L880,S880,"M")</f>
        <v>134</v>
      </c>
      <c r="J880" s="7">
        <f>DATEDIF(L880,S880,"D")</f>
        <v>4098</v>
      </c>
      <c r="K880" s="3" t="s">
        <v>51</v>
      </c>
      <c r="L880" s="8">
        <v>40916</v>
      </c>
      <c r="M880" s="3" t="s">
        <v>45</v>
      </c>
      <c r="N880" s="3" t="s">
        <v>49</v>
      </c>
      <c r="O880" s="3" t="s">
        <v>52</v>
      </c>
      <c r="P880" s="3" t="s">
        <v>169</v>
      </c>
      <c r="Q880" s="7">
        <v>1</v>
      </c>
      <c r="R880" s="8">
        <v>45015</v>
      </c>
      <c r="S880" s="8">
        <v>45014</v>
      </c>
      <c r="T880" s="3" t="s">
        <v>54</v>
      </c>
      <c r="U880" s="3" t="s">
        <v>55</v>
      </c>
      <c r="V880" s="9"/>
      <c r="W880" s="10">
        <v>45019</v>
      </c>
      <c r="X880" s="7">
        <v>4</v>
      </c>
      <c r="Y880" s="7">
        <v>1</v>
      </c>
      <c r="Z880" s="7">
        <v>3</v>
      </c>
      <c r="AA880" s="7">
        <f>INT((S880-DATE(YEAR(S880-WEEKDAY(S880-0)+4),1,4)+WEEKDAY(DATE(YEAR(S880-WEEKDAY(S880-0)+4),1,4))+6)/7)</f>
        <v>13</v>
      </c>
      <c r="AB880" s="3" t="s">
        <v>485</v>
      </c>
      <c r="AC880" s="7">
        <v>544</v>
      </c>
      <c r="AD880" s="7">
        <v>0</v>
      </c>
      <c r="AE880" s="7">
        <v>1</v>
      </c>
      <c r="AF880" s="3" t="s">
        <v>48</v>
      </c>
      <c r="AG880" s="7">
        <v>2023</v>
      </c>
      <c r="AH880" s="3" t="s">
        <v>486</v>
      </c>
      <c r="AI880" s="3" t="s">
        <v>48</v>
      </c>
      <c r="AJ880" s="3" t="s">
        <v>48</v>
      </c>
      <c r="AK880" s="3" t="s">
        <v>220</v>
      </c>
      <c r="AL880" s="3" t="s">
        <v>59</v>
      </c>
      <c r="AM880" s="3" t="s">
        <v>99</v>
      </c>
      <c r="AN880" s="3" t="s">
        <v>61</v>
      </c>
      <c r="AO880" s="3" t="s">
        <v>62</v>
      </c>
      <c r="AP880" s="3" t="s">
        <v>69</v>
      </c>
      <c r="AQ880" s="3" t="s">
        <v>61</v>
      </c>
      <c r="AR880" s="3" t="s">
        <v>48</v>
      </c>
    </row>
    <row r="881" spans="1:44" ht="30" customHeight="1">
      <c r="A881" s="3" t="s">
        <v>44</v>
      </c>
      <c r="B881" s="3" t="s">
        <v>45</v>
      </c>
      <c r="C881" s="3" t="s">
        <v>80</v>
      </c>
      <c r="D881" s="3" t="s">
        <v>81</v>
      </c>
      <c r="E881" s="3" t="s">
        <v>48</v>
      </c>
      <c r="F881" s="3" t="s">
        <v>48</v>
      </c>
      <c r="G881" s="3" t="s">
        <v>48</v>
      </c>
      <c r="H881" s="4">
        <f>IF(DATEDIF(L881,S881,"m")&gt;12,DATEDIF(L881,S881,"y"),(DATEDIF(L881,S881,"m")/12))</f>
        <v>10</v>
      </c>
      <c r="I881" s="7">
        <f>DATEDIF(L881,S881,"M")</f>
        <v>129</v>
      </c>
      <c r="J881" s="7">
        <f>DATEDIF(L881,S881,"D")</f>
        <v>3941</v>
      </c>
      <c r="K881" s="3" t="s">
        <v>64</v>
      </c>
      <c r="L881" s="8">
        <v>41073</v>
      </c>
      <c r="M881" s="3" t="s">
        <v>45</v>
      </c>
      <c r="N881" s="3" t="s">
        <v>187</v>
      </c>
      <c r="O881" s="3" t="s">
        <v>52</v>
      </c>
      <c r="P881" s="3" t="s">
        <v>169</v>
      </c>
      <c r="Q881" s="7">
        <v>1</v>
      </c>
      <c r="R881" s="8">
        <v>45016</v>
      </c>
      <c r="S881" s="8">
        <v>45014</v>
      </c>
      <c r="T881" s="3" t="s">
        <v>464</v>
      </c>
      <c r="U881" s="3" t="s">
        <v>55</v>
      </c>
      <c r="V881" s="9"/>
      <c r="W881" s="10">
        <v>45019</v>
      </c>
      <c r="X881" s="7">
        <v>3</v>
      </c>
      <c r="Y881" s="7">
        <v>2</v>
      </c>
      <c r="Z881" s="7">
        <v>3</v>
      </c>
      <c r="AA881" s="7">
        <f>INT((S881-DATE(YEAR(S881-WEEKDAY(S881-0)+4),1,4)+WEEKDAY(DATE(YEAR(S881-WEEKDAY(S881-0)+4),1,4))+6)/7)</f>
        <v>13</v>
      </c>
      <c r="AB881" s="3" t="s">
        <v>731</v>
      </c>
      <c r="AC881" s="7">
        <v>12</v>
      </c>
      <c r="AD881" s="7">
        <v>0</v>
      </c>
      <c r="AE881" s="7">
        <v>0</v>
      </c>
      <c r="AF881" s="3" t="s">
        <v>48</v>
      </c>
      <c r="AG881" s="7">
        <v>2023</v>
      </c>
      <c r="AH881" s="12" t="s">
        <v>732</v>
      </c>
      <c r="AI881" s="3" t="s">
        <v>48</v>
      </c>
      <c r="AJ881" s="3" t="s">
        <v>48</v>
      </c>
      <c r="AK881" s="3" t="s">
        <v>612</v>
      </c>
      <c r="AL881" s="3" t="s">
        <v>59</v>
      </c>
      <c r="AM881" s="3" t="s">
        <v>99</v>
      </c>
      <c r="AN881" s="3" t="s">
        <v>61</v>
      </c>
      <c r="AO881" s="3" t="s">
        <v>48</v>
      </c>
      <c r="AP881" s="3" t="s">
        <v>69</v>
      </c>
      <c r="AQ881" s="3" t="s">
        <v>61</v>
      </c>
      <c r="AR881" s="3" t="s">
        <v>48</v>
      </c>
    </row>
    <row r="882" spans="1:44" ht="30" customHeight="1">
      <c r="A882" s="3" t="s">
        <v>44</v>
      </c>
      <c r="B882" s="3" t="s">
        <v>45</v>
      </c>
      <c r="C882" s="3" t="s">
        <v>46</v>
      </c>
      <c r="D882" s="3" t="s">
        <v>186</v>
      </c>
      <c r="E882" s="3" t="s">
        <v>48</v>
      </c>
      <c r="F882" s="3" t="s">
        <v>271</v>
      </c>
      <c r="G882" s="3" t="s">
        <v>827</v>
      </c>
      <c r="H882" s="4">
        <v>5</v>
      </c>
      <c r="I882" s="7">
        <v>0</v>
      </c>
      <c r="J882" s="7">
        <v>0</v>
      </c>
      <c r="K882" s="3" t="s">
        <v>64</v>
      </c>
      <c r="L882" s="22"/>
      <c r="M882" s="3" t="s">
        <v>45</v>
      </c>
      <c r="N882" s="3" t="s">
        <v>187</v>
      </c>
      <c r="O882" s="3" t="s">
        <v>52</v>
      </c>
      <c r="P882" s="3" t="s">
        <v>828</v>
      </c>
      <c r="Q882" s="7">
        <v>1</v>
      </c>
      <c r="R882" s="8">
        <v>45013</v>
      </c>
      <c r="S882" s="8">
        <v>44999</v>
      </c>
      <c r="T882" s="3" t="s">
        <v>274</v>
      </c>
      <c r="U882" s="3" t="s">
        <v>55</v>
      </c>
      <c r="V882" s="9"/>
      <c r="W882" s="10">
        <v>45019</v>
      </c>
      <c r="X882" s="7">
        <v>6</v>
      </c>
      <c r="Y882" s="7">
        <v>14</v>
      </c>
      <c r="Z882" s="7">
        <v>3</v>
      </c>
      <c r="AA882" s="7">
        <f>INT((S882-DATE(YEAR(S882-WEEKDAY(S882-0)+4),1,4)+WEEKDAY(DATE(YEAR(S882-WEEKDAY(S882-0)+4),1,4))+6)/7)</f>
        <v>11</v>
      </c>
      <c r="AB882" s="3" t="s">
        <v>829</v>
      </c>
      <c r="AC882" s="7">
        <v>146</v>
      </c>
      <c r="AD882" s="7">
        <v>0</v>
      </c>
      <c r="AE882" s="7">
        <v>0</v>
      </c>
      <c r="AF882" s="3" t="s">
        <v>48</v>
      </c>
      <c r="AG882" s="7">
        <v>2023</v>
      </c>
      <c r="AH882" s="3" t="s">
        <v>276</v>
      </c>
      <c r="AI882" s="3" t="s">
        <v>191</v>
      </c>
      <c r="AJ882" s="3" t="s">
        <v>186</v>
      </c>
      <c r="AK882" s="3" t="s">
        <v>830</v>
      </c>
      <c r="AL882" s="3" t="s">
        <v>278</v>
      </c>
      <c r="AM882" s="3" t="s">
        <v>60</v>
      </c>
      <c r="AN882" s="3" t="s">
        <v>61</v>
      </c>
      <c r="AO882" s="3" t="s">
        <v>279</v>
      </c>
      <c r="AP882" s="3" t="s">
        <v>61</v>
      </c>
      <c r="AQ882" s="3" t="s">
        <v>61</v>
      </c>
      <c r="AR882" s="3" t="s">
        <v>48</v>
      </c>
    </row>
    <row r="883" spans="1:44" ht="30" customHeight="1">
      <c r="A883" s="3" t="s">
        <v>44</v>
      </c>
      <c r="B883" s="3" t="s">
        <v>45</v>
      </c>
      <c r="C883" s="3" t="s">
        <v>46</v>
      </c>
      <c r="D883" s="3" t="s">
        <v>186</v>
      </c>
      <c r="E883" s="3" t="s">
        <v>48</v>
      </c>
      <c r="F883" s="3" t="s">
        <v>271</v>
      </c>
      <c r="G883" s="3" t="s">
        <v>880</v>
      </c>
      <c r="H883" s="4">
        <f>IF(DATEDIF(L883,S883,"m")&gt;12,DATEDIF(L883,S883,"y"),(DATEDIF(L883,S883,"m")/12))</f>
        <v>97</v>
      </c>
      <c r="I883" s="7">
        <f>DATEDIF(L883,S883,"M")</f>
        <v>1175</v>
      </c>
      <c r="J883" s="7">
        <f>DATEDIF(L883,S883,"D")</f>
        <v>35783</v>
      </c>
      <c r="K883" s="3" t="s">
        <v>51</v>
      </c>
      <c r="L883" s="8">
        <v>9226</v>
      </c>
      <c r="M883" s="3" t="s">
        <v>45</v>
      </c>
      <c r="N883" s="3" t="s">
        <v>187</v>
      </c>
      <c r="O883" s="3" t="s">
        <v>52</v>
      </c>
      <c r="P883" s="3" t="s">
        <v>881</v>
      </c>
      <c r="Q883" s="7">
        <v>1</v>
      </c>
      <c r="R883" s="8">
        <v>45013</v>
      </c>
      <c r="S883" s="8">
        <v>45009</v>
      </c>
      <c r="T883" s="3" t="s">
        <v>274</v>
      </c>
      <c r="U883" s="3" t="s">
        <v>55</v>
      </c>
      <c r="V883" s="9"/>
      <c r="W883" s="10">
        <v>45019</v>
      </c>
      <c r="X883" s="7">
        <v>6</v>
      </c>
      <c r="Y883" s="7">
        <v>4</v>
      </c>
      <c r="Z883" s="7">
        <v>3</v>
      </c>
      <c r="AA883" s="7">
        <f>INT((S883-DATE(YEAR(S883-WEEKDAY(S883-0)+4),1,4)+WEEKDAY(DATE(YEAR(S883-WEEKDAY(S883-0)+4),1,4))+6)/7)</f>
        <v>12</v>
      </c>
      <c r="AB883" s="3" t="s">
        <v>882</v>
      </c>
      <c r="AC883" s="7">
        <v>147</v>
      </c>
      <c r="AD883" s="7">
        <v>0</v>
      </c>
      <c r="AE883" s="7">
        <v>0</v>
      </c>
      <c r="AF883" s="3" t="s">
        <v>48</v>
      </c>
      <c r="AG883" s="7">
        <v>2023</v>
      </c>
      <c r="AH883" s="3" t="s">
        <v>276</v>
      </c>
      <c r="AI883" s="3" t="s">
        <v>191</v>
      </c>
      <c r="AJ883" s="3" t="s">
        <v>186</v>
      </c>
      <c r="AK883" s="3" t="s">
        <v>883</v>
      </c>
      <c r="AL883" s="3" t="s">
        <v>278</v>
      </c>
      <c r="AM883" s="3" t="s">
        <v>60</v>
      </c>
      <c r="AN883" s="3" t="s">
        <v>61</v>
      </c>
      <c r="AO883" s="3" t="s">
        <v>279</v>
      </c>
      <c r="AP883" s="3" t="s">
        <v>61</v>
      </c>
      <c r="AQ883" s="3" t="s">
        <v>61</v>
      </c>
      <c r="AR883" s="3" t="s">
        <v>48</v>
      </c>
    </row>
    <row r="884" spans="1:44" ht="30" customHeight="1">
      <c r="A884" s="3" t="s">
        <v>44</v>
      </c>
      <c r="B884" s="3" t="s">
        <v>45</v>
      </c>
      <c r="C884" s="3" t="s">
        <v>46</v>
      </c>
      <c r="D884" s="3" t="s">
        <v>186</v>
      </c>
      <c r="E884" s="3" t="s">
        <v>48</v>
      </c>
      <c r="F884" s="3" t="s">
        <v>271</v>
      </c>
      <c r="G884" s="3" t="s">
        <v>1622</v>
      </c>
      <c r="H884" s="4">
        <f>IF(DATEDIF(L884,S884,"m")&gt;12,DATEDIF(L884,S884,"y"),(DATEDIF(L884,S884,"m")/12))</f>
        <v>67</v>
      </c>
      <c r="I884" s="7">
        <f>DATEDIF(L884,S884,"M")</f>
        <v>805</v>
      </c>
      <c r="J884" s="7">
        <f>DATEDIF(L884,S884,"D")</f>
        <v>24522</v>
      </c>
      <c r="K884" s="3" t="s">
        <v>64</v>
      </c>
      <c r="L884" s="8">
        <v>20469</v>
      </c>
      <c r="M884" s="3" t="s">
        <v>45</v>
      </c>
      <c r="N884" s="3" t="s">
        <v>187</v>
      </c>
      <c r="O884" s="3" t="s">
        <v>52</v>
      </c>
      <c r="P884" s="3" t="s">
        <v>1623</v>
      </c>
      <c r="Q884" s="7">
        <v>1</v>
      </c>
      <c r="R884" s="8">
        <v>45012</v>
      </c>
      <c r="S884" s="8">
        <v>44991</v>
      </c>
      <c r="T884" s="3" t="s">
        <v>274</v>
      </c>
      <c r="U884" s="3" t="s">
        <v>55</v>
      </c>
      <c r="V884" s="9"/>
      <c r="W884" s="10">
        <v>45019</v>
      </c>
      <c r="X884" s="7">
        <v>7</v>
      </c>
      <c r="Y884" s="7">
        <v>21</v>
      </c>
      <c r="Z884" s="7">
        <v>3</v>
      </c>
      <c r="AA884" s="7">
        <f>INT((S884-DATE(YEAR(S884-WEEKDAY(S884-0)+4),1,4)+WEEKDAY(DATE(YEAR(S884-WEEKDAY(S884-0)+4),1,4))+6)/7)</f>
        <v>10</v>
      </c>
      <c r="AB884" s="3" t="s">
        <v>1624</v>
      </c>
      <c r="AC884" s="7">
        <v>145</v>
      </c>
      <c r="AD884" s="7">
        <v>0</v>
      </c>
      <c r="AE884" s="7">
        <v>0</v>
      </c>
      <c r="AF884" s="3" t="s">
        <v>48</v>
      </c>
      <c r="AG884" s="7">
        <v>2023</v>
      </c>
      <c r="AH884" s="3" t="s">
        <v>276</v>
      </c>
      <c r="AI884" s="3" t="s">
        <v>191</v>
      </c>
      <c r="AJ884" s="3" t="s">
        <v>186</v>
      </c>
      <c r="AK884" s="18" t="s">
        <v>192</v>
      </c>
      <c r="AL884" s="3" t="s">
        <v>278</v>
      </c>
      <c r="AM884" s="3" t="s">
        <v>60</v>
      </c>
      <c r="AN884" s="3" t="s">
        <v>61</v>
      </c>
      <c r="AO884" s="3" t="s">
        <v>279</v>
      </c>
      <c r="AP884" s="3" t="s">
        <v>61</v>
      </c>
      <c r="AQ884" s="3" t="s">
        <v>61</v>
      </c>
      <c r="AR884" s="3" t="s">
        <v>48</v>
      </c>
    </row>
    <row r="885" spans="1:44" ht="30" customHeight="1">
      <c r="A885" s="3" t="s">
        <v>44</v>
      </c>
      <c r="B885" s="3" t="s">
        <v>45</v>
      </c>
      <c r="C885" s="3" t="s">
        <v>80</v>
      </c>
      <c r="D885" s="3" t="s">
        <v>81</v>
      </c>
      <c r="E885" s="3" t="s">
        <v>48</v>
      </c>
      <c r="F885" s="3" t="s">
        <v>48</v>
      </c>
      <c r="G885" s="3" t="s">
        <v>48</v>
      </c>
      <c r="H885" s="5">
        <f>IF(DATEDIF(L885,S885,"m")&gt;12,DATEDIF(L885,S885,"y"),(DATEDIF(L885,S885,"m")/12))</f>
        <v>0.33333333333333331</v>
      </c>
      <c r="I885" s="7">
        <f>DATEDIF(L885,S885,"M")</f>
        <v>4</v>
      </c>
      <c r="J885" s="7">
        <f>DATEDIF(L885,S885,"D")</f>
        <v>136</v>
      </c>
      <c r="K885" s="3" t="s">
        <v>64</v>
      </c>
      <c r="L885" s="8">
        <v>44873</v>
      </c>
      <c r="M885" s="3" t="s">
        <v>45</v>
      </c>
      <c r="N885" s="3" t="s">
        <v>203</v>
      </c>
      <c r="O885" s="3" t="s">
        <v>52</v>
      </c>
      <c r="P885" s="3" t="s">
        <v>1163</v>
      </c>
      <c r="Q885" s="7">
        <v>1</v>
      </c>
      <c r="R885" s="8">
        <v>45010</v>
      </c>
      <c r="S885" s="8">
        <v>45009</v>
      </c>
      <c r="T885" s="3" t="s">
        <v>464</v>
      </c>
      <c r="U885" s="3" t="s">
        <v>55</v>
      </c>
      <c r="V885" s="9"/>
      <c r="W885" s="10">
        <v>45019</v>
      </c>
      <c r="X885" s="7">
        <v>9</v>
      </c>
      <c r="Y885" s="7">
        <v>1</v>
      </c>
      <c r="Z885" s="7">
        <v>3</v>
      </c>
      <c r="AA885" s="7">
        <f>INT((S885-DATE(YEAR(S885-WEEKDAY(S885-0)+4),1,4)+WEEKDAY(DATE(YEAR(S885-WEEKDAY(S885-0)+4),1,4))+6)/7)</f>
        <v>12</v>
      </c>
      <c r="AB885" s="3" t="s">
        <v>2118</v>
      </c>
      <c r="AC885" s="7">
        <v>11</v>
      </c>
      <c r="AD885" s="7">
        <v>0</v>
      </c>
      <c r="AE885" s="7">
        <v>0</v>
      </c>
      <c r="AF885" s="3" t="s">
        <v>48</v>
      </c>
      <c r="AG885" s="7">
        <v>2023</v>
      </c>
      <c r="AH885" s="12" t="s">
        <v>732</v>
      </c>
      <c r="AI885" s="3" t="s">
        <v>48</v>
      </c>
      <c r="AJ885" s="3" t="s">
        <v>48</v>
      </c>
      <c r="AK885" s="18" t="s">
        <v>1039</v>
      </c>
      <c r="AL885" s="3" t="s">
        <v>59</v>
      </c>
      <c r="AM885" s="3" t="s">
        <v>99</v>
      </c>
      <c r="AN885" s="3" t="s">
        <v>61</v>
      </c>
      <c r="AO885" s="3" t="s">
        <v>48</v>
      </c>
      <c r="AP885" s="3" t="s">
        <v>69</v>
      </c>
      <c r="AQ885" s="3" t="s">
        <v>61</v>
      </c>
      <c r="AR885" s="3" t="s">
        <v>48</v>
      </c>
    </row>
    <row r="886" spans="1:44" ht="30" customHeight="1">
      <c r="A886" s="3" t="s">
        <v>44</v>
      </c>
      <c r="B886" s="3" t="s">
        <v>45</v>
      </c>
      <c r="C886" s="3" t="s">
        <v>46</v>
      </c>
      <c r="D886" s="3" t="s">
        <v>186</v>
      </c>
      <c r="E886" s="3" t="s">
        <v>48</v>
      </c>
      <c r="F886" s="3" t="s">
        <v>271</v>
      </c>
      <c r="G886" s="3" t="s">
        <v>2379</v>
      </c>
      <c r="H886" s="4">
        <f>IF(DATEDIF(L886,S886,"m")&gt;12,DATEDIF(L886,S886,"y"),(DATEDIF(L886,S886,"m")/12))</f>
        <v>15</v>
      </c>
      <c r="I886" s="7">
        <f>DATEDIF(L886,S886,"M")</f>
        <v>191</v>
      </c>
      <c r="J886" s="7">
        <f>DATEDIF(L886,S886,"D")</f>
        <v>5813</v>
      </c>
      <c r="K886" s="3" t="s">
        <v>51</v>
      </c>
      <c r="L886" s="8">
        <v>39196</v>
      </c>
      <c r="M886" s="3" t="s">
        <v>45</v>
      </c>
      <c r="N886" s="3" t="s">
        <v>187</v>
      </c>
      <c r="O886" s="3" t="s">
        <v>52</v>
      </c>
      <c r="P886" s="3" t="s">
        <v>2380</v>
      </c>
      <c r="Q886" s="7">
        <v>1</v>
      </c>
      <c r="R886" s="8">
        <v>45011</v>
      </c>
      <c r="S886" s="8">
        <v>45009</v>
      </c>
      <c r="T886" s="3" t="s">
        <v>54</v>
      </c>
      <c r="U886" s="3" t="s">
        <v>55</v>
      </c>
      <c r="V886" s="9"/>
      <c r="W886" s="10">
        <v>45019</v>
      </c>
      <c r="X886" s="7">
        <v>8</v>
      </c>
      <c r="Y886" s="7">
        <v>2</v>
      </c>
      <c r="Z886" s="7">
        <v>3</v>
      </c>
      <c r="AA886" s="7">
        <f>INT((S886-DATE(YEAR(S886-WEEKDAY(S886-0)+4),1,4)+WEEKDAY(DATE(YEAR(S886-WEEKDAY(S886-0)+4),1,4))+6)/7)</f>
        <v>12</v>
      </c>
      <c r="AB886" s="3" t="s">
        <v>2381</v>
      </c>
      <c r="AC886" s="7">
        <v>144</v>
      </c>
      <c r="AD886" s="7">
        <v>0</v>
      </c>
      <c r="AE886" s="7">
        <v>0</v>
      </c>
      <c r="AF886" s="3" t="s">
        <v>48</v>
      </c>
      <c r="AG886" s="7">
        <v>2023</v>
      </c>
      <c r="AH886" s="3" t="s">
        <v>276</v>
      </c>
      <c r="AI886" s="3" t="s">
        <v>191</v>
      </c>
      <c r="AJ886" s="3" t="s">
        <v>186</v>
      </c>
      <c r="AK886" s="3" t="s">
        <v>277</v>
      </c>
      <c r="AL886" s="3" t="s">
        <v>59</v>
      </c>
      <c r="AM886" s="3" t="s">
        <v>60</v>
      </c>
      <c r="AN886" s="3" t="s">
        <v>61</v>
      </c>
      <c r="AO886" s="3" t="s">
        <v>48</v>
      </c>
      <c r="AP886" s="3" t="s">
        <v>61</v>
      </c>
      <c r="AQ886" s="3" t="s">
        <v>61</v>
      </c>
      <c r="AR886" s="3" t="s">
        <v>48</v>
      </c>
    </row>
    <row r="887" spans="1:44" ht="30" customHeight="1">
      <c r="A887" s="3" t="s">
        <v>44</v>
      </c>
      <c r="B887" s="3" t="s">
        <v>45</v>
      </c>
      <c r="C887" s="3" t="s">
        <v>46</v>
      </c>
      <c r="D887" s="3" t="s">
        <v>108</v>
      </c>
      <c r="E887" s="3" t="s">
        <v>48</v>
      </c>
      <c r="F887" s="3" t="s">
        <v>108</v>
      </c>
      <c r="G887" s="3" t="s">
        <v>1155</v>
      </c>
      <c r="H887" s="4">
        <f>IF(DATEDIF(L887,S887,"m")&gt;12,DATEDIF(L887,S887,"y"),(DATEDIF(L887,S887,"m")/12))</f>
        <v>9</v>
      </c>
      <c r="I887" s="7">
        <f>DATEDIF(L887,S887,"M")</f>
        <v>114</v>
      </c>
      <c r="J887" s="7">
        <f>DATEDIF(L887,S887,"D")</f>
        <v>3479</v>
      </c>
      <c r="K887" s="3" t="s">
        <v>51</v>
      </c>
      <c r="L887" s="8">
        <v>41554</v>
      </c>
      <c r="M887" s="3" t="s">
        <v>45</v>
      </c>
      <c r="N887" s="3" t="s">
        <v>73</v>
      </c>
      <c r="O887" s="3" t="s">
        <v>52</v>
      </c>
      <c r="P887" s="3" t="s">
        <v>579</v>
      </c>
      <c r="Q887" s="7">
        <v>0</v>
      </c>
      <c r="R887" s="8">
        <v>45035</v>
      </c>
      <c r="S887" s="8">
        <v>45033</v>
      </c>
      <c r="T887" s="3" t="s">
        <v>54</v>
      </c>
      <c r="U887" s="3" t="s">
        <v>55</v>
      </c>
      <c r="V887" s="9"/>
      <c r="W887" s="10">
        <v>45036</v>
      </c>
      <c r="X887" s="7">
        <v>1</v>
      </c>
      <c r="Y887" s="7">
        <v>1097</v>
      </c>
      <c r="Z887" s="7">
        <v>4</v>
      </c>
      <c r="AA887" s="7">
        <f>INT((S887-DATE(YEAR(S887-WEEKDAY(S887-0)+4),1,4)+WEEKDAY(DATE(YEAR(S887-WEEKDAY(S887-0)+4),1,4))+6)/7)</f>
        <v>16</v>
      </c>
      <c r="AB887" s="3" t="s">
        <v>1156</v>
      </c>
      <c r="AC887" s="7">
        <v>492</v>
      </c>
      <c r="AD887" s="7">
        <v>0</v>
      </c>
      <c r="AE887" s="7">
        <v>0</v>
      </c>
      <c r="AF887" s="3" t="s">
        <v>48</v>
      </c>
      <c r="AG887" s="7">
        <v>2023</v>
      </c>
      <c r="AH887" s="3" t="s">
        <v>112</v>
      </c>
      <c r="AI887" s="3" t="s">
        <v>48</v>
      </c>
      <c r="AJ887" s="3" t="s">
        <v>48</v>
      </c>
      <c r="AK887" s="26" t="s">
        <v>199</v>
      </c>
      <c r="AL887" s="3" t="s">
        <v>59</v>
      </c>
      <c r="AM887" s="3" t="s">
        <v>115</v>
      </c>
      <c r="AN887" s="3" t="s">
        <v>61</v>
      </c>
      <c r="AO887" s="3" t="s">
        <v>62</v>
      </c>
      <c r="AP887" s="3" t="s">
        <v>61</v>
      </c>
      <c r="AQ887" s="3" t="s">
        <v>61</v>
      </c>
      <c r="AR887" s="3" t="s">
        <v>48</v>
      </c>
    </row>
    <row r="888" spans="1:44" ht="30" customHeight="1">
      <c r="A888" s="3" t="s">
        <v>44</v>
      </c>
      <c r="B888" s="3" t="s">
        <v>45</v>
      </c>
      <c r="C888" s="3" t="s">
        <v>46</v>
      </c>
      <c r="D888" s="3" t="s">
        <v>1261</v>
      </c>
      <c r="E888" s="3" t="s">
        <v>48</v>
      </c>
      <c r="F888" s="3" t="s">
        <v>65</v>
      </c>
      <c r="G888" s="3" t="s">
        <v>1640</v>
      </c>
      <c r="H888" s="4">
        <f>IF(DATEDIF(L888,S888,"m")&gt;12,DATEDIF(L888,S888,"y"),(DATEDIF(L888,S888,"m")/12))</f>
        <v>2</v>
      </c>
      <c r="I888" s="7">
        <f>DATEDIF(L888,S888,"M")</f>
        <v>28</v>
      </c>
      <c r="J888" s="7">
        <f>DATEDIF(L888,S888,"D")</f>
        <v>872</v>
      </c>
      <c r="K888" s="3" t="s">
        <v>64</v>
      </c>
      <c r="L888" s="8">
        <v>44156</v>
      </c>
      <c r="M888" s="3" t="s">
        <v>45</v>
      </c>
      <c r="N888" s="3" t="s">
        <v>73</v>
      </c>
      <c r="O888" s="3" t="s">
        <v>52</v>
      </c>
      <c r="P888" s="3" t="s">
        <v>91</v>
      </c>
      <c r="Q888" s="7">
        <v>1</v>
      </c>
      <c r="R888" s="8">
        <v>45034</v>
      </c>
      <c r="S888" s="8">
        <v>45028</v>
      </c>
      <c r="T888" s="3" t="s">
        <v>54</v>
      </c>
      <c r="U888" s="3" t="s">
        <v>55</v>
      </c>
      <c r="V888" s="9"/>
      <c r="W888" s="10">
        <v>45041</v>
      </c>
      <c r="X888" s="7">
        <v>7</v>
      </c>
      <c r="Y888" s="7">
        <v>6</v>
      </c>
      <c r="Z888" s="7">
        <v>4</v>
      </c>
      <c r="AA888" s="7">
        <f>INT((S888-DATE(YEAR(S888-WEEKDAY(S888-0)+4),1,4)+WEEKDAY(DATE(YEAR(S888-WEEKDAY(S888-0)+4),1,4))+6)/7)</f>
        <v>15</v>
      </c>
      <c r="AB888" s="3" t="s">
        <v>1641</v>
      </c>
      <c r="AC888" s="7">
        <v>195</v>
      </c>
      <c r="AD888" s="7">
        <v>0</v>
      </c>
      <c r="AE888" s="7">
        <v>0</v>
      </c>
      <c r="AF888" s="3" t="s">
        <v>48</v>
      </c>
      <c r="AG888" s="7">
        <v>2023</v>
      </c>
      <c r="AH888" s="3" t="s">
        <v>1642</v>
      </c>
      <c r="AI888" s="3" t="s">
        <v>106</v>
      </c>
      <c r="AJ888" s="3" t="s">
        <v>252</v>
      </c>
      <c r="AK888" s="3" t="s">
        <v>199</v>
      </c>
      <c r="AL888" s="3" t="s">
        <v>59</v>
      </c>
      <c r="AM888" s="3" t="s">
        <v>99</v>
      </c>
      <c r="AN888" s="3" t="s">
        <v>48</v>
      </c>
      <c r="AO888" s="3" t="s">
        <v>62</v>
      </c>
      <c r="AP888" s="3" t="s">
        <v>61</v>
      </c>
      <c r="AQ888" s="3" t="s">
        <v>61</v>
      </c>
      <c r="AR888" s="3" t="s">
        <v>48</v>
      </c>
    </row>
    <row r="889" spans="1:44" ht="30" customHeight="1">
      <c r="A889" s="3" t="s">
        <v>44</v>
      </c>
      <c r="B889" s="3" t="s">
        <v>45</v>
      </c>
      <c r="C889" s="3" t="s">
        <v>46</v>
      </c>
      <c r="D889" s="3" t="s">
        <v>108</v>
      </c>
      <c r="E889" s="3" t="s">
        <v>48</v>
      </c>
      <c r="F889" s="3" t="s">
        <v>108</v>
      </c>
      <c r="G889" s="3" t="s">
        <v>1242</v>
      </c>
      <c r="H889" s="4">
        <f>IF(DATEDIF(L889,S889,"m")&gt;12,DATEDIF(L889,S889,"y"),(DATEDIF(L889,S889,"m")/12))</f>
        <v>32</v>
      </c>
      <c r="I889" s="7">
        <f>DATEDIF(L889,S889,"M")</f>
        <v>390</v>
      </c>
      <c r="J889" s="7">
        <f>DATEDIF(L889,S889,"D")</f>
        <v>11876</v>
      </c>
      <c r="K889" s="3" t="s">
        <v>64</v>
      </c>
      <c r="L889" s="8">
        <v>33101</v>
      </c>
      <c r="M889" s="3" t="s">
        <v>45</v>
      </c>
      <c r="N889" s="3" t="s">
        <v>73</v>
      </c>
      <c r="O889" s="3" t="s">
        <v>52</v>
      </c>
      <c r="P889" s="3" t="s">
        <v>180</v>
      </c>
      <c r="Q889" s="7">
        <v>0</v>
      </c>
      <c r="R889" s="8">
        <v>44980</v>
      </c>
      <c r="S889" s="8">
        <v>44977</v>
      </c>
      <c r="T889" s="3" t="s">
        <v>54</v>
      </c>
      <c r="U889" s="3" t="s">
        <v>55</v>
      </c>
      <c r="V889" s="9"/>
      <c r="W889" s="13">
        <v>45113</v>
      </c>
      <c r="X889" s="7">
        <v>4</v>
      </c>
      <c r="Y889" s="7">
        <v>3</v>
      </c>
      <c r="Z889" s="7">
        <v>2</v>
      </c>
      <c r="AA889" s="7">
        <f>INT((S889-DATE(YEAR(S889-WEEKDAY(S889-0)+4),1,4)+WEEKDAY(DATE(YEAR(S889-WEEKDAY(S889-0)+4),1,4))+6)/7)</f>
        <v>8</v>
      </c>
      <c r="AB889" s="3" t="s">
        <v>1243</v>
      </c>
      <c r="AC889" s="7">
        <v>305</v>
      </c>
      <c r="AD889" s="7">
        <v>0</v>
      </c>
      <c r="AE889" s="7">
        <v>0</v>
      </c>
      <c r="AF889" s="3" t="s">
        <v>48</v>
      </c>
      <c r="AG889" s="7">
        <v>2023</v>
      </c>
      <c r="AH889" s="3" t="s">
        <v>112</v>
      </c>
      <c r="AI889" s="3" t="s">
        <v>113</v>
      </c>
      <c r="AJ889" s="3" t="s">
        <v>48</v>
      </c>
      <c r="AK889" s="3" t="s">
        <v>199</v>
      </c>
      <c r="AL889" s="3" t="s">
        <v>59</v>
      </c>
      <c r="AM889" s="3" t="s">
        <v>115</v>
      </c>
      <c r="AN889" s="3" t="s">
        <v>61</v>
      </c>
      <c r="AO889" s="3" t="s">
        <v>62</v>
      </c>
      <c r="AP889" s="3" t="s">
        <v>69</v>
      </c>
      <c r="AQ889" s="3" t="s">
        <v>61</v>
      </c>
      <c r="AR889" s="3" t="s">
        <v>48</v>
      </c>
    </row>
    <row r="890" spans="1:44" ht="30" customHeight="1">
      <c r="A890" s="3" t="s">
        <v>44</v>
      </c>
      <c r="B890" s="3" t="s">
        <v>45</v>
      </c>
      <c r="C890" s="3" t="s">
        <v>46</v>
      </c>
      <c r="D890" s="3" t="s">
        <v>108</v>
      </c>
      <c r="E890" s="3" t="s">
        <v>48</v>
      </c>
      <c r="F890" s="3" t="s">
        <v>108</v>
      </c>
      <c r="G890" s="3" t="s">
        <v>1230</v>
      </c>
      <c r="H890" s="4">
        <f>IF(DATEDIF(L890,S890,"m")&gt;12,DATEDIF(L890,S890,"y"),(DATEDIF(L890,S890,"m")/12))</f>
        <v>7</v>
      </c>
      <c r="I890" s="7">
        <f>DATEDIF(L890,S890,"M")</f>
        <v>95</v>
      </c>
      <c r="J890" s="7">
        <f>DATEDIF(L890,S890,"D")</f>
        <v>2901</v>
      </c>
      <c r="K890" s="3" t="s">
        <v>64</v>
      </c>
      <c r="L890" s="8">
        <v>42075</v>
      </c>
      <c r="M890" s="3" t="s">
        <v>45</v>
      </c>
      <c r="N890" s="3" t="s">
        <v>73</v>
      </c>
      <c r="O890" s="3" t="s">
        <v>52</v>
      </c>
      <c r="P890" s="3" t="s">
        <v>426</v>
      </c>
      <c r="Q890" s="7">
        <v>0</v>
      </c>
      <c r="R890" s="8">
        <v>44977</v>
      </c>
      <c r="S890" s="8">
        <v>44976</v>
      </c>
      <c r="T890" s="3" t="s">
        <v>54</v>
      </c>
      <c r="U890" s="3" t="s">
        <v>55</v>
      </c>
      <c r="V890" s="9"/>
      <c r="W890" s="13">
        <v>45114</v>
      </c>
      <c r="X890" s="7">
        <v>7</v>
      </c>
      <c r="Y890" s="7">
        <v>1</v>
      </c>
      <c r="Z890" s="7">
        <v>2</v>
      </c>
      <c r="AA890" s="7">
        <f>INT((S890-DATE(YEAR(S890-WEEKDAY(S890-0)+4),1,4)+WEEKDAY(DATE(YEAR(S890-WEEKDAY(S890-0)+4),1,4))+6)/7)</f>
        <v>8</v>
      </c>
      <c r="AB890" s="3" t="s">
        <v>1231</v>
      </c>
      <c r="AC890" s="7">
        <v>280</v>
      </c>
      <c r="AD890" s="7">
        <v>0</v>
      </c>
      <c r="AE890" s="7">
        <v>0</v>
      </c>
      <c r="AF890" s="3" t="s">
        <v>48</v>
      </c>
      <c r="AG890" s="7">
        <v>2023</v>
      </c>
      <c r="AH890" s="3" t="s">
        <v>112</v>
      </c>
      <c r="AI890" s="3" t="s">
        <v>113</v>
      </c>
      <c r="AJ890" s="3" t="s">
        <v>48</v>
      </c>
      <c r="AK890" s="26" t="s">
        <v>199</v>
      </c>
      <c r="AL890" s="3" t="s">
        <v>59</v>
      </c>
      <c r="AM890" s="3" t="s">
        <v>115</v>
      </c>
      <c r="AN890" s="3" t="s">
        <v>61</v>
      </c>
      <c r="AO890" s="3" t="s">
        <v>62</v>
      </c>
      <c r="AP890" s="3" t="s">
        <v>69</v>
      </c>
      <c r="AQ890" s="3" t="s">
        <v>61</v>
      </c>
      <c r="AR890" s="3" t="s">
        <v>48</v>
      </c>
    </row>
    <row r="891" spans="1:44" ht="30" customHeight="1">
      <c r="A891" s="3" t="s">
        <v>44</v>
      </c>
      <c r="B891" s="3" t="s">
        <v>45</v>
      </c>
      <c r="C891" s="3" t="s">
        <v>46</v>
      </c>
      <c r="D891" s="3" t="s">
        <v>108</v>
      </c>
      <c r="E891" s="3" t="s">
        <v>48</v>
      </c>
      <c r="F891" s="3" t="s">
        <v>108</v>
      </c>
      <c r="G891" s="3" t="s">
        <v>1258</v>
      </c>
      <c r="H891" s="4">
        <f>IF(DATEDIF(L891,S891,"m")&gt;12,DATEDIF(L891,S891,"y"),(DATEDIF(L891,S891,"m")/12))</f>
        <v>1</v>
      </c>
      <c r="I891" s="7">
        <f>DATEDIF(L891,S891,"M")</f>
        <v>21</v>
      </c>
      <c r="J891" s="7">
        <f>DATEDIF(L891,S891,"D")</f>
        <v>653</v>
      </c>
      <c r="K891" s="3" t="s">
        <v>64</v>
      </c>
      <c r="L891" s="8">
        <v>44317</v>
      </c>
      <c r="M891" s="3" t="s">
        <v>45</v>
      </c>
      <c r="N891" s="3" t="s">
        <v>73</v>
      </c>
      <c r="O891" s="3" t="s">
        <v>52</v>
      </c>
      <c r="P891" s="3" t="s">
        <v>1259</v>
      </c>
      <c r="Q891" s="7">
        <v>0</v>
      </c>
      <c r="R891" s="8">
        <v>44977</v>
      </c>
      <c r="S891" s="8">
        <v>44970</v>
      </c>
      <c r="T891" s="3" t="s">
        <v>54</v>
      </c>
      <c r="U891" s="3" t="s">
        <v>55</v>
      </c>
      <c r="V891" s="9"/>
      <c r="W891" s="13">
        <v>45117</v>
      </c>
      <c r="X891" s="7">
        <v>7</v>
      </c>
      <c r="Y891" s="7">
        <v>7</v>
      </c>
      <c r="Z891" s="7">
        <v>2</v>
      </c>
      <c r="AA891" s="7">
        <f>INT((S891-DATE(YEAR(S891-WEEKDAY(S891-0)+4),1,4)+WEEKDAY(DATE(YEAR(S891-WEEKDAY(S891-0)+4),1,4))+6)/7)</f>
        <v>7</v>
      </c>
      <c r="AB891" s="3" t="s">
        <v>1260</v>
      </c>
      <c r="AC891" s="7">
        <v>275</v>
      </c>
      <c r="AD891" s="7">
        <v>0</v>
      </c>
      <c r="AE891" s="7">
        <v>0</v>
      </c>
      <c r="AF891" s="3" t="s">
        <v>48</v>
      </c>
      <c r="AG891" s="7">
        <v>2023</v>
      </c>
      <c r="AH891" s="3" t="s">
        <v>112</v>
      </c>
      <c r="AI891" s="3" t="s">
        <v>113</v>
      </c>
      <c r="AJ891" s="3" t="s">
        <v>48</v>
      </c>
      <c r="AK891" s="3" t="s">
        <v>199</v>
      </c>
      <c r="AL891" s="3" t="s">
        <v>59</v>
      </c>
      <c r="AM891" s="3" t="s">
        <v>115</v>
      </c>
      <c r="AN891" s="3" t="s">
        <v>61</v>
      </c>
      <c r="AO891" s="3" t="s">
        <v>62</v>
      </c>
      <c r="AP891" s="3" t="s">
        <v>69</v>
      </c>
      <c r="AQ891" s="3" t="s">
        <v>61</v>
      </c>
      <c r="AR891" s="3" t="s">
        <v>48</v>
      </c>
    </row>
    <row r="892" spans="1:44" ht="30" customHeight="1">
      <c r="A892" s="3" t="s">
        <v>44</v>
      </c>
      <c r="B892" s="3" t="s">
        <v>45</v>
      </c>
      <c r="C892" s="12"/>
      <c r="D892" s="12"/>
      <c r="E892" s="12"/>
      <c r="F892" s="12"/>
      <c r="G892" s="12">
        <v>51400</v>
      </c>
      <c r="H892" s="4">
        <f>IF(DATEDIF(L892,S892,"m")&gt;12,DATEDIF(L892,S892,"y"),(DATEDIF(L892,S892,"m")/12))</f>
        <v>50</v>
      </c>
      <c r="I892" s="7">
        <f>DATEDIF(L892,S892,"M")</f>
        <v>609</v>
      </c>
      <c r="J892" s="7">
        <f>DATEDIF(L892,S892,"D")</f>
        <v>18557</v>
      </c>
      <c r="K892" s="12" t="s">
        <v>51</v>
      </c>
      <c r="L892" s="13">
        <v>26603</v>
      </c>
      <c r="M892" s="16" t="s">
        <v>45</v>
      </c>
      <c r="N892" s="12" t="s">
        <v>73</v>
      </c>
      <c r="O892" s="12" t="s">
        <v>52</v>
      </c>
      <c r="P892" s="12" t="s">
        <v>2916</v>
      </c>
      <c r="Q892" s="12">
        <v>1</v>
      </c>
      <c r="R892" s="13">
        <v>45162</v>
      </c>
      <c r="S892" s="13">
        <v>45160</v>
      </c>
      <c r="T892" s="3" t="s">
        <v>54</v>
      </c>
      <c r="U892" s="12" t="s">
        <v>55</v>
      </c>
      <c r="W892" s="13">
        <v>45163</v>
      </c>
      <c r="X892" s="12"/>
      <c r="Y892" s="12"/>
      <c r="Z892" s="12">
        <f>MONTH(S892)</f>
        <v>8</v>
      </c>
      <c r="AA892" s="7">
        <f>INT((S892-DATE(YEAR(S892-WEEKDAY(S892-0)+4),1,4)+WEEKDAY(DATE(YEAR(S892-WEEKDAY(S892-0)+4),1,4))+6)/7)</f>
        <v>34</v>
      </c>
      <c r="AB892" s="12" t="s">
        <v>2917</v>
      </c>
      <c r="AC892" s="12"/>
      <c r="AD892" s="12"/>
      <c r="AE892" s="12"/>
      <c r="AF892" s="12"/>
      <c r="AG892" s="7">
        <v>2023</v>
      </c>
      <c r="AH892" s="12" t="s">
        <v>2918</v>
      </c>
      <c r="AI892" s="12"/>
      <c r="AJ892" s="12"/>
      <c r="AK892" s="12" t="s">
        <v>2919</v>
      </c>
      <c r="AL892" s="3" t="s">
        <v>59</v>
      </c>
      <c r="AM892" s="12"/>
      <c r="AN892" s="12"/>
      <c r="AO892" s="12"/>
      <c r="AP892" s="12"/>
      <c r="AQ892" s="12"/>
      <c r="AR892" s="12"/>
    </row>
    <row r="893" spans="1:44" ht="30" customHeight="1">
      <c r="A893" s="3" t="s">
        <v>44</v>
      </c>
      <c r="B893" s="3" t="s">
        <v>45</v>
      </c>
      <c r="C893" s="3" t="s">
        <v>46</v>
      </c>
      <c r="D893" s="3" t="s">
        <v>108</v>
      </c>
      <c r="E893" s="3" t="s">
        <v>48</v>
      </c>
      <c r="F893" s="3" t="s">
        <v>108</v>
      </c>
      <c r="G893" s="3" t="s">
        <v>1422</v>
      </c>
      <c r="H893" s="5">
        <f>IF(DATEDIF(L893,S893,"m")&gt;12,DATEDIF(L893,S893,"y"),(DATEDIF(L893,S893,"m")/12))</f>
        <v>0.25</v>
      </c>
      <c r="I893" s="7">
        <f>DATEDIF(L893,S893,"M")</f>
        <v>3</v>
      </c>
      <c r="J893" s="7">
        <f>DATEDIF(L893,S893,"D")</f>
        <v>112</v>
      </c>
      <c r="K893" s="3" t="s">
        <v>64</v>
      </c>
      <c r="L893" s="8">
        <v>44830</v>
      </c>
      <c r="M893" s="3" t="s">
        <v>45</v>
      </c>
      <c r="N893" s="3" t="s">
        <v>73</v>
      </c>
      <c r="O893" s="3" t="s">
        <v>52</v>
      </c>
      <c r="P893" s="3" t="s">
        <v>225</v>
      </c>
      <c r="Q893" s="7">
        <v>0</v>
      </c>
      <c r="R893" s="8">
        <v>44942</v>
      </c>
      <c r="S893" s="8">
        <v>44942</v>
      </c>
      <c r="T893" s="3" t="s">
        <v>54</v>
      </c>
      <c r="U893" s="3" t="s">
        <v>55</v>
      </c>
      <c r="V893" s="9"/>
      <c r="W893" s="10">
        <v>44949</v>
      </c>
      <c r="X893" s="7">
        <v>7</v>
      </c>
      <c r="Y893" s="7">
        <v>0</v>
      </c>
      <c r="Z893" s="7">
        <v>1</v>
      </c>
      <c r="AA893" s="7">
        <f>INT((S893-DATE(YEAR(S893-WEEKDAY(S893-0)+4),1,4)+WEEKDAY(DATE(YEAR(S893-WEEKDAY(S893-0)+4),1,4))+6)/7)</f>
        <v>3</v>
      </c>
      <c r="AB893" s="3" t="s">
        <v>1423</v>
      </c>
      <c r="AC893" s="7">
        <v>143</v>
      </c>
      <c r="AD893" s="7">
        <v>0</v>
      </c>
      <c r="AE893" s="7">
        <v>0</v>
      </c>
      <c r="AF893" s="3" t="s">
        <v>48</v>
      </c>
      <c r="AG893" s="7">
        <v>2023</v>
      </c>
      <c r="AH893" s="3" t="s">
        <v>112</v>
      </c>
      <c r="AI893" s="3" t="s">
        <v>113</v>
      </c>
      <c r="AJ893" s="3" t="s">
        <v>48</v>
      </c>
      <c r="AK893" s="26" t="s">
        <v>162</v>
      </c>
      <c r="AL893" s="3" t="s">
        <v>59</v>
      </c>
      <c r="AM893" s="3" t="s">
        <v>115</v>
      </c>
      <c r="AN893" s="3" t="s">
        <v>61</v>
      </c>
      <c r="AO893" s="3" t="s">
        <v>62</v>
      </c>
      <c r="AP893" s="3" t="s">
        <v>69</v>
      </c>
      <c r="AQ893" s="3" t="s">
        <v>61</v>
      </c>
      <c r="AR893" s="3" t="s">
        <v>48</v>
      </c>
    </row>
    <row r="894" spans="1:44" ht="30" customHeight="1">
      <c r="A894" s="3" t="s">
        <v>44</v>
      </c>
      <c r="B894" s="3" t="s">
        <v>45</v>
      </c>
      <c r="C894" s="3" t="s">
        <v>46</v>
      </c>
      <c r="D894" s="3" t="s">
        <v>108</v>
      </c>
      <c r="E894" s="3" t="s">
        <v>48</v>
      </c>
      <c r="F894" s="3" t="s">
        <v>108</v>
      </c>
      <c r="G894" s="3" t="s">
        <v>1921</v>
      </c>
      <c r="H894" s="4">
        <f>IF(DATEDIF(L894,S894,"m")&gt;12,DATEDIF(L894,S894,"y"),(DATEDIF(L894,S894,"m")/12))</f>
        <v>8</v>
      </c>
      <c r="I894" s="7">
        <f>DATEDIF(L894,S894,"M")</f>
        <v>97</v>
      </c>
      <c r="J894" s="7">
        <f>DATEDIF(L894,S894,"D")</f>
        <v>2979</v>
      </c>
      <c r="K894" s="3" t="s">
        <v>64</v>
      </c>
      <c r="L894" s="8">
        <v>41964</v>
      </c>
      <c r="M894" s="3" t="s">
        <v>45</v>
      </c>
      <c r="N894" s="3" t="s">
        <v>73</v>
      </c>
      <c r="O894" s="3" t="s">
        <v>52</v>
      </c>
      <c r="P894" s="3" t="s">
        <v>432</v>
      </c>
      <c r="Q894" s="7">
        <v>0</v>
      </c>
      <c r="R894" s="8">
        <v>44943</v>
      </c>
      <c r="S894" s="8">
        <v>44943</v>
      </c>
      <c r="T894" s="3" t="s">
        <v>54</v>
      </c>
      <c r="U894" s="3" t="s">
        <v>55</v>
      </c>
      <c r="V894" s="9"/>
      <c r="W894" s="10">
        <v>44950</v>
      </c>
      <c r="X894" s="7">
        <v>7</v>
      </c>
      <c r="Y894" s="7">
        <v>0</v>
      </c>
      <c r="Z894" s="7">
        <v>1</v>
      </c>
      <c r="AA894" s="7">
        <f>INT((S894-DATE(YEAR(S894-WEEKDAY(S894-0)+4),1,4)+WEEKDAY(DATE(YEAR(S894-WEEKDAY(S894-0)+4),1,4))+6)/7)</f>
        <v>3</v>
      </c>
      <c r="AB894" s="3" t="s">
        <v>1922</v>
      </c>
      <c r="AC894" s="7">
        <v>155</v>
      </c>
      <c r="AD894" s="7">
        <v>0</v>
      </c>
      <c r="AE894" s="7">
        <v>0</v>
      </c>
      <c r="AF894" s="3" t="s">
        <v>48</v>
      </c>
      <c r="AG894" s="7">
        <v>2023</v>
      </c>
      <c r="AH894" s="3" t="s">
        <v>112</v>
      </c>
      <c r="AI894" s="3" t="s">
        <v>113</v>
      </c>
      <c r="AJ894" s="3" t="s">
        <v>48</v>
      </c>
      <c r="AK894" s="3" t="s">
        <v>162</v>
      </c>
      <c r="AL894" s="3" t="s">
        <v>59</v>
      </c>
      <c r="AM894" s="3" t="s">
        <v>115</v>
      </c>
      <c r="AN894" s="3" t="s">
        <v>61</v>
      </c>
      <c r="AO894" s="3" t="s">
        <v>62</v>
      </c>
      <c r="AP894" s="3" t="s">
        <v>69</v>
      </c>
      <c r="AQ894" s="3" t="s">
        <v>61</v>
      </c>
      <c r="AR894" s="3" t="s">
        <v>48</v>
      </c>
    </row>
    <row r="895" spans="1:44" ht="30" customHeight="1">
      <c r="A895" s="3" t="s">
        <v>44</v>
      </c>
      <c r="B895" s="3" t="s">
        <v>45</v>
      </c>
      <c r="C895" s="3" t="s">
        <v>46</v>
      </c>
      <c r="D895" s="3" t="s">
        <v>108</v>
      </c>
      <c r="E895" s="3" t="s">
        <v>48</v>
      </c>
      <c r="F895" s="3" t="s">
        <v>108</v>
      </c>
      <c r="G895" s="3" t="s">
        <v>1079</v>
      </c>
      <c r="H895" s="4">
        <f>IF(DATEDIF(L895,S895,"m")&gt;12,DATEDIF(L895,S895,"y"),(DATEDIF(L895,S895,"m")/12))</f>
        <v>2</v>
      </c>
      <c r="I895" s="7">
        <f>DATEDIF(L895,S895,"M")</f>
        <v>26</v>
      </c>
      <c r="J895" s="7">
        <f>DATEDIF(L895,S895,"D")</f>
        <v>807</v>
      </c>
      <c r="K895" s="3" t="s">
        <v>51</v>
      </c>
      <c r="L895" s="8">
        <v>44159</v>
      </c>
      <c r="M895" s="3" t="s">
        <v>45</v>
      </c>
      <c r="N895" s="3" t="s">
        <v>73</v>
      </c>
      <c r="O895" s="3" t="s">
        <v>52</v>
      </c>
      <c r="P895" s="3" t="s">
        <v>225</v>
      </c>
      <c r="Q895" s="7">
        <v>0</v>
      </c>
      <c r="R895" s="8">
        <v>44967</v>
      </c>
      <c r="S895" s="8">
        <v>44966</v>
      </c>
      <c r="T895" s="3" t="s">
        <v>54</v>
      </c>
      <c r="U895" s="3" t="s">
        <v>55</v>
      </c>
      <c r="V895" s="9"/>
      <c r="W895" s="10">
        <v>44971</v>
      </c>
      <c r="X895" s="7">
        <v>4</v>
      </c>
      <c r="Y895" s="7">
        <v>1</v>
      </c>
      <c r="Z895" s="7">
        <v>2</v>
      </c>
      <c r="AA895" s="7">
        <f>INT((S895-DATE(YEAR(S895-WEEKDAY(S895-0)+4),1,4)+WEEKDAY(DATE(YEAR(S895-WEEKDAY(S895-0)+4),1,4))+6)/7)</f>
        <v>6</v>
      </c>
      <c r="AB895" s="3" t="s">
        <v>1080</v>
      </c>
      <c r="AC895" s="7">
        <v>253</v>
      </c>
      <c r="AD895" s="7">
        <v>0</v>
      </c>
      <c r="AE895" s="7">
        <v>0</v>
      </c>
      <c r="AF895" s="3" t="s">
        <v>48</v>
      </c>
      <c r="AG895" s="7">
        <v>2023</v>
      </c>
      <c r="AH895" s="3" t="s">
        <v>112</v>
      </c>
      <c r="AI895" s="3" t="s">
        <v>113</v>
      </c>
      <c r="AJ895" s="3" t="s">
        <v>48</v>
      </c>
      <c r="AK895" s="26" t="s">
        <v>162</v>
      </c>
      <c r="AL895" s="3" t="s">
        <v>59</v>
      </c>
      <c r="AM895" s="3" t="s">
        <v>115</v>
      </c>
      <c r="AN895" s="3" t="s">
        <v>61</v>
      </c>
      <c r="AO895" s="3" t="s">
        <v>62</v>
      </c>
      <c r="AP895" s="3" t="s">
        <v>69</v>
      </c>
      <c r="AQ895" s="3" t="s">
        <v>61</v>
      </c>
      <c r="AR895" s="3" t="s">
        <v>48</v>
      </c>
    </row>
    <row r="896" spans="1:44" ht="30" customHeight="1">
      <c r="A896" s="3" t="s">
        <v>44</v>
      </c>
      <c r="B896" s="3" t="s">
        <v>45</v>
      </c>
      <c r="C896" s="3" t="s">
        <v>46</v>
      </c>
      <c r="D896" s="3" t="s">
        <v>108</v>
      </c>
      <c r="E896" s="3" t="s">
        <v>48</v>
      </c>
      <c r="F896" s="3" t="s">
        <v>108</v>
      </c>
      <c r="G896" s="3" t="s">
        <v>1899</v>
      </c>
      <c r="H896" s="4">
        <f>IF(DATEDIF(L896,S896,"m")&gt;12,DATEDIF(L896,S896,"y"),(DATEDIF(L896,S896,"m")/12))</f>
        <v>5</v>
      </c>
      <c r="I896" s="7">
        <f>DATEDIF(L896,S896,"M")</f>
        <v>67</v>
      </c>
      <c r="J896" s="7">
        <f>DATEDIF(L896,S896,"D")</f>
        <v>2061</v>
      </c>
      <c r="K896" s="3" t="s">
        <v>51</v>
      </c>
      <c r="L896" s="8">
        <v>42901</v>
      </c>
      <c r="M896" s="3" t="s">
        <v>45</v>
      </c>
      <c r="N896" s="3" t="s">
        <v>73</v>
      </c>
      <c r="O896" s="3" t="s">
        <v>52</v>
      </c>
      <c r="P896" s="3" t="s">
        <v>325</v>
      </c>
      <c r="Q896" s="7">
        <v>0</v>
      </c>
      <c r="R896" s="8">
        <v>44964</v>
      </c>
      <c r="S896" s="8">
        <v>44962</v>
      </c>
      <c r="T896" s="3" t="s">
        <v>54</v>
      </c>
      <c r="U896" s="3" t="s">
        <v>55</v>
      </c>
      <c r="V896" s="9"/>
      <c r="W896" s="10">
        <v>44971</v>
      </c>
      <c r="X896" s="7">
        <v>7</v>
      </c>
      <c r="Y896" s="7">
        <v>2</v>
      </c>
      <c r="Z896" s="7">
        <v>2</v>
      </c>
      <c r="AA896" s="7">
        <f>INT((S896-DATE(YEAR(S896-WEEKDAY(S896-0)+4),1,4)+WEEKDAY(DATE(YEAR(S896-WEEKDAY(S896-0)+4),1,4))+6)/7)</f>
        <v>6</v>
      </c>
      <c r="AB896" s="3" t="s">
        <v>1900</v>
      </c>
      <c r="AC896" s="7">
        <v>230</v>
      </c>
      <c r="AD896" s="7">
        <v>0</v>
      </c>
      <c r="AE896" s="7">
        <v>0</v>
      </c>
      <c r="AF896" s="3" t="s">
        <v>48</v>
      </c>
      <c r="AG896" s="7">
        <v>2023</v>
      </c>
      <c r="AH896" s="3" t="s">
        <v>112</v>
      </c>
      <c r="AI896" s="3" t="s">
        <v>113</v>
      </c>
      <c r="AJ896" s="3" t="s">
        <v>48</v>
      </c>
      <c r="AK896" s="3" t="s">
        <v>162</v>
      </c>
      <c r="AL896" s="3" t="s">
        <v>59</v>
      </c>
      <c r="AM896" s="3" t="s">
        <v>115</v>
      </c>
      <c r="AN896" s="3" t="s">
        <v>61</v>
      </c>
      <c r="AO896" s="3" t="s">
        <v>62</v>
      </c>
      <c r="AP896" s="3" t="s">
        <v>69</v>
      </c>
      <c r="AQ896" s="3" t="s">
        <v>61</v>
      </c>
      <c r="AR896" s="3" t="s">
        <v>48</v>
      </c>
    </row>
    <row r="897" spans="1:44" ht="30" customHeight="1">
      <c r="A897" s="3" t="s">
        <v>44</v>
      </c>
      <c r="B897" s="3" t="s">
        <v>45</v>
      </c>
      <c r="C897" s="3" t="s">
        <v>46</v>
      </c>
      <c r="D897" s="3" t="s">
        <v>100</v>
      </c>
      <c r="E897" s="3" t="s">
        <v>48</v>
      </c>
      <c r="F897" s="3" t="s">
        <v>101</v>
      </c>
      <c r="G897" s="3" t="s">
        <v>1574</v>
      </c>
      <c r="H897" s="4">
        <f>IF(DATEDIF(L897,S897,"m")&gt;12,DATEDIF(L897,S897,"y"),(DATEDIF(L897,S897,"m")/12))</f>
        <v>2</v>
      </c>
      <c r="I897" s="7">
        <f>DATEDIF(L897,S897,"M")</f>
        <v>29</v>
      </c>
      <c r="J897" s="7">
        <f>DATEDIF(L897,S897,"D")</f>
        <v>896</v>
      </c>
      <c r="K897" s="3" t="s">
        <v>64</v>
      </c>
      <c r="L897" s="8">
        <v>44134</v>
      </c>
      <c r="M897" s="3" t="s">
        <v>45</v>
      </c>
      <c r="N897" s="3" t="s">
        <v>73</v>
      </c>
      <c r="O897" s="3" t="s">
        <v>52</v>
      </c>
      <c r="P897" s="3" t="s">
        <v>406</v>
      </c>
      <c r="Q897" s="7">
        <v>0</v>
      </c>
      <c r="R897" s="8">
        <v>45033</v>
      </c>
      <c r="S897" s="8">
        <v>45030</v>
      </c>
      <c r="T897" s="3" t="s">
        <v>54</v>
      </c>
      <c r="U897" s="3" t="s">
        <v>55</v>
      </c>
      <c r="V897" s="9"/>
      <c r="W897" s="10">
        <v>45041</v>
      </c>
      <c r="X897" s="7">
        <v>8</v>
      </c>
      <c r="Y897" s="7">
        <v>3</v>
      </c>
      <c r="Z897" s="7">
        <v>4</v>
      </c>
      <c r="AA897" s="7">
        <f>INT((S897-DATE(YEAR(S897-WEEKDAY(S897-0)+4),1,4)+WEEKDAY(DATE(YEAR(S897-WEEKDAY(S897-0)+4),1,4))+6)/7)</f>
        <v>15</v>
      </c>
      <c r="AB897" s="3" t="s">
        <v>1575</v>
      </c>
      <c r="AC897" s="7">
        <v>196</v>
      </c>
      <c r="AD897" s="7">
        <v>0</v>
      </c>
      <c r="AE897" s="7">
        <v>0</v>
      </c>
      <c r="AF897" s="3" t="s">
        <v>48</v>
      </c>
      <c r="AG897" s="7">
        <v>2023</v>
      </c>
      <c r="AH897" s="3" t="s">
        <v>105</v>
      </c>
      <c r="AI897" s="3" t="s">
        <v>106</v>
      </c>
      <c r="AJ897" s="3" t="s">
        <v>252</v>
      </c>
      <c r="AK897" s="3" t="s">
        <v>162</v>
      </c>
      <c r="AL897" s="3" t="s">
        <v>59</v>
      </c>
      <c r="AM897" s="3" t="s">
        <v>99</v>
      </c>
      <c r="AN897" s="3" t="s">
        <v>48</v>
      </c>
      <c r="AO897" s="3" t="s">
        <v>62</v>
      </c>
      <c r="AP897" s="3" t="s">
        <v>61</v>
      </c>
      <c r="AQ897" s="3" t="s">
        <v>61</v>
      </c>
      <c r="AR897" s="3" t="s">
        <v>48</v>
      </c>
    </row>
    <row r="898" spans="1:44" ht="30" customHeight="1">
      <c r="A898" s="3" t="s">
        <v>44</v>
      </c>
      <c r="B898" s="3" t="s">
        <v>45</v>
      </c>
      <c r="C898" s="3" t="s">
        <v>46</v>
      </c>
      <c r="D898" s="3" t="s">
        <v>108</v>
      </c>
      <c r="E898" s="3" t="s">
        <v>48</v>
      </c>
      <c r="F898" s="3" t="s">
        <v>108</v>
      </c>
      <c r="G898" s="3" t="s">
        <v>367</v>
      </c>
      <c r="H898" s="4">
        <f>IF(DATEDIF(L898,S898,"m")&gt;12,DATEDIF(L898,S898,"y"),(DATEDIF(L898,S898,"m")/12))</f>
        <v>73</v>
      </c>
      <c r="I898" s="7">
        <f>DATEDIF(L898,S898,"M")</f>
        <v>883</v>
      </c>
      <c r="J898" s="7">
        <f>DATEDIF(L898,S898,"D")</f>
        <v>26891</v>
      </c>
      <c r="K898" s="3" t="s">
        <v>51</v>
      </c>
      <c r="L898" s="8">
        <v>18055</v>
      </c>
      <c r="M898" s="3" t="s">
        <v>45</v>
      </c>
      <c r="N898" s="3" t="s">
        <v>73</v>
      </c>
      <c r="O898" s="3" t="s">
        <v>52</v>
      </c>
      <c r="P898" s="3" t="s">
        <v>368</v>
      </c>
      <c r="Q898" s="7">
        <v>0</v>
      </c>
      <c r="R898" s="8">
        <v>44953</v>
      </c>
      <c r="S898" s="8">
        <v>44946</v>
      </c>
      <c r="T898" s="3" t="s">
        <v>54</v>
      </c>
      <c r="U898" s="3" t="s">
        <v>55</v>
      </c>
      <c r="V898" s="9"/>
      <c r="W898" s="10">
        <v>44957</v>
      </c>
      <c r="X898" s="7">
        <v>4</v>
      </c>
      <c r="Y898" s="7">
        <v>7</v>
      </c>
      <c r="Z898" s="7">
        <v>1</v>
      </c>
      <c r="AA898" s="7">
        <f>INT((S898-DATE(YEAR(S898-WEEKDAY(S898-0)+4),1,4)+WEEKDAY(DATE(YEAR(S898-WEEKDAY(S898-0)+4),1,4))+6)/7)</f>
        <v>3</v>
      </c>
      <c r="AB898" s="3" t="s">
        <v>369</v>
      </c>
      <c r="AC898" s="7">
        <v>177</v>
      </c>
      <c r="AD898" s="7">
        <v>0</v>
      </c>
      <c r="AE898" s="7">
        <v>0</v>
      </c>
      <c r="AF898" s="3" t="s">
        <v>48</v>
      </c>
      <c r="AG898" s="7">
        <v>2023</v>
      </c>
      <c r="AH898" s="26" t="s">
        <v>112</v>
      </c>
      <c r="AI898" s="3" t="s">
        <v>113</v>
      </c>
      <c r="AJ898" s="3" t="s">
        <v>48</v>
      </c>
      <c r="AK898" s="3" t="s">
        <v>144</v>
      </c>
      <c r="AL898" s="3" t="s">
        <v>59</v>
      </c>
      <c r="AM898" s="3" t="s">
        <v>115</v>
      </c>
      <c r="AN898" s="3" t="s">
        <v>61</v>
      </c>
      <c r="AO898" s="3" t="s">
        <v>62</v>
      </c>
      <c r="AP898" s="3" t="s">
        <v>69</v>
      </c>
      <c r="AQ898" s="3" t="s">
        <v>61</v>
      </c>
      <c r="AR898" s="3" t="s">
        <v>48</v>
      </c>
    </row>
    <row r="899" spans="1:44" ht="30" customHeight="1">
      <c r="A899" s="3" t="s">
        <v>44</v>
      </c>
      <c r="B899" s="3" t="s">
        <v>45</v>
      </c>
      <c r="C899" s="3" t="s">
        <v>46</v>
      </c>
      <c r="D899" s="3" t="s">
        <v>108</v>
      </c>
      <c r="E899" s="3" t="s">
        <v>48</v>
      </c>
      <c r="F899" s="3" t="s">
        <v>108</v>
      </c>
      <c r="G899" s="3" t="s">
        <v>1945</v>
      </c>
      <c r="H899" s="4">
        <f>IF(DATEDIF(L899,S899,"m")&gt;12,DATEDIF(L899,S899,"y"),(DATEDIF(L899,S899,"m")/12))</f>
        <v>12</v>
      </c>
      <c r="I899" s="7">
        <f>DATEDIF(L899,S899,"M")</f>
        <v>144</v>
      </c>
      <c r="J899" s="7">
        <f>DATEDIF(L899,S899,"D")</f>
        <v>4389</v>
      </c>
      <c r="K899" s="3" t="s">
        <v>64</v>
      </c>
      <c r="L899" s="8">
        <v>40556</v>
      </c>
      <c r="M899" s="3" t="s">
        <v>45</v>
      </c>
      <c r="N899" s="3" t="s">
        <v>73</v>
      </c>
      <c r="O899" s="3" t="s">
        <v>52</v>
      </c>
      <c r="P899" s="3" t="s">
        <v>84</v>
      </c>
      <c r="Q899" s="7">
        <v>0</v>
      </c>
      <c r="R899" s="8">
        <v>44950</v>
      </c>
      <c r="S899" s="8">
        <v>44945</v>
      </c>
      <c r="T899" s="3" t="s">
        <v>54</v>
      </c>
      <c r="U899" s="3" t="s">
        <v>55</v>
      </c>
      <c r="V899" s="9"/>
      <c r="W899" s="10">
        <v>44957</v>
      </c>
      <c r="X899" s="7">
        <v>7</v>
      </c>
      <c r="Y899" s="7">
        <v>5</v>
      </c>
      <c r="Z899" s="7">
        <v>1</v>
      </c>
      <c r="AA899" s="7">
        <f>INT((S899-DATE(YEAR(S899-WEEKDAY(S899-0)+4),1,4)+WEEKDAY(DATE(YEAR(S899-WEEKDAY(S899-0)+4),1,4))+6)/7)</f>
        <v>3</v>
      </c>
      <c r="AB899" s="3" t="s">
        <v>1946</v>
      </c>
      <c r="AC899" s="7">
        <v>167</v>
      </c>
      <c r="AD899" s="7">
        <v>0</v>
      </c>
      <c r="AE899" s="7">
        <v>0</v>
      </c>
      <c r="AF899" s="3" t="s">
        <v>48</v>
      </c>
      <c r="AG899" s="7">
        <v>2023</v>
      </c>
      <c r="AH899" s="3" t="s">
        <v>112</v>
      </c>
      <c r="AI899" s="3" t="s">
        <v>113</v>
      </c>
      <c r="AJ899" s="3" t="s">
        <v>48</v>
      </c>
      <c r="AK899" s="3" t="s">
        <v>144</v>
      </c>
      <c r="AL899" s="3" t="s">
        <v>59</v>
      </c>
      <c r="AM899" s="3" t="s">
        <v>115</v>
      </c>
      <c r="AN899" s="3" t="s">
        <v>61</v>
      </c>
      <c r="AO899" s="3" t="s">
        <v>62</v>
      </c>
      <c r="AP899" s="3" t="s">
        <v>69</v>
      </c>
      <c r="AQ899" s="3" t="s">
        <v>61</v>
      </c>
      <c r="AR899" s="3" t="s">
        <v>48</v>
      </c>
    </row>
    <row r="900" spans="1:44" ht="30" customHeight="1">
      <c r="A900" s="3" t="s">
        <v>44</v>
      </c>
      <c r="B900" s="3" t="s">
        <v>45</v>
      </c>
      <c r="C900" s="3" t="s">
        <v>46</v>
      </c>
      <c r="D900" s="3" t="s">
        <v>108</v>
      </c>
      <c r="E900" s="3" t="s">
        <v>48</v>
      </c>
      <c r="F900" s="3" t="s">
        <v>108</v>
      </c>
      <c r="G900" s="3" t="s">
        <v>1969</v>
      </c>
      <c r="H900" s="4">
        <f>IF(DATEDIF(L900,S900,"m")&gt;12,DATEDIF(L900,S900,"y"),(DATEDIF(L900,S900,"m")/12))</f>
        <v>49</v>
      </c>
      <c r="I900" s="7">
        <f>DATEDIF(L900,S900,"M")</f>
        <v>595</v>
      </c>
      <c r="J900" s="7">
        <f>DATEDIF(L900,S900,"D")</f>
        <v>18137</v>
      </c>
      <c r="K900" s="3" t="s">
        <v>64</v>
      </c>
      <c r="L900" s="8">
        <v>26817</v>
      </c>
      <c r="M900" s="3" t="s">
        <v>45</v>
      </c>
      <c r="N900" s="3" t="s">
        <v>73</v>
      </c>
      <c r="O900" s="3" t="s">
        <v>52</v>
      </c>
      <c r="P900" s="3" t="s">
        <v>74</v>
      </c>
      <c r="Q900" s="7">
        <v>0</v>
      </c>
      <c r="R900" s="8">
        <v>44957</v>
      </c>
      <c r="S900" s="8">
        <v>44954</v>
      </c>
      <c r="T900" s="3" t="s">
        <v>54</v>
      </c>
      <c r="U900" s="3" t="s">
        <v>55</v>
      </c>
      <c r="V900" s="9"/>
      <c r="W900" s="10">
        <v>44963</v>
      </c>
      <c r="X900" s="7">
        <v>6</v>
      </c>
      <c r="Y900" s="7">
        <v>3</v>
      </c>
      <c r="Z900" s="7">
        <v>1</v>
      </c>
      <c r="AA900" s="7">
        <f>INT((S900-DATE(YEAR(S900-WEEKDAY(S900-0)+4),1,4)+WEEKDAY(DATE(YEAR(S900-WEEKDAY(S900-0)+4),1,4))+6)/7)</f>
        <v>4</v>
      </c>
      <c r="AB900" s="3" t="s">
        <v>1970</v>
      </c>
      <c r="AC900" s="7">
        <v>190</v>
      </c>
      <c r="AD900" s="7">
        <v>0</v>
      </c>
      <c r="AE900" s="7">
        <v>0</v>
      </c>
      <c r="AF900" s="3" t="s">
        <v>48</v>
      </c>
      <c r="AG900" s="7">
        <v>2023</v>
      </c>
      <c r="AH900" s="3" t="s">
        <v>112</v>
      </c>
      <c r="AI900" s="3" t="s">
        <v>113</v>
      </c>
      <c r="AJ900" s="3" t="s">
        <v>48</v>
      </c>
      <c r="AK900" s="3" t="s">
        <v>144</v>
      </c>
      <c r="AL900" s="3" t="s">
        <v>59</v>
      </c>
      <c r="AM900" s="3" t="s">
        <v>115</v>
      </c>
      <c r="AN900" s="3" t="s">
        <v>61</v>
      </c>
      <c r="AO900" s="3" t="s">
        <v>62</v>
      </c>
      <c r="AP900" s="3" t="s">
        <v>69</v>
      </c>
      <c r="AQ900" s="3" t="s">
        <v>61</v>
      </c>
      <c r="AR900" s="3" t="s">
        <v>48</v>
      </c>
    </row>
    <row r="901" spans="1:44" ht="30" customHeight="1">
      <c r="A901" s="3" t="s">
        <v>44</v>
      </c>
      <c r="B901" s="3" t="s">
        <v>45</v>
      </c>
      <c r="C901" s="3" t="s">
        <v>46</v>
      </c>
      <c r="D901" s="3" t="s">
        <v>108</v>
      </c>
      <c r="E901" s="3" t="s">
        <v>48</v>
      </c>
      <c r="F901" s="3" t="s">
        <v>108</v>
      </c>
      <c r="G901" s="3" t="s">
        <v>353</v>
      </c>
      <c r="H901" s="4">
        <f>IF(DATEDIF(L901,S901,"m")&gt;12,DATEDIF(L901,S901,"y"),(DATEDIF(L901,S901,"m")/12))</f>
        <v>6</v>
      </c>
      <c r="I901" s="7">
        <f>DATEDIF(L901,S901,"M")</f>
        <v>81</v>
      </c>
      <c r="J901" s="7">
        <f>DATEDIF(L901,S901,"D")</f>
        <v>2482</v>
      </c>
      <c r="K901" s="3" t="s">
        <v>51</v>
      </c>
      <c r="L901" s="8">
        <v>42477</v>
      </c>
      <c r="M901" s="3" t="s">
        <v>45</v>
      </c>
      <c r="N901" s="3" t="s">
        <v>73</v>
      </c>
      <c r="O901" s="3" t="s">
        <v>52</v>
      </c>
      <c r="P901" s="3" t="s">
        <v>354</v>
      </c>
      <c r="Q901" s="7">
        <v>0</v>
      </c>
      <c r="R901" s="8">
        <v>44964</v>
      </c>
      <c r="S901" s="8">
        <v>44959</v>
      </c>
      <c r="T901" s="3" t="s">
        <v>54</v>
      </c>
      <c r="U901" s="3" t="s">
        <v>55</v>
      </c>
      <c r="V901" s="9"/>
      <c r="W901" s="10">
        <v>44971</v>
      </c>
      <c r="X901" s="7">
        <v>7</v>
      </c>
      <c r="Y901" s="7">
        <v>5</v>
      </c>
      <c r="Z901" s="7">
        <v>2</v>
      </c>
      <c r="AA901" s="7">
        <f>INT((S901-DATE(YEAR(S901-WEEKDAY(S901-0)+4),1,4)+WEEKDAY(DATE(YEAR(S901-WEEKDAY(S901-0)+4),1,4))+6)/7)</f>
        <v>5</v>
      </c>
      <c r="AB901" s="3" t="s">
        <v>355</v>
      </c>
      <c r="AC901" s="7">
        <v>219</v>
      </c>
      <c r="AD901" s="7">
        <v>0</v>
      </c>
      <c r="AE901" s="7">
        <v>0</v>
      </c>
      <c r="AF901" s="3" t="s">
        <v>48</v>
      </c>
      <c r="AG901" s="7">
        <v>2023</v>
      </c>
      <c r="AH901" s="3" t="s">
        <v>112</v>
      </c>
      <c r="AI901" s="3" t="s">
        <v>113</v>
      </c>
      <c r="AJ901" s="3" t="s">
        <v>48</v>
      </c>
      <c r="AK901" s="3" t="s">
        <v>144</v>
      </c>
      <c r="AL901" s="3" t="s">
        <v>59</v>
      </c>
      <c r="AM901" s="3" t="s">
        <v>115</v>
      </c>
      <c r="AN901" s="3" t="s">
        <v>61</v>
      </c>
      <c r="AO901" s="3" t="s">
        <v>62</v>
      </c>
      <c r="AP901" s="3" t="s">
        <v>69</v>
      </c>
      <c r="AQ901" s="3" t="s">
        <v>61</v>
      </c>
      <c r="AR901" s="3" t="s">
        <v>48</v>
      </c>
    </row>
    <row r="902" spans="1:44" ht="30" customHeight="1">
      <c r="A902" s="3" t="s">
        <v>44</v>
      </c>
      <c r="B902" s="3" t="s">
        <v>45</v>
      </c>
      <c r="C902" s="3" t="s">
        <v>46</v>
      </c>
      <c r="D902" s="3" t="s">
        <v>108</v>
      </c>
      <c r="E902" s="3" t="s">
        <v>48</v>
      </c>
      <c r="F902" s="3" t="s">
        <v>108</v>
      </c>
      <c r="G902" s="3" t="s">
        <v>1449</v>
      </c>
      <c r="H902" s="4">
        <f>IF(DATEDIF(L902,S902,"m")&gt;12,DATEDIF(L902,S902,"y"),(DATEDIF(L902,S902,"m")/12))</f>
        <v>32</v>
      </c>
      <c r="I902" s="7">
        <f>DATEDIF(L902,S902,"M")</f>
        <v>388</v>
      </c>
      <c r="J902" s="7">
        <f>DATEDIF(L902,S902,"D")</f>
        <v>11822</v>
      </c>
      <c r="K902" s="3" t="s">
        <v>64</v>
      </c>
      <c r="L902" s="8">
        <v>33142</v>
      </c>
      <c r="M902" s="3" t="s">
        <v>45</v>
      </c>
      <c r="N902" s="3" t="s">
        <v>73</v>
      </c>
      <c r="O902" s="3" t="s">
        <v>52</v>
      </c>
      <c r="P902" s="3" t="s">
        <v>927</v>
      </c>
      <c r="Q902" s="7">
        <v>0</v>
      </c>
      <c r="R902" s="8">
        <v>44966</v>
      </c>
      <c r="S902" s="8">
        <v>44964</v>
      </c>
      <c r="T902" s="3" t="s">
        <v>54</v>
      </c>
      <c r="U902" s="3" t="s">
        <v>55</v>
      </c>
      <c r="V902" s="9"/>
      <c r="W902" s="10">
        <v>44971</v>
      </c>
      <c r="X902" s="7">
        <v>5</v>
      </c>
      <c r="Y902" s="7">
        <v>2</v>
      </c>
      <c r="Z902" s="7">
        <v>2</v>
      </c>
      <c r="AA902" s="7">
        <f>INT((S902-DATE(YEAR(S902-WEEKDAY(S902-0)+4),1,4)+WEEKDAY(DATE(YEAR(S902-WEEKDAY(S902-0)+4),1,4))+6)/7)</f>
        <v>6</v>
      </c>
      <c r="AB902" s="3" t="s">
        <v>1450</v>
      </c>
      <c r="AC902" s="7">
        <v>250</v>
      </c>
      <c r="AD902" s="7">
        <v>0</v>
      </c>
      <c r="AE902" s="7">
        <v>0</v>
      </c>
      <c r="AF902" s="3" t="s">
        <v>48</v>
      </c>
      <c r="AG902" s="7">
        <v>2023</v>
      </c>
      <c r="AH902" s="3" t="s">
        <v>112</v>
      </c>
      <c r="AI902" s="3" t="s">
        <v>113</v>
      </c>
      <c r="AJ902" s="3" t="s">
        <v>48</v>
      </c>
      <c r="AK902" s="3" t="s">
        <v>144</v>
      </c>
      <c r="AL902" s="3" t="s">
        <v>59</v>
      </c>
      <c r="AM902" s="3" t="s">
        <v>115</v>
      </c>
      <c r="AN902" s="3" t="s">
        <v>61</v>
      </c>
      <c r="AO902" s="3" t="s">
        <v>62</v>
      </c>
      <c r="AP902" s="3" t="s">
        <v>69</v>
      </c>
      <c r="AQ902" s="3" t="s">
        <v>61</v>
      </c>
      <c r="AR902" s="3" t="s">
        <v>48</v>
      </c>
    </row>
    <row r="903" spans="1:44" ht="30" customHeight="1">
      <c r="A903" s="3" t="s">
        <v>44</v>
      </c>
      <c r="B903" s="3" t="s">
        <v>45</v>
      </c>
      <c r="C903" s="3" t="s">
        <v>46</v>
      </c>
      <c r="D903" s="3" t="s">
        <v>108</v>
      </c>
      <c r="E903" s="3" t="s">
        <v>48</v>
      </c>
      <c r="F903" s="3" t="s">
        <v>108</v>
      </c>
      <c r="G903" s="3" t="s">
        <v>2264</v>
      </c>
      <c r="H903" s="4">
        <f>IF(DATEDIF(L903,S903,"m")&gt;12,DATEDIF(L903,S903,"y"),(DATEDIF(L903,S903,"m")/12))</f>
        <v>11</v>
      </c>
      <c r="I903" s="7">
        <f>DATEDIF(L903,S903,"M")</f>
        <v>134</v>
      </c>
      <c r="J903" s="7">
        <f>DATEDIF(L903,S903,"D")</f>
        <v>4089</v>
      </c>
      <c r="K903" s="3" t="s">
        <v>51</v>
      </c>
      <c r="L903" s="8">
        <v>40876</v>
      </c>
      <c r="M903" s="3" t="s">
        <v>45</v>
      </c>
      <c r="N903" s="3" t="s">
        <v>73</v>
      </c>
      <c r="O903" s="3" t="s">
        <v>52</v>
      </c>
      <c r="P903" s="3" t="s">
        <v>1467</v>
      </c>
      <c r="Q903" s="7">
        <v>0</v>
      </c>
      <c r="R903" s="8">
        <v>44967</v>
      </c>
      <c r="S903" s="8">
        <v>44965</v>
      </c>
      <c r="T903" s="3" t="s">
        <v>54</v>
      </c>
      <c r="U903" s="3" t="s">
        <v>55</v>
      </c>
      <c r="V903" s="9"/>
      <c r="W903" s="10">
        <v>44971</v>
      </c>
      <c r="X903" s="7">
        <v>4</v>
      </c>
      <c r="Y903" s="7">
        <v>2</v>
      </c>
      <c r="Z903" s="7">
        <v>2</v>
      </c>
      <c r="AA903" s="7">
        <f>INT((S903-DATE(YEAR(S903-WEEKDAY(S903-0)+4),1,4)+WEEKDAY(DATE(YEAR(S903-WEEKDAY(S903-0)+4),1,4))+6)/7)</f>
        <v>6</v>
      </c>
      <c r="AB903" s="3" t="s">
        <v>2265</v>
      </c>
      <c r="AC903" s="7">
        <v>254</v>
      </c>
      <c r="AD903" s="7">
        <v>0</v>
      </c>
      <c r="AE903" s="7">
        <v>0</v>
      </c>
      <c r="AF903" s="3" t="s">
        <v>48</v>
      </c>
      <c r="AG903" s="7">
        <v>2023</v>
      </c>
      <c r="AH903" s="3" t="s">
        <v>112</v>
      </c>
      <c r="AI903" s="3" t="s">
        <v>113</v>
      </c>
      <c r="AJ903" s="3" t="s">
        <v>48</v>
      </c>
      <c r="AK903" s="3" t="s">
        <v>144</v>
      </c>
      <c r="AL903" s="3" t="s">
        <v>59</v>
      </c>
      <c r="AM903" s="3" t="s">
        <v>115</v>
      </c>
      <c r="AN903" s="3" t="s">
        <v>61</v>
      </c>
      <c r="AO903" s="3" t="s">
        <v>62</v>
      </c>
      <c r="AP903" s="3" t="s">
        <v>69</v>
      </c>
      <c r="AQ903" s="3" t="s">
        <v>61</v>
      </c>
      <c r="AR903" s="3" t="s">
        <v>48</v>
      </c>
    </row>
    <row r="904" spans="1:44" ht="30" customHeight="1">
      <c r="A904" s="3" t="s">
        <v>44</v>
      </c>
      <c r="B904" s="3" t="s">
        <v>45</v>
      </c>
      <c r="C904" s="3" t="s">
        <v>46</v>
      </c>
      <c r="D904" s="3" t="s">
        <v>108</v>
      </c>
      <c r="E904" s="3" t="s">
        <v>48</v>
      </c>
      <c r="F904" s="3" t="s">
        <v>108</v>
      </c>
      <c r="G904" s="3" t="s">
        <v>141</v>
      </c>
      <c r="H904" s="5">
        <f>IF(DATEDIF(L904,S904,"m")&gt;12,DATEDIF(L904,S904,"y"),(DATEDIF(L904,S904,"m")/12))</f>
        <v>0.5</v>
      </c>
      <c r="I904" s="7">
        <f>DATEDIF(L904,S904,"M")</f>
        <v>6</v>
      </c>
      <c r="J904" s="7">
        <f>DATEDIF(L904,S904,"D")</f>
        <v>213</v>
      </c>
      <c r="K904" s="3" t="s">
        <v>51</v>
      </c>
      <c r="L904" s="8">
        <v>44763</v>
      </c>
      <c r="M904" s="3" t="s">
        <v>45</v>
      </c>
      <c r="N904" s="3" t="s">
        <v>73</v>
      </c>
      <c r="O904" s="3" t="s">
        <v>52</v>
      </c>
      <c r="P904" s="3" t="s">
        <v>142</v>
      </c>
      <c r="Q904" s="7">
        <v>0</v>
      </c>
      <c r="R904" s="8">
        <v>44978</v>
      </c>
      <c r="S904" s="8">
        <v>44976</v>
      </c>
      <c r="T904" s="3" t="s">
        <v>54</v>
      </c>
      <c r="U904" s="3" t="s">
        <v>55</v>
      </c>
      <c r="V904" s="9"/>
      <c r="W904" s="10">
        <v>44984</v>
      </c>
      <c r="X904" s="7">
        <v>6</v>
      </c>
      <c r="Y904" s="7">
        <v>2</v>
      </c>
      <c r="Z904" s="7">
        <v>2</v>
      </c>
      <c r="AA904" s="7">
        <f>INT((S904-DATE(YEAR(S904-WEEKDAY(S904-0)+4),1,4)+WEEKDAY(DATE(YEAR(S904-WEEKDAY(S904-0)+4),1,4))+6)/7)</f>
        <v>8</v>
      </c>
      <c r="AB904" s="3" t="s">
        <v>143</v>
      </c>
      <c r="AC904" s="7">
        <v>281</v>
      </c>
      <c r="AD904" s="7">
        <v>0</v>
      </c>
      <c r="AE904" s="7">
        <v>0</v>
      </c>
      <c r="AF904" s="3" t="s">
        <v>48</v>
      </c>
      <c r="AG904" s="7">
        <v>2023</v>
      </c>
      <c r="AH904" s="3" t="s">
        <v>112</v>
      </c>
      <c r="AI904" s="3" t="s">
        <v>113</v>
      </c>
      <c r="AJ904" s="3" t="s">
        <v>48</v>
      </c>
      <c r="AK904" s="3" t="s">
        <v>144</v>
      </c>
      <c r="AL904" s="3" t="s">
        <v>59</v>
      </c>
      <c r="AM904" s="3" t="s">
        <v>115</v>
      </c>
      <c r="AN904" s="3" t="s">
        <v>61</v>
      </c>
      <c r="AO904" s="3" t="s">
        <v>62</v>
      </c>
      <c r="AP904" s="3" t="s">
        <v>69</v>
      </c>
      <c r="AQ904" s="3" t="s">
        <v>61</v>
      </c>
      <c r="AR904" s="3" t="s">
        <v>48</v>
      </c>
    </row>
    <row r="905" spans="1:44" ht="30" customHeight="1">
      <c r="A905" s="3" t="s">
        <v>44</v>
      </c>
      <c r="B905" s="3" t="s">
        <v>45</v>
      </c>
      <c r="C905" s="3" t="s">
        <v>46</v>
      </c>
      <c r="D905" s="3" t="s">
        <v>108</v>
      </c>
      <c r="E905" s="3" t="s">
        <v>48</v>
      </c>
      <c r="F905" s="3" t="s">
        <v>108</v>
      </c>
      <c r="G905" s="3" t="s">
        <v>994</v>
      </c>
      <c r="H905" s="4">
        <f>IF(DATEDIF(L905,S905,"m")&gt;12,DATEDIF(L905,S905,"y"),(DATEDIF(L905,S905,"m")/12))</f>
        <v>37</v>
      </c>
      <c r="I905" s="7">
        <f>DATEDIF(L905,S905,"M")</f>
        <v>450</v>
      </c>
      <c r="J905" s="7">
        <f>DATEDIF(L905,S905,"D")</f>
        <v>13710</v>
      </c>
      <c r="K905" s="3" t="s">
        <v>64</v>
      </c>
      <c r="L905" s="8">
        <v>31267</v>
      </c>
      <c r="M905" s="3" t="s">
        <v>45</v>
      </c>
      <c r="N905" s="3" t="s">
        <v>73</v>
      </c>
      <c r="O905" s="3" t="s">
        <v>52</v>
      </c>
      <c r="P905" s="3" t="s">
        <v>995</v>
      </c>
      <c r="Q905" s="7">
        <v>0</v>
      </c>
      <c r="R905" s="8">
        <v>44980</v>
      </c>
      <c r="S905" s="8">
        <v>44977</v>
      </c>
      <c r="T905" s="3" t="s">
        <v>54</v>
      </c>
      <c r="U905" s="3" t="s">
        <v>55</v>
      </c>
      <c r="V905" s="9"/>
      <c r="W905" s="10">
        <v>44984</v>
      </c>
      <c r="X905" s="7">
        <v>4</v>
      </c>
      <c r="Y905" s="7">
        <v>3</v>
      </c>
      <c r="Z905" s="7">
        <v>2</v>
      </c>
      <c r="AA905" s="7">
        <f>INT((S905-DATE(YEAR(S905-WEEKDAY(S905-0)+4),1,4)+WEEKDAY(DATE(YEAR(S905-WEEKDAY(S905-0)+4),1,4))+6)/7)</f>
        <v>8</v>
      </c>
      <c r="AB905" s="3" t="s">
        <v>996</v>
      </c>
      <c r="AC905" s="7">
        <v>301</v>
      </c>
      <c r="AD905" s="7">
        <v>0</v>
      </c>
      <c r="AE905" s="7">
        <v>0</v>
      </c>
      <c r="AF905" s="3" t="s">
        <v>48</v>
      </c>
      <c r="AG905" s="7">
        <v>2023</v>
      </c>
      <c r="AH905" s="3" t="s">
        <v>112</v>
      </c>
      <c r="AI905" s="3" t="s">
        <v>113</v>
      </c>
      <c r="AJ905" s="3" t="s">
        <v>48</v>
      </c>
      <c r="AK905" s="3" t="s">
        <v>144</v>
      </c>
      <c r="AL905" s="3" t="s">
        <v>59</v>
      </c>
      <c r="AM905" s="3" t="s">
        <v>115</v>
      </c>
      <c r="AN905" s="3" t="s">
        <v>61</v>
      </c>
      <c r="AO905" s="3" t="s">
        <v>62</v>
      </c>
      <c r="AP905" s="3" t="s">
        <v>69</v>
      </c>
      <c r="AQ905" s="3" t="s">
        <v>61</v>
      </c>
      <c r="AR905" s="3" t="s">
        <v>48</v>
      </c>
    </row>
    <row r="906" spans="1:44" ht="30" customHeight="1">
      <c r="A906" s="3" t="s">
        <v>44</v>
      </c>
      <c r="B906" s="3" t="s">
        <v>45</v>
      </c>
      <c r="C906" s="3" t="s">
        <v>46</v>
      </c>
      <c r="D906" s="3" t="s">
        <v>108</v>
      </c>
      <c r="E906" s="3" t="s">
        <v>48</v>
      </c>
      <c r="F906" s="3" t="s">
        <v>108</v>
      </c>
      <c r="G906" s="3" t="s">
        <v>937</v>
      </c>
      <c r="H906" s="4">
        <f>IF(DATEDIF(L906,S906,"m")&gt;12,DATEDIF(L906,S906,"y"),(DATEDIF(L906,S906,"m")/12))</f>
        <v>4</v>
      </c>
      <c r="I906" s="7">
        <f>DATEDIF(L906,S906,"M")</f>
        <v>56</v>
      </c>
      <c r="J906" s="7">
        <f>DATEDIF(L906,S906,"D")</f>
        <v>1727</v>
      </c>
      <c r="K906" s="3" t="s">
        <v>64</v>
      </c>
      <c r="L906" s="8">
        <v>43265</v>
      </c>
      <c r="M906" s="3" t="s">
        <v>45</v>
      </c>
      <c r="N906" s="3" t="s">
        <v>73</v>
      </c>
      <c r="O906" s="3" t="s">
        <v>52</v>
      </c>
      <c r="P906" s="3" t="s">
        <v>938</v>
      </c>
      <c r="Q906" s="7">
        <v>0</v>
      </c>
      <c r="R906" s="8">
        <v>44994</v>
      </c>
      <c r="S906" s="8">
        <v>44992</v>
      </c>
      <c r="T906" s="3" t="s">
        <v>54</v>
      </c>
      <c r="U906" s="3" t="s">
        <v>55</v>
      </c>
      <c r="V906" s="9"/>
      <c r="W906" s="10">
        <v>44998</v>
      </c>
      <c r="X906" s="7">
        <v>4</v>
      </c>
      <c r="Y906" s="7">
        <v>2</v>
      </c>
      <c r="Z906" s="7">
        <v>3</v>
      </c>
      <c r="AA906" s="7">
        <f>INT((S906-DATE(YEAR(S906-WEEKDAY(S906-0)+4),1,4)+WEEKDAY(DATE(YEAR(S906-WEEKDAY(S906-0)+4),1,4))+6)/7)</f>
        <v>10</v>
      </c>
      <c r="AB906" s="3" t="s">
        <v>939</v>
      </c>
      <c r="AC906" s="7">
        <v>345</v>
      </c>
      <c r="AD906" s="7">
        <v>0</v>
      </c>
      <c r="AE906" s="7">
        <v>0</v>
      </c>
      <c r="AF906" s="3" t="s">
        <v>48</v>
      </c>
      <c r="AG906" s="7">
        <v>2023</v>
      </c>
      <c r="AH906" s="3" t="s">
        <v>112</v>
      </c>
      <c r="AI906" s="3" t="s">
        <v>113</v>
      </c>
      <c r="AJ906" s="3" t="s">
        <v>48</v>
      </c>
      <c r="AK906" s="3" t="s">
        <v>144</v>
      </c>
      <c r="AL906" s="3" t="s">
        <v>59</v>
      </c>
      <c r="AM906" s="3" t="s">
        <v>115</v>
      </c>
      <c r="AN906" s="3" t="s">
        <v>61</v>
      </c>
      <c r="AO906" s="3" t="s">
        <v>62</v>
      </c>
      <c r="AP906" s="3" t="s">
        <v>69</v>
      </c>
      <c r="AQ906" s="3" t="s">
        <v>61</v>
      </c>
      <c r="AR906" s="3" t="s">
        <v>48</v>
      </c>
    </row>
    <row r="907" spans="1:44" ht="30" customHeight="1">
      <c r="A907" s="3" t="s">
        <v>44</v>
      </c>
      <c r="B907" s="3" t="s">
        <v>45</v>
      </c>
      <c r="C907" s="3" t="s">
        <v>46</v>
      </c>
      <c r="D907" s="3" t="s">
        <v>47</v>
      </c>
      <c r="E907" s="3" t="s">
        <v>48</v>
      </c>
      <c r="F907" s="3" t="s">
        <v>49</v>
      </c>
      <c r="G907" s="3" t="s">
        <v>977</v>
      </c>
      <c r="H907" s="4">
        <f>IF(DATEDIF(L907,S907,"m")&gt;12,DATEDIF(L907,S907,"y"),(DATEDIF(L907,S907,"m")/12))</f>
        <v>1</v>
      </c>
      <c r="I907" s="7">
        <f>DATEDIF(L907,S907,"M")</f>
        <v>13</v>
      </c>
      <c r="J907" s="7">
        <f>DATEDIF(L907,S907,"D")</f>
        <v>411</v>
      </c>
      <c r="K907" s="3" t="s">
        <v>51</v>
      </c>
      <c r="L907" s="8">
        <v>44590</v>
      </c>
      <c r="M907" s="3" t="s">
        <v>45</v>
      </c>
      <c r="N907" s="3" t="s">
        <v>73</v>
      </c>
      <c r="O907" s="3" t="s">
        <v>52</v>
      </c>
      <c r="P907" s="3" t="s">
        <v>255</v>
      </c>
      <c r="Q907" s="7">
        <v>0</v>
      </c>
      <c r="R907" s="8">
        <v>45002</v>
      </c>
      <c r="S907" s="8">
        <v>45001</v>
      </c>
      <c r="T907" s="3" t="s">
        <v>54</v>
      </c>
      <c r="U907" s="3" t="s">
        <v>55</v>
      </c>
      <c r="V907" s="9"/>
      <c r="W907" s="10">
        <v>45005</v>
      </c>
      <c r="X907" s="7">
        <v>3</v>
      </c>
      <c r="Y907" s="7">
        <v>1</v>
      </c>
      <c r="Z907" s="7">
        <v>3</v>
      </c>
      <c r="AA907" s="7">
        <f>INT((S907-DATE(YEAR(S907-WEEKDAY(S907-0)+4),1,4)+WEEKDAY(DATE(YEAR(S907-WEEKDAY(S907-0)+4),1,4))+6)/7)</f>
        <v>11</v>
      </c>
      <c r="AB907" s="3" t="s">
        <v>978</v>
      </c>
      <c r="AC907" s="7">
        <v>140</v>
      </c>
      <c r="AD907" s="7">
        <v>0</v>
      </c>
      <c r="AE907" s="7">
        <v>0</v>
      </c>
      <c r="AF907" s="3" t="s">
        <v>48</v>
      </c>
      <c r="AG907" s="7">
        <v>2023</v>
      </c>
      <c r="AH907" s="3" t="s">
        <v>57</v>
      </c>
      <c r="AI907" s="3" t="s">
        <v>48</v>
      </c>
      <c r="AJ907" s="3" t="s">
        <v>48</v>
      </c>
      <c r="AK907" s="3" t="s">
        <v>144</v>
      </c>
      <c r="AL907" s="3" t="s">
        <v>59</v>
      </c>
      <c r="AM907" s="3" t="s">
        <v>60</v>
      </c>
      <c r="AN907" s="3" t="s">
        <v>61</v>
      </c>
      <c r="AO907" s="3" t="s">
        <v>62</v>
      </c>
      <c r="AP907" s="3" t="s">
        <v>69</v>
      </c>
      <c r="AQ907" s="3" t="s">
        <v>61</v>
      </c>
      <c r="AR907" s="3" t="s">
        <v>48</v>
      </c>
    </row>
    <row r="908" spans="1:44" ht="30" customHeight="1">
      <c r="A908" s="3" t="s">
        <v>44</v>
      </c>
      <c r="B908" s="3" t="s">
        <v>45</v>
      </c>
      <c r="C908" s="3" t="s">
        <v>46</v>
      </c>
      <c r="D908" s="3" t="s">
        <v>47</v>
      </c>
      <c r="E908" s="3" t="s">
        <v>48</v>
      </c>
      <c r="F908" s="3" t="s">
        <v>49</v>
      </c>
      <c r="G908" s="3" t="s">
        <v>2033</v>
      </c>
      <c r="H908" s="4">
        <f>IF(DATEDIF(L908,S908,"m")&gt;12,DATEDIF(L908,S908,"y"),(DATEDIF(L908,S908,"m")/12))</f>
        <v>11</v>
      </c>
      <c r="I908" s="7">
        <f>DATEDIF(L908,S908,"M")</f>
        <v>134</v>
      </c>
      <c r="J908" s="7">
        <f>DATEDIF(L908,S908,"D")</f>
        <v>4090</v>
      </c>
      <c r="K908" s="3" t="s">
        <v>64</v>
      </c>
      <c r="L908" s="8">
        <v>40912</v>
      </c>
      <c r="M908" s="3" t="s">
        <v>45</v>
      </c>
      <c r="N908" s="3" t="s">
        <v>73</v>
      </c>
      <c r="O908" s="3" t="s">
        <v>52</v>
      </c>
      <c r="P908" s="3" t="s">
        <v>255</v>
      </c>
      <c r="Q908" s="7">
        <v>0</v>
      </c>
      <c r="R908" s="8">
        <v>45009</v>
      </c>
      <c r="S908" s="8">
        <v>45002</v>
      </c>
      <c r="T908" s="3" t="s">
        <v>54</v>
      </c>
      <c r="U908" s="3" t="s">
        <v>55</v>
      </c>
      <c r="V908" s="9"/>
      <c r="W908" s="10">
        <v>45009</v>
      </c>
      <c r="X908" s="7">
        <v>0</v>
      </c>
      <c r="Y908" s="7">
        <v>7</v>
      </c>
      <c r="Z908" s="7">
        <v>3</v>
      </c>
      <c r="AA908" s="7">
        <f>INT((S908-DATE(YEAR(S908-WEEKDAY(S908-0)+4),1,4)+WEEKDAY(DATE(YEAR(S908-WEEKDAY(S908-0)+4),1,4))+6)/7)</f>
        <v>11</v>
      </c>
      <c r="AB908" s="3" t="s">
        <v>2034</v>
      </c>
      <c r="AC908" s="7">
        <v>158</v>
      </c>
      <c r="AD908" s="7">
        <v>0</v>
      </c>
      <c r="AE908" s="7">
        <v>0</v>
      </c>
      <c r="AF908" s="3" t="s">
        <v>48</v>
      </c>
      <c r="AG908" s="7">
        <v>2023</v>
      </c>
      <c r="AH908" s="3" t="s">
        <v>57</v>
      </c>
      <c r="AI908" s="3" t="s">
        <v>48</v>
      </c>
      <c r="AJ908" s="3" t="s">
        <v>48</v>
      </c>
      <c r="AK908" s="3" t="s">
        <v>144</v>
      </c>
      <c r="AL908" s="3" t="s">
        <v>59</v>
      </c>
      <c r="AM908" s="3" t="s">
        <v>60</v>
      </c>
      <c r="AN908" s="3" t="s">
        <v>61</v>
      </c>
      <c r="AO908" s="3" t="s">
        <v>62</v>
      </c>
      <c r="AP908" s="3" t="s">
        <v>69</v>
      </c>
      <c r="AQ908" s="3" t="s">
        <v>61</v>
      </c>
      <c r="AR908" s="3" t="s">
        <v>48</v>
      </c>
    </row>
    <row r="909" spans="1:44" ht="30" customHeight="1">
      <c r="A909" s="3" t="s">
        <v>44</v>
      </c>
      <c r="B909" s="3" t="s">
        <v>45</v>
      </c>
      <c r="C909" s="3" t="s">
        <v>46</v>
      </c>
      <c r="D909" s="3" t="s">
        <v>108</v>
      </c>
      <c r="E909" s="3" t="s">
        <v>48</v>
      </c>
      <c r="F909" s="3" t="s">
        <v>108</v>
      </c>
      <c r="G909" s="3" t="s">
        <v>335</v>
      </c>
      <c r="H909" s="4">
        <f>IF(DATEDIF(L909,S909,"m")&gt;12,DATEDIF(L909,S909,"y"),(DATEDIF(L909,S909,"m")/12))</f>
        <v>18</v>
      </c>
      <c r="I909" s="7">
        <f>DATEDIF(L909,S909,"M")</f>
        <v>216</v>
      </c>
      <c r="J909" s="7">
        <f>DATEDIF(L909,S909,"D")</f>
        <v>6579</v>
      </c>
      <c r="K909" s="3" t="s">
        <v>51</v>
      </c>
      <c r="L909" s="8">
        <v>38423</v>
      </c>
      <c r="M909" s="3" t="s">
        <v>45</v>
      </c>
      <c r="N909" s="3" t="s">
        <v>73</v>
      </c>
      <c r="O909" s="3" t="s">
        <v>52</v>
      </c>
      <c r="P909" s="3" t="s">
        <v>336</v>
      </c>
      <c r="Q909" s="7">
        <v>0</v>
      </c>
      <c r="R909" s="8">
        <v>45009</v>
      </c>
      <c r="S909" s="8">
        <v>45002</v>
      </c>
      <c r="T909" s="3" t="s">
        <v>54</v>
      </c>
      <c r="U909" s="3" t="s">
        <v>55</v>
      </c>
      <c r="V909" s="9"/>
      <c r="W909" s="10">
        <v>45012</v>
      </c>
      <c r="X909" s="7">
        <v>3</v>
      </c>
      <c r="Y909" s="7">
        <v>7</v>
      </c>
      <c r="Z909" s="7">
        <v>3</v>
      </c>
      <c r="AA909" s="7">
        <f>INT((S909-DATE(YEAR(S909-WEEKDAY(S909-0)+4),1,4)+WEEKDAY(DATE(YEAR(S909-WEEKDAY(S909-0)+4),1,4))+6)/7)</f>
        <v>11</v>
      </c>
      <c r="AB909" s="3" t="s">
        <v>337</v>
      </c>
      <c r="AC909" s="7">
        <v>385</v>
      </c>
      <c r="AD909" s="7">
        <v>0</v>
      </c>
      <c r="AE909" s="7">
        <v>0</v>
      </c>
      <c r="AF909" s="3" t="s">
        <v>48</v>
      </c>
      <c r="AG909" s="7">
        <v>2023</v>
      </c>
      <c r="AH909" s="3" t="s">
        <v>112</v>
      </c>
      <c r="AI909" s="3" t="s">
        <v>113</v>
      </c>
      <c r="AJ909" s="3" t="s">
        <v>48</v>
      </c>
      <c r="AK909" s="3" t="s">
        <v>144</v>
      </c>
      <c r="AL909" s="3" t="s">
        <v>59</v>
      </c>
      <c r="AM909" s="3" t="s">
        <v>115</v>
      </c>
      <c r="AN909" s="3" t="s">
        <v>61</v>
      </c>
      <c r="AO909" s="3" t="s">
        <v>62</v>
      </c>
      <c r="AP909" s="3" t="s">
        <v>69</v>
      </c>
      <c r="AQ909" s="3" t="s">
        <v>61</v>
      </c>
      <c r="AR909" s="3" t="s">
        <v>48</v>
      </c>
    </row>
    <row r="910" spans="1:44" ht="30" customHeight="1">
      <c r="A910" s="3" t="s">
        <v>44</v>
      </c>
      <c r="B910" s="3" t="s">
        <v>45</v>
      </c>
      <c r="C910" s="3" t="s">
        <v>46</v>
      </c>
      <c r="D910" s="3" t="s">
        <v>108</v>
      </c>
      <c r="E910" s="3" t="s">
        <v>48</v>
      </c>
      <c r="F910" s="3" t="s">
        <v>108</v>
      </c>
      <c r="G910" s="3" t="s">
        <v>394</v>
      </c>
      <c r="H910" s="5">
        <f>IF(DATEDIF(L910,S910,"m")&gt;12,DATEDIF(L910,S910,"y"),(DATEDIF(L910,S910,"m")/12))</f>
        <v>0.66666666666666663</v>
      </c>
      <c r="I910" s="7">
        <f>DATEDIF(L910,S910,"M")</f>
        <v>8</v>
      </c>
      <c r="J910" s="7">
        <f>DATEDIF(L910,S910,"D")</f>
        <v>243</v>
      </c>
      <c r="K910" s="3" t="s">
        <v>51</v>
      </c>
      <c r="L910" s="8">
        <v>44763</v>
      </c>
      <c r="M910" s="3" t="s">
        <v>45</v>
      </c>
      <c r="N910" s="3" t="s">
        <v>73</v>
      </c>
      <c r="O910" s="3" t="s">
        <v>52</v>
      </c>
      <c r="P910" s="3" t="s">
        <v>169</v>
      </c>
      <c r="Q910" s="7">
        <v>0</v>
      </c>
      <c r="R910" s="8">
        <v>45008</v>
      </c>
      <c r="S910" s="8">
        <v>45006</v>
      </c>
      <c r="T910" s="3" t="s">
        <v>54</v>
      </c>
      <c r="U910" s="3" t="s">
        <v>55</v>
      </c>
      <c r="V910" s="9"/>
      <c r="W910" s="10">
        <v>45012</v>
      </c>
      <c r="X910" s="7">
        <v>4</v>
      </c>
      <c r="Y910" s="7">
        <v>2</v>
      </c>
      <c r="Z910" s="7">
        <v>3</v>
      </c>
      <c r="AA910" s="7">
        <f>INT((S910-DATE(YEAR(S910-WEEKDAY(S910-0)+4),1,4)+WEEKDAY(DATE(YEAR(S910-WEEKDAY(S910-0)+4),1,4))+6)/7)</f>
        <v>12</v>
      </c>
      <c r="AB910" s="3" t="s">
        <v>395</v>
      </c>
      <c r="AC910" s="7">
        <v>378</v>
      </c>
      <c r="AD910" s="7">
        <v>0</v>
      </c>
      <c r="AE910" s="7">
        <v>0</v>
      </c>
      <c r="AF910" s="3" t="s">
        <v>48</v>
      </c>
      <c r="AG910" s="7">
        <v>2023</v>
      </c>
      <c r="AH910" s="26" t="s">
        <v>112</v>
      </c>
      <c r="AI910" s="3" t="s">
        <v>113</v>
      </c>
      <c r="AJ910" s="3" t="s">
        <v>48</v>
      </c>
      <c r="AK910" s="3" t="s">
        <v>144</v>
      </c>
      <c r="AL910" s="3" t="s">
        <v>59</v>
      </c>
      <c r="AM910" s="3" t="s">
        <v>115</v>
      </c>
      <c r="AN910" s="3" t="s">
        <v>61</v>
      </c>
      <c r="AO910" s="3" t="s">
        <v>62</v>
      </c>
      <c r="AP910" s="3" t="s">
        <v>69</v>
      </c>
      <c r="AQ910" s="3" t="s">
        <v>61</v>
      </c>
      <c r="AR910" s="3" t="s">
        <v>48</v>
      </c>
    </row>
    <row r="911" spans="1:44" ht="30" customHeight="1">
      <c r="A911" s="3" t="s">
        <v>44</v>
      </c>
      <c r="B911" s="3" t="s">
        <v>45</v>
      </c>
      <c r="C911" s="3" t="s">
        <v>46</v>
      </c>
      <c r="D911" s="3" t="s">
        <v>47</v>
      </c>
      <c r="E911" s="3" t="s">
        <v>48</v>
      </c>
      <c r="F911" s="3" t="s">
        <v>49</v>
      </c>
      <c r="G911" s="3" t="s">
        <v>50</v>
      </c>
      <c r="H911" s="4">
        <f>IF(DATEDIF(L911,S911,"m")&gt;12,DATEDIF(L911,S911,"y"),(DATEDIF(L911,S911,"m")/12))</f>
        <v>22</v>
      </c>
      <c r="I911" s="7">
        <f>DATEDIF(L911,S911,"M")</f>
        <v>270</v>
      </c>
      <c r="J911" s="7">
        <f>DATEDIF(L911,S911,"D")</f>
        <v>8224</v>
      </c>
      <c r="K911" s="3" t="s">
        <v>51</v>
      </c>
      <c r="L911" s="8">
        <v>36793</v>
      </c>
      <c r="M911" s="3" t="s">
        <v>45</v>
      </c>
      <c r="N911" s="3" t="s">
        <v>49</v>
      </c>
      <c r="O911" s="3" t="s">
        <v>52</v>
      </c>
      <c r="P911" s="3" t="s">
        <v>53</v>
      </c>
      <c r="Q911" s="7">
        <v>0</v>
      </c>
      <c r="R911" s="8">
        <v>45020</v>
      </c>
      <c r="S911" s="8">
        <v>45017</v>
      </c>
      <c r="T911" s="3" t="s">
        <v>54</v>
      </c>
      <c r="U911" s="3" t="s">
        <v>55</v>
      </c>
      <c r="V911" s="9"/>
      <c r="W911" s="10">
        <v>45022</v>
      </c>
      <c r="X911" s="7">
        <v>2</v>
      </c>
      <c r="Y911" s="7">
        <v>3</v>
      </c>
      <c r="Z911" s="7">
        <v>4</v>
      </c>
      <c r="AA911" s="7">
        <f>INT((S911-DATE(YEAR(S911-WEEKDAY(S911-0)+4),1,4)+WEEKDAY(DATE(YEAR(S911-WEEKDAY(S911-0)+4),1,4))+6)/7)</f>
        <v>13</v>
      </c>
      <c r="AB911" s="3" t="s">
        <v>56</v>
      </c>
      <c r="AC911" s="7">
        <v>178</v>
      </c>
      <c r="AD911" s="7">
        <v>0</v>
      </c>
      <c r="AE911" s="7">
        <v>0</v>
      </c>
      <c r="AF911" s="3" t="s">
        <v>48</v>
      </c>
      <c r="AG911" s="7">
        <v>2023</v>
      </c>
      <c r="AH911" s="3" t="s">
        <v>57</v>
      </c>
      <c r="AI911" s="3" t="s">
        <v>48</v>
      </c>
      <c r="AJ911" s="3" t="s">
        <v>48</v>
      </c>
      <c r="AK911" s="3" t="s">
        <v>58</v>
      </c>
      <c r="AL911" s="3" t="s">
        <v>59</v>
      </c>
      <c r="AM911" s="3" t="s">
        <v>60</v>
      </c>
      <c r="AN911" s="3" t="s">
        <v>61</v>
      </c>
      <c r="AO911" s="3" t="s">
        <v>62</v>
      </c>
      <c r="AP911" s="3" t="s">
        <v>61</v>
      </c>
      <c r="AQ911" s="3" t="s">
        <v>61</v>
      </c>
      <c r="AR911" s="3" t="s">
        <v>48</v>
      </c>
    </row>
    <row r="912" spans="1:44" ht="30" customHeight="1">
      <c r="A912" s="3" t="s">
        <v>44</v>
      </c>
      <c r="B912" s="3" t="s">
        <v>45</v>
      </c>
      <c r="C912" s="3" t="s">
        <v>46</v>
      </c>
      <c r="D912" s="3" t="s">
        <v>47</v>
      </c>
      <c r="E912" s="3" t="s">
        <v>48</v>
      </c>
      <c r="F912" s="3" t="s">
        <v>49</v>
      </c>
      <c r="G912" s="3" t="s">
        <v>363</v>
      </c>
      <c r="H912" s="4">
        <f>IF(DATEDIF(L912,S912,"m")&gt;12,DATEDIF(L912,S912,"y"),(DATEDIF(L912,S912,"m")/12))</f>
        <v>41</v>
      </c>
      <c r="I912" s="7">
        <f>DATEDIF(L912,S912,"M")</f>
        <v>496</v>
      </c>
      <c r="J912" s="7">
        <f>DATEDIF(L912,S912,"D")</f>
        <v>15118</v>
      </c>
      <c r="K912" s="3" t="s">
        <v>64</v>
      </c>
      <c r="L912" s="8">
        <v>29894</v>
      </c>
      <c r="M912" s="3" t="s">
        <v>45</v>
      </c>
      <c r="N912" s="3" t="s">
        <v>65</v>
      </c>
      <c r="O912" s="3" t="s">
        <v>52</v>
      </c>
      <c r="P912" s="3" t="s">
        <v>364</v>
      </c>
      <c r="Q912" s="7">
        <v>0</v>
      </c>
      <c r="R912" s="8">
        <v>45019</v>
      </c>
      <c r="S912" s="8">
        <v>45012</v>
      </c>
      <c r="T912" s="3" t="s">
        <v>54</v>
      </c>
      <c r="U912" s="3" t="s">
        <v>55</v>
      </c>
      <c r="V912" s="9"/>
      <c r="W912" s="10">
        <v>45022</v>
      </c>
      <c r="X912" s="7">
        <v>3</v>
      </c>
      <c r="Y912" s="7">
        <v>7</v>
      </c>
      <c r="Z912" s="7">
        <v>3</v>
      </c>
      <c r="AA912" s="7">
        <f>INT((S912-DATE(YEAR(S912-WEEKDAY(S912-0)+4),1,4)+WEEKDAY(DATE(YEAR(S912-WEEKDAY(S912-0)+4),1,4))+6)/7)</f>
        <v>13</v>
      </c>
      <c r="AB912" s="3" t="s">
        <v>365</v>
      </c>
      <c r="AC912" s="7">
        <v>179</v>
      </c>
      <c r="AD912" s="7">
        <v>0</v>
      </c>
      <c r="AE912" s="7">
        <v>0</v>
      </c>
      <c r="AF912" s="3" t="s">
        <v>48</v>
      </c>
      <c r="AG912" s="7">
        <v>2023</v>
      </c>
      <c r="AH912" s="3" t="s">
        <v>57</v>
      </c>
      <c r="AI912" s="3" t="s">
        <v>48</v>
      </c>
      <c r="AJ912" s="3" t="s">
        <v>48</v>
      </c>
      <c r="AK912" s="3" t="s">
        <v>366</v>
      </c>
      <c r="AL912" s="3" t="s">
        <v>59</v>
      </c>
      <c r="AM912" s="3" t="s">
        <v>60</v>
      </c>
      <c r="AN912" s="3" t="s">
        <v>61</v>
      </c>
      <c r="AO912" s="3" t="s">
        <v>62</v>
      </c>
      <c r="AP912" s="3" t="s">
        <v>61</v>
      </c>
      <c r="AQ912" s="3" t="s">
        <v>61</v>
      </c>
      <c r="AR912" s="3" t="s">
        <v>48</v>
      </c>
    </row>
    <row r="913" spans="1:44" ht="30" customHeight="1">
      <c r="A913" s="3" t="s">
        <v>44</v>
      </c>
      <c r="B913" s="3" t="s">
        <v>45</v>
      </c>
      <c r="C913" s="3" t="s">
        <v>46</v>
      </c>
      <c r="D913" s="3" t="s">
        <v>108</v>
      </c>
      <c r="E913" s="3" t="s">
        <v>48</v>
      </c>
      <c r="F913" s="3" t="s">
        <v>108</v>
      </c>
      <c r="G913" s="3" t="s">
        <v>1462</v>
      </c>
      <c r="H913" s="4">
        <f>IF(DATEDIF(L913,S913,"m")&gt;12,DATEDIF(L913,S913,"y"),(DATEDIF(L913,S913,"m")/12))</f>
        <v>1</v>
      </c>
      <c r="I913" s="7">
        <f>DATEDIF(L913,S913,"M")</f>
        <v>23</v>
      </c>
      <c r="J913" s="7">
        <f>DATEDIF(L913,S913,"D")</f>
        <v>714</v>
      </c>
      <c r="K913" s="3" t="s">
        <v>64</v>
      </c>
      <c r="L913" s="8">
        <v>44292</v>
      </c>
      <c r="M913" s="3" t="s">
        <v>45</v>
      </c>
      <c r="N913" s="3" t="s">
        <v>73</v>
      </c>
      <c r="O913" s="3" t="s">
        <v>52</v>
      </c>
      <c r="P913" s="3" t="s">
        <v>137</v>
      </c>
      <c r="Q913" s="7">
        <v>0</v>
      </c>
      <c r="R913" s="8">
        <v>45008</v>
      </c>
      <c r="S913" s="8">
        <v>45006</v>
      </c>
      <c r="T913" s="3" t="s">
        <v>54</v>
      </c>
      <c r="U913" s="3" t="s">
        <v>55</v>
      </c>
      <c r="V913" s="9"/>
      <c r="W913" s="10">
        <v>45012</v>
      </c>
      <c r="X913" s="7">
        <v>4</v>
      </c>
      <c r="Y913" s="7">
        <v>2</v>
      </c>
      <c r="Z913" s="7">
        <v>3</v>
      </c>
      <c r="AA913" s="7">
        <f>INT((S913-DATE(YEAR(S913-WEEKDAY(S913-0)+4),1,4)+WEEKDAY(DATE(YEAR(S913-WEEKDAY(S913-0)+4),1,4))+6)/7)</f>
        <v>12</v>
      </c>
      <c r="AB913" s="3" t="s">
        <v>1463</v>
      </c>
      <c r="AC913" s="7">
        <v>379</v>
      </c>
      <c r="AD913" s="7">
        <v>0</v>
      </c>
      <c r="AE913" s="7">
        <v>0</v>
      </c>
      <c r="AF913" s="3" t="s">
        <v>48</v>
      </c>
      <c r="AG913" s="7">
        <v>2023</v>
      </c>
      <c r="AH913" s="3" t="s">
        <v>112</v>
      </c>
      <c r="AI913" s="3" t="s">
        <v>113</v>
      </c>
      <c r="AJ913" s="3" t="s">
        <v>48</v>
      </c>
      <c r="AK913" s="3" t="s">
        <v>144</v>
      </c>
      <c r="AL913" s="3" t="s">
        <v>59</v>
      </c>
      <c r="AM913" s="3" t="s">
        <v>115</v>
      </c>
      <c r="AN913" s="3" t="s">
        <v>61</v>
      </c>
      <c r="AO913" s="3" t="s">
        <v>62</v>
      </c>
      <c r="AP913" s="3" t="s">
        <v>69</v>
      </c>
      <c r="AQ913" s="3" t="s">
        <v>61</v>
      </c>
      <c r="AR913" s="3" t="s">
        <v>48</v>
      </c>
    </row>
    <row r="914" spans="1:44" ht="30" customHeight="1">
      <c r="A914" s="3" t="s">
        <v>44</v>
      </c>
      <c r="B914" s="3" t="s">
        <v>45</v>
      </c>
      <c r="C914" s="3" t="s">
        <v>46</v>
      </c>
      <c r="D914" s="3" t="s">
        <v>47</v>
      </c>
      <c r="E914" s="3" t="s">
        <v>48</v>
      </c>
      <c r="F914" s="3" t="s">
        <v>49</v>
      </c>
      <c r="G914" s="3" t="s">
        <v>2274</v>
      </c>
      <c r="H914" s="4">
        <f>IF(DATEDIF(L914,S914,"m")&gt;12,DATEDIF(L914,S914,"y"),(DATEDIF(L914,S914,"m")/12))</f>
        <v>2</v>
      </c>
      <c r="I914" s="7">
        <f>DATEDIF(L914,S914,"M")</f>
        <v>29</v>
      </c>
      <c r="J914" s="7">
        <f>DATEDIF(L914,S914,"D")</f>
        <v>908</v>
      </c>
      <c r="K914" s="3" t="s">
        <v>51</v>
      </c>
      <c r="L914" s="8">
        <v>44104</v>
      </c>
      <c r="M914" s="3" t="s">
        <v>45</v>
      </c>
      <c r="N914" s="3" t="s">
        <v>49</v>
      </c>
      <c r="O914" s="3" t="s">
        <v>52</v>
      </c>
      <c r="P914" s="3" t="s">
        <v>53</v>
      </c>
      <c r="Q914" s="7">
        <v>0</v>
      </c>
      <c r="R914" s="8">
        <v>45020</v>
      </c>
      <c r="S914" s="8">
        <v>45012</v>
      </c>
      <c r="T914" s="3" t="s">
        <v>54</v>
      </c>
      <c r="U914" s="3" t="s">
        <v>55</v>
      </c>
      <c r="V914" s="9"/>
      <c r="W914" s="10">
        <v>45022</v>
      </c>
      <c r="X914" s="7">
        <v>2</v>
      </c>
      <c r="Y914" s="7">
        <v>8</v>
      </c>
      <c r="Z914" s="7">
        <v>3</v>
      </c>
      <c r="AA914" s="7">
        <f>INT((S914-DATE(YEAR(S914-WEEKDAY(S914-0)+4),1,4)+WEEKDAY(DATE(YEAR(S914-WEEKDAY(S914-0)+4),1,4))+6)/7)</f>
        <v>13</v>
      </c>
      <c r="AB914" s="3" t="s">
        <v>2275</v>
      </c>
      <c r="AC914" s="7">
        <v>177</v>
      </c>
      <c r="AD914" s="7">
        <v>0</v>
      </c>
      <c r="AE914" s="7">
        <v>0</v>
      </c>
      <c r="AF914" s="3" t="s">
        <v>48</v>
      </c>
      <c r="AG914" s="7">
        <v>2023</v>
      </c>
      <c r="AH914" s="3" t="s">
        <v>57</v>
      </c>
      <c r="AI914" s="3" t="s">
        <v>48</v>
      </c>
      <c r="AJ914" s="3" t="s">
        <v>48</v>
      </c>
      <c r="AK914" s="3" t="s">
        <v>58</v>
      </c>
      <c r="AL914" s="3" t="s">
        <v>59</v>
      </c>
      <c r="AM914" s="3" t="s">
        <v>60</v>
      </c>
      <c r="AN914" s="3" t="s">
        <v>61</v>
      </c>
      <c r="AO914" s="3" t="s">
        <v>62</v>
      </c>
      <c r="AP914" s="3" t="s">
        <v>61</v>
      </c>
      <c r="AQ914" s="3" t="s">
        <v>61</v>
      </c>
      <c r="AR914" s="3" t="s">
        <v>48</v>
      </c>
    </row>
    <row r="915" spans="1:44" ht="30" customHeight="1">
      <c r="A915" s="3" t="s">
        <v>44</v>
      </c>
      <c r="B915" s="3" t="s">
        <v>45</v>
      </c>
      <c r="C915" s="3" t="s">
        <v>80</v>
      </c>
      <c r="D915" s="3" t="s">
        <v>81</v>
      </c>
      <c r="E915" s="3" t="s">
        <v>48</v>
      </c>
      <c r="F915" s="3" t="s">
        <v>48</v>
      </c>
      <c r="G915" s="3" t="s">
        <v>824</v>
      </c>
      <c r="H915" s="4">
        <f>IF(DATEDIF(L915,S915,"m")&gt;12,DATEDIF(L915,S915,"y"),(DATEDIF(L915,S915,"m")/12))</f>
        <v>75</v>
      </c>
      <c r="I915" s="7">
        <f>DATEDIF(L915,S915,"M")</f>
        <v>905</v>
      </c>
      <c r="J915" s="7">
        <f>DATEDIF(L915,S915,"D")</f>
        <v>27546</v>
      </c>
      <c r="K915" s="3" t="s">
        <v>64</v>
      </c>
      <c r="L915" s="8">
        <v>17473</v>
      </c>
      <c r="M915" s="3" t="s">
        <v>45</v>
      </c>
      <c r="N915" s="3" t="s">
        <v>90</v>
      </c>
      <c r="O915" s="3" t="s">
        <v>52</v>
      </c>
      <c r="P915" s="3" t="s">
        <v>825</v>
      </c>
      <c r="Q915" s="7">
        <v>1</v>
      </c>
      <c r="R915" s="8">
        <v>45022</v>
      </c>
      <c r="S915" s="8">
        <v>45019</v>
      </c>
      <c r="T915" s="3" t="s">
        <v>54</v>
      </c>
      <c r="U915" s="3" t="s">
        <v>55</v>
      </c>
      <c r="V915" s="9"/>
      <c r="W915" s="10">
        <v>45026</v>
      </c>
      <c r="X915" s="7">
        <v>4</v>
      </c>
      <c r="Y915" s="7">
        <v>3</v>
      </c>
      <c r="Z915" s="7">
        <v>4</v>
      </c>
      <c r="AA915" s="7">
        <f>INT((S915-DATE(YEAR(S915-WEEKDAY(S915-0)+4),1,4)+WEEKDAY(DATE(YEAR(S915-WEEKDAY(S915-0)+4),1,4))+6)/7)</f>
        <v>14</v>
      </c>
      <c r="AB915" s="3" t="s">
        <v>826</v>
      </c>
      <c r="AC915" s="7">
        <v>14137</v>
      </c>
      <c r="AD915" s="7">
        <v>0</v>
      </c>
      <c r="AE915" s="7">
        <v>0</v>
      </c>
      <c r="AF915" s="3" t="s">
        <v>48</v>
      </c>
      <c r="AG915" s="7">
        <v>2023</v>
      </c>
      <c r="AH915" s="3" t="s">
        <v>86</v>
      </c>
      <c r="AI915" s="3" t="s">
        <v>48</v>
      </c>
      <c r="AJ915" s="3" t="s">
        <v>48</v>
      </c>
      <c r="AK915" s="3" t="s">
        <v>257</v>
      </c>
      <c r="AL915" s="3" t="s">
        <v>59</v>
      </c>
      <c r="AM915" s="3" t="s">
        <v>60</v>
      </c>
      <c r="AN915" s="3" t="s">
        <v>61</v>
      </c>
      <c r="AO915" s="3" t="s">
        <v>62</v>
      </c>
      <c r="AP915" s="3" t="s">
        <v>61</v>
      </c>
      <c r="AQ915" s="3" t="s">
        <v>61</v>
      </c>
      <c r="AR915" s="3" t="s">
        <v>48</v>
      </c>
    </row>
    <row r="916" spans="1:44" ht="30" customHeight="1">
      <c r="A916" s="3" t="s">
        <v>44</v>
      </c>
      <c r="B916" s="3" t="s">
        <v>45</v>
      </c>
      <c r="C916" s="3" t="s">
        <v>46</v>
      </c>
      <c r="D916" s="3" t="s">
        <v>186</v>
      </c>
      <c r="E916" s="3" t="s">
        <v>48</v>
      </c>
      <c r="F916" s="3" t="s">
        <v>271</v>
      </c>
      <c r="G916" s="3" t="s">
        <v>1074</v>
      </c>
      <c r="H916" s="4">
        <f>IF(DATEDIF(L916,S916,"m")&gt;12,DATEDIF(L916,S916,"y"),(DATEDIF(L916,S916,"m")/12))</f>
        <v>21</v>
      </c>
      <c r="I916" s="7">
        <f>DATEDIF(L916,S916,"M")</f>
        <v>261</v>
      </c>
      <c r="J916" s="7">
        <f>DATEDIF(L916,S916,"D")</f>
        <v>7949</v>
      </c>
      <c r="K916" s="3" t="s">
        <v>64</v>
      </c>
      <c r="L916" s="8">
        <v>37074</v>
      </c>
      <c r="M916" s="3" t="s">
        <v>45</v>
      </c>
      <c r="N916" s="3" t="s">
        <v>187</v>
      </c>
      <c r="O916" s="3" t="s">
        <v>52</v>
      </c>
      <c r="P916" s="3" t="s">
        <v>1075</v>
      </c>
      <c r="Q916" s="7">
        <v>0</v>
      </c>
      <c r="R916" s="8">
        <v>45024</v>
      </c>
      <c r="S916" s="8">
        <v>45023</v>
      </c>
      <c r="T916" s="3" t="s">
        <v>54</v>
      </c>
      <c r="U916" s="3" t="s">
        <v>55</v>
      </c>
      <c r="V916" s="9"/>
      <c r="W916" s="10">
        <v>45026</v>
      </c>
      <c r="X916" s="7">
        <v>2</v>
      </c>
      <c r="Y916" s="7">
        <v>1</v>
      </c>
      <c r="Z916" s="7">
        <v>4</v>
      </c>
      <c r="AA916" s="7">
        <f>INT((S916-DATE(YEAR(S916-WEEKDAY(S916-0)+4),1,4)+WEEKDAY(DATE(YEAR(S916-WEEKDAY(S916-0)+4),1,4))+6)/7)</f>
        <v>14</v>
      </c>
      <c r="AB916" s="3" t="s">
        <v>1076</v>
      </c>
      <c r="AC916" s="7">
        <v>150</v>
      </c>
      <c r="AD916" s="7">
        <v>0</v>
      </c>
      <c r="AE916" s="7">
        <v>0</v>
      </c>
      <c r="AF916" s="3" t="s">
        <v>48</v>
      </c>
      <c r="AG916" s="7">
        <v>2023</v>
      </c>
      <c r="AH916" s="3" t="s">
        <v>276</v>
      </c>
      <c r="AI916" s="3" t="s">
        <v>191</v>
      </c>
      <c r="AJ916" s="3" t="s">
        <v>186</v>
      </c>
      <c r="AK916" s="3" t="s">
        <v>192</v>
      </c>
      <c r="AL916" s="3" t="s">
        <v>59</v>
      </c>
      <c r="AM916" s="3" t="s">
        <v>60</v>
      </c>
      <c r="AN916" s="3" t="s">
        <v>61</v>
      </c>
      <c r="AO916" s="3" t="s">
        <v>62</v>
      </c>
      <c r="AP916" s="3" t="s">
        <v>61</v>
      </c>
      <c r="AQ916" s="3" t="s">
        <v>61</v>
      </c>
      <c r="AR916" s="3" t="s">
        <v>48</v>
      </c>
    </row>
    <row r="917" spans="1:44" ht="30" customHeight="1">
      <c r="A917" s="3" t="s">
        <v>44</v>
      </c>
      <c r="B917" s="3" t="s">
        <v>45</v>
      </c>
      <c r="C917" s="3" t="s">
        <v>46</v>
      </c>
      <c r="D917" s="3" t="s">
        <v>186</v>
      </c>
      <c r="E917" s="3" t="s">
        <v>48</v>
      </c>
      <c r="F917" s="3" t="s">
        <v>271</v>
      </c>
      <c r="G917" s="3" t="s">
        <v>1280</v>
      </c>
      <c r="H917" s="4">
        <f>IF(DATEDIF(L917,S917,"m")&gt;12,DATEDIF(L917,S917,"y"),(DATEDIF(L917,S917,"m")/12))</f>
        <v>38</v>
      </c>
      <c r="I917" s="7">
        <f>DATEDIF(L917,S917,"M")</f>
        <v>463</v>
      </c>
      <c r="J917" s="7">
        <f>DATEDIF(L917,S917,"D")</f>
        <v>14103</v>
      </c>
      <c r="K917" s="3" t="s">
        <v>51</v>
      </c>
      <c r="L917" s="8">
        <v>30882</v>
      </c>
      <c r="M917" s="3" t="s">
        <v>45</v>
      </c>
      <c r="N917" s="3" t="s">
        <v>187</v>
      </c>
      <c r="O917" s="3" t="s">
        <v>52</v>
      </c>
      <c r="P917" s="3" t="s">
        <v>1281</v>
      </c>
      <c r="Q917" s="7">
        <v>1</v>
      </c>
      <c r="R917" s="8">
        <v>45016</v>
      </c>
      <c r="S917" s="8">
        <v>44985</v>
      </c>
      <c r="T917" s="3" t="s">
        <v>274</v>
      </c>
      <c r="U917" s="3" t="s">
        <v>55</v>
      </c>
      <c r="V917" s="9"/>
      <c r="W917" s="10">
        <v>45026</v>
      </c>
      <c r="X917" s="7">
        <v>10</v>
      </c>
      <c r="Y917" s="7">
        <v>31</v>
      </c>
      <c r="Z917" s="7">
        <v>2</v>
      </c>
      <c r="AA917" s="7">
        <f>INT((S917-DATE(YEAR(S917-WEEKDAY(S917-0)+4),1,4)+WEEKDAY(DATE(YEAR(S917-WEEKDAY(S917-0)+4),1,4))+6)/7)</f>
        <v>9</v>
      </c>
      <c r="AB917" s="3" t="s">
        <v>1282</v>
      </c>
      <c r="AC917" s="7">
        <v>148</v>
      </c>
      <c r="AD917" s="7">
        <v>0</v>
      </c>
      <c r="AE917" s="7">
        <v>0</v>
      </c>
      <c r="AF917" s="3" t="s">
        <v>48</v>
      </c>
      <c r="AG917" s="7">
        <v>2023</v>
      </c>
      <c r="AH917" s="3" t="s">
        <v>276</v>
      </c>
      <c r="AI917" s="3" t="s">
        <v>191</v>
      </c>
      <c r="AJ917" s="3" t="s">
        <v>48</v>
      </c>
      <c r="AK917" s="3" t="s">
        <v>1283</v>
      </c>
      <c r="AL917" s="3" t="s">
        <v>278</v>
      </c>
      <c r="AM917" s="3" t="s">
        <v>60</v>
      </c>
      <c r="AN917" s="3" t="s">
        <v>61</v>
      </c>
      <c r="AO917" s="3" t="s">
        <v>279</v>
      </c>
      <c r="AP917" s="3" t="s">
        <v>61</v>
      </c>
      <c r="AQ917" s="3" t="s">
        <v>61</v>
      </c>
      <c r="AR917" s="3" t="s">
        <v>48</v>
      </c>
    </row>
    <row r="918" spans="1:44" ht="30" customHeight="1">
      <c r="A918" s="3" t="s">
        <v>44</v>
      </c>
      <c r="B918" s="3" t="s">
        <v>45</v>
      </c>
      <c r="C918" s="3" t="s">
        <v>46</v>
      </c>
      <c r="D918" s="3" t="s">
        <v>47</v>
      </c>
      <c r="E918" s="3" t="s">
        <v>48</v>
      </c>
      <c r="F918" s="3" t="s">
        <v>49</v>
      </c>
      <c r="G918" s="3" t="s">
        <v>1533</v>
      </c>
      <c r="H918" s="4">
        <f>IF(DATEDIF(L918,S918,"m")&gt;12,DATEDIF(L918,S918,"y"),(DATEDIF(L918,S918,"m")/12))</f>
        <v>3</v>
      </c>
      <c r="I918" s="7">
        <f>DATEDIF(L918,S918,"M")</f>
        <v>41</v>
      </c>
      <c r="J918" s="7">
        <f>DATEDIF(L918,S918,"D")</f>
        <v>1250</v>
      </c>
      <c r="K918" s="3" t="s">
        <v>51</v>
      </c>
      <c r="L918" s="8">
        <v>43769</v>
      </c>
      <c r="M918" s="3" t="s">
        <v>45</v>
      </c>
      <c r="N918" s="3" t="s">
        <v>49</v>
      </c>
      <c r="O918" s="3" t="s">
        <v>52</v>
      </c>
      <c r="P918" s="3" t="s">
        <v>1534</v>
      </c>
      <c r="Q918" s="7">
        <v>0</v>
      </c>
      <c r="R918" s="8">
        <v>45021</v>
      </c>
      <c r="S918" s="8">
        <v>45019</v>
      </c>
      <c r="T918" s="3" t="s">
        <v>54</v>
      </c>
      <c r="U918" s="3" t="s">
        <v>55</v>
      </c>
      <c r="V918" s="9"/>
      <c r="W918" s="10">
        <v>45026</v>
      </c>
      <c r="X918" s="7">
        <v>5</v>
      </c>
      <c r="Y918" s="7">
        <v>2</v>
      </c>
      <c r="Z918" s="7">
        <v>4</v>
      </c>
      <c r="AA918" s="7">
        <f>INT((S918-DATE(YEAR(S918-WEEKDAY(S918-0)+4),1,4)+WEEKDAY(DATE(YEAR(S918-WEEKDAY(S918-0)+4),1,4))+6)/7)</f>
        <v>14</v>
      </c>
      <c r="AB918" s="3" t="s">
        <v>1535</v>
      </c>
      <c r="AC918" s="7">
        <v>180</v>
      </c>
      <c r="AD918" s="7">
        <v>0</v>
      </c>
      <c r="AE918" s="7">
        <v>0</v>
      </c>
      <c r="AF918" s="3" t="s">
        <v>48</v>
      </c>
      <c r="AG918" s="7">
        <v>2023</v>
      </c>
      <c r="AH918" s="3" t="s">
        <v>57</v>
      </c>
      <c r="AI918" s="3" t="s">
        <v>48</v>
      </c>
      <c r="AJ918" s="3" t="s">
        <v>48</v>
      </c>
      <c r="AK918" s="3" t="s">
        <v>567</v>
      </c>
      <c r="AL918" s="3" t="s">
        <v>59</v>
      </c>
      <c r="AM918" s="3" t="s">
        <v>60</v>
      </c>
      <c r="AN918" s="3" t="s">
        <v>61</v>
      </c>
      <c r="AO918" s="3" t="s">
        <v>62</v>
      </c>
      <c r="AP918" s="3" t="s">
        <v>61</v>
      </c>
      <c r="AQ918" s="3" t="s">
        <v>61</v>
      </c>
      <c r="AR918" s="3" t="s">
        <v>48</v>
      </c>
    </row>
    <row r="919" spans="1:44" ht="30" customHeight="1">
      <c r="A919" s="3" t="s">
        <v>44</v>
      </c>
      <c r="B919" s="3" t="s">
        <v>45</v>
      </c>
      <c r="C919" s="3" t="s">
        <v>46</v>
      </c>
      <c r="D919" s="3" t="s">
        <v>186</v>
      </c>
      <c r="E919" s="3" t="s">
        <v>48</v>
      </c>
      <c r="F919" s="3" t="s">
        <v>271</v>
      </c>
      <c r="G919" s="3" t="s">
        <v>1850</v>
      </c>
      <c r="H919" s="4">
        <f>IF(DATEDIF(L919,S919,"m")&gt;12,DATEDIF(L919,S919,"y"),(DATEDIF(L919,S919,"m")/12))</f>
        <v>27</v>
      </c>
      <c r="I919" s="7">
        <f>DATEDIF(L919,S919,"M")</f>
        <v>325</v>
      </c>
      <c r="J919" s="7">
        <f>DATEDIF(L919,S919,"D")</f>
        <v>9891</v>
      </c>
      <c r="K919" s="3" t="s">
        <v>64</v>
      </c>
      <c r="L919" s="8">
        <v>35123</v>
      </c>
      <c r="M919" s="3" t="s">
        <v>45</v>
      </c>
      <c r="N919" s="3" t="s">
        <v>49</v>
      </c>
      <c r="O919" s="3" t="s">
        <v>52</v>
      </c>
      <c r="P919" s="3" t="s">
        <v>1851</v>
      </c>
      <c r="Q919" s="7">
        <v>1</v>
      </c>
      <c r="R919" s="8">
        <v>45014</v>
      </c>
      <c r="S919" s="8">
        <v>45014</v>
      </c>
      <c r="T919" s="3" t="s">
        <v>274</v>
      </c>
      <c r="U919" s="3" t="s">
        <v>55</v>
      </c>
      <c r="V919" s="9"/>
      <c r="W919" s="10">
        <v>45026</v>
      </c>
      <c r="X919" s="7">
        <v>12</v>
      </c>
      <c r="Y919" s="7">
        <v>0</v>
      </c>
      <c r="Z919" s="7">
        <v>3</v>
      </c>
      <c r="AA919" s="7">
        <f>INT((S919-DATE(YEAR(S919-WEEKDAY(S919-0)+4),1,4)+WEEKDAY(DATE(YEAR(S919-WEEKDAY(S919-0)+4),1,4))+6)/7)</f>
        <v>13</v>
      </c>
      <c r="AB919" s="3" t="s">
        <v>1852</v>
      </c>
      <c r="AC919" s="7">
        <v>149</v>
      </c>
      <c r="AD919" s="7">
        <v>0</v>
      </c>
      <c r="AE919" s="7">
        <v>0</v>
      </c>
      <c r="AF919" s="3" t="s">
        <v>48</v>
      </c>
      <c r="AG919" s="7">
        <v>2023</v>
      </c>
      <c r="AH919" s="3" t="s">
        <v>276</v>
      </c>
      <c r="AI919" s="3" t="s">
        <v>106</v>
      </c>
      <c r="AJ919" s="3" t="s">
        <v>186</v>
      </c>
      <c r="AK919" s="3" t="s">
        <v>1682</v>
      </c>
      <c r="AL919" s="3" t="s">
        <v>278</v>
      </c>
      <c r="AM919" s="3" t="s">
        <v>60</v>
      </c>
      <c r="AN919" s="3" t="s">
        <v>61</v>
      </c>
      <c r="AO919" s="3" t="s">
        <v>279</v>
      </c>
      <c r="AP919" s="3" t="s">
        <v>61</v>
      </c>
      <c r="AQ919" s="3" t="s">
        <v>61</v>
      </c>
      <c r="AR919" s="3" t="s">
        <v>48</v>
      </c>
    </row>
    <row r="920" spans="1:44" ht="30" customHeight="1">
      <c r="A920" s="3" t="s">
        <v>44</v>
      </c>
      <c r="B920" s="3" t="s">
        <v>45</v>
      </c>
      <c r="C920" s="3" t="s">
        <v>46</v>
      </c>
      <c r="D920" s="3" t="s">
        <v>47</v>
      </c>
      <c r="E920" s="3" t="s">
        <v>48</v>
      </c>
      <c r="F920" s="3" t="s">
        <v>49</v>
      </c>
      <c r="G920" s="3" t="s">
        <v>1887</v>
      </c>
      <c r="H920" s="4">
        <f>IF(DATEDIF(L920,S920,"m")&gt;12,DATEDIF(L920,S920,"y"),(DATEDIF(L920,S920,"m")/12))</f>
        <v>50</v>
      </c>
      <c r="I920" s="7">
        <f>DATEDIF(L920,S920,"M")</f>
        <v>610</v>
      </c>
      <c r="J920" s="7">
        <f>DATEDIF(L920,S920,"D")</f>
        <v>18588</v>
      </c>
      <c r="K920" s="3" t="s">
        <v>64</v>
      </c>
      <c r="L920" s="8">
        <v>26432</v>
      </c>
      <c r="M920" s="3" t="s">
        <v>45</v>
      </c>
      <c r="N920" s="3" t="s">
        <v>65</v>
      </c>
      <c r="O920" s="3" t="s">
        <v>52</v>
      </c>
      <c r="P920" s="3" t="s">
        <v>1888</v>
      </c>
      <c r="Q920" s="7">
        <v>0</v>
      </c>
      <c r="R920" s="8">
        <v>45021</v>
      </c>
      <c r="S920" s="8">
        <v>45020</v>
      </c>
      <c r="T920" s="3" t="s">
        <v>54</v>
      </c>
      <c r="U920" s="3" t="s">
        <v>55</v>
      </c>
      <c r="V920" s="9"/>
      <c r="W920" s="10">
        <v>45026</v>
      </c>
      <c r="X920" s="7">
        <v>5</v>
      </c>
      <c r="Y920" s="7">
        <v>1</v>
      </c>
      <c r="Z920" s="7">
        <v>4</v>
      </c>
      <c r="AA920" s="7">
        <f>INT((S920-DATE(YEAR(S920-WEEKDAY(S920-0)+4),1,4)+WEEKDAY(DATE(YEAR(S920-WEEKDAY(S920-0)+4),1,4))+6)/7)</f>
        <v>14</v>
      </c>
      <c r="AB920" s="3" t="s">
        <v>1889</v>
      </c>
      <c r="AC920" s="7">
        <v>181</v>
      </c>
      <c r="AD920" s="7">
        <v>0</v>
      </c>
      <c r="AE920" s="7">
        <v>0</v>
      </c>
      <c r="AF920" s="3" t="s">
        <v>48</v>
      </c>
      <c r="AG920" s="7">
        <v>2023</v>
      </c>
      <c r="AH920" s="3" t="s">
        <v>57</v>
      </c>
      <c r="AI920" s="3" t="s">
        <v>48</v>
      </c>
      <c r="AJ920" s="3" t="s">
        <v>48</v>
      </c>
      <c r="AK920" s="3" t="s">
        <v>704</v>
      </c>
      <c r="AL920" s="3" t="s">
        <v>59</v>
      </c>
      <c r="AM920" s="3" t="s">
        <v>60</v>
      </c>
      <c r="AN920" s="3" t="s">
        <v>61</v>
      </c>
      <c r="AO920" s="3" t="s">
        <v>62</v>
      </c>
      <c r="AP920" s="3" t="s">
        <v>61</v>
      </c>
      <c r="AQ920" s="3" t="s">
        <v>61</v>
      </c>
      <c r="AR920" s="3" t="s">
        <v>48</v>
      </c>
    </row>
    <row r="921" spans="1:44" ht="30" customHeight="1">
      <c r="A921" s="3" t="s">
        <v>44</v>
      </c>
      <c r="B921" s="3" t="s">
        <v>45</v>
      </c>
      <c r="C921" s="3" t="s">
        <v>46</v>
      </c>
      <c r="D921" s="3" t="s">
        <v>47</v>
      </c>
      <c r="E921" s="3" t="s">
        <v>48</v>
      </c>
      <c r="F921" s="3" t="s">
        <v>49</v>
      </c>
      <c r="G921" s="3" t="s">
        <v>2305</v>
      </c>
      <c r="H921" s="4">
        <f>IF(DATEDIF(L921,S921,"m")&gt;12,DATEDIF(L921,S921,"y"),(DATEDIF(L921,S921,"m")/12))</f>
        <v>5</v>
      </c>
      <c r="I921" s="7">
        <f>DATEDIF(L921,S921,"M")</f>
        <v>63</v>
      </c>
      <c r="J921" s="7">
        <f>DATEDIF(L921,S921,"D")</f>
        <v>1924</v>
      </c>
      <c r="K921" s="3" t="s">
        <v>51</v>
      </c>
      <c r="L921" s="8">
        <v>43084</v>
      </c>
      <c r="M921" s="3" t="s">
        <v>45</v>
      </c>
      <c r="N921" s="3" t="s">
        <v>49</v>
      </c>
      <c r="O921" s="3" t="s">
        <v>52</v>
      </c>
      <c r="P921" s="3" t="s">
        <v>808</v>
      </c>
      <c r="Q921" s="7">
        <v>0</v>
      </c>
      <c r="R921" s="8">
        <v>45022</v>
      </c>
      <c r="S921" s="8">
        <v>45008</v>
      </c>
      <c r="T921" s="3" t="s">
        <v>54</v>
      </c>
      <c r="U921" s="3" t="s">
        <v>55</v>
      </c>
      <c r="V921" s="9"/>
      <c r="W921" s="10">
        <v>45026</v>
      </c>
      <c r="X921" s="7">
        <v>4</v>
      </c>
      <c r="Y921" s="7">
        <v>14</v>
      </c>
      <c r="Z921" s="7">
        <v>3</v>
      </c>
      <c r="AA921" s="7">
        <f>INT((S921-DATE(YEAR(S921-WEEKDAY(S921-0)+4),1,4)+WEEKDAY(DATE(YEAR(S921-WEEKDAY(S921-0)+4),1,4))+6)/7)</f>
        <v>12</v>
      </c>
      <c r="AB921" s="3" t="s">
        <v>2306</v>
      </c>
      <c r="AC921" s="7">
        <v>182</v>
      </c>
      <c r="AD921" s="7">
        <v>0</v>
      </c>
      <c r="AE921" s="7">
        <v>0</v>
      </c>
      <c r="AF921" s="3" t="s">
        <v>48</v>
      </c>
      <c r="AG921" s="7">
        <v>2023</v>
      </c>
      <c r="AH921" s="3" t="s">
        <v>57</v>
      </c>
      <c r="AI921" s="3" t="s">
        <v>48</v>
      </c>
      <c r="AJ921" s="3" t="s">
        <v>48</v>
      </c>
      <c r="AK921" s="3" t="s">
        <v>58</v>
      </c>
      <c r="AL921" s="3" t="s">
        <v>59</v>
      </c>
      <c r="AM921" s="3" t="s">
        <v>60</v>
      </c>
      <c r="AN921" s="3" t="s">
        <v>61</v>
      </c>
      <c r="AO921" s="3" t="s">
        <v>62</v>
      </c>
      <c r="AP921" s="3" t="s">
        <v>61</v>
      </c>
      <c r="AQ921" s="3" t="s">
        <v>61</v>
      </c>
      <c r="AR921" s="3" t="s">
        <v>48</v>
      </c>
    </row>
    <row r="922" spans="1:44" ht="30" customHeight="1">
      <c r="A922" s="3" t="s">
        <v>44</v>
      </c>
      <c r="B922" s="3" t="s">
        <v>45</v>
      </c>
      <c r="C922" s="3" t="s">
        <v>80</v>
      </c>
      <c r="D922" s="3" t="s">
        <v>81</v>
      </c>
      <c r="E922" s="3" t="s">
        <v>48</v>
      </c>
      <c r="F922" s="3" t="s">
        <v>48</v>
      </c>
      <c r="G922" s="3" t="s">
        <v>2308</v>
      </c>
      <c r="H922" s="4">
        <f>IF(DATEDIF(L922,S922,"m")&gt;12,DATEDIF(L922,S922,"y"),(DATEDIF(L922,S922,"m")/12))</f>
        <v>1</v>
      </c>
      <c r="I922" s="7">
        <f>DATEDIF(L922,S922,"M")</f>
        <v>19</v>
      </c>
      <c r="J922" s="7">
        <f>DATEDIF(L922,S922,"D")</f>
        <v>582</v>
      </c>
      <c r="K922" s="3" t="s">
        <v>51</v>
      </c>
      <c r="L922" s="8">
        <v>44431</v>
      </c>
      <c r="M922" s="3" t="s">
        <v>45</v>
      </c>
      <c r="N922" s="3" t="s">
        <v>159</v>
      </c>
      <c r="O922" s="3" t="s">
        <v>52</v>
      </c>
      <c r="P922" s="3" t="s">
        <v>2309</v>
      </c>
      <c r="Q922" s="7">
        <v>1</v>
      </c>
      <c r="R922" s="8">
        <v>45020</v>
      </c>
      <c r="S922" s="8">
        <v>45013</v>
      </c>
      <c r="T922" s="3" t="s">
        <v>54</v>
      </c>
      <c r="U922" s="3" t="s">
        <v>55</v>
      </c>
      <c r="V922" s="9"/>
      <c r="W922" s="10">
        <v>45026</v>
      </c>
      <c r="X922" s="7">
        <v>6</v>
      </c>
      <c r="Y922" s="7">
        <v>7</v>
      </c>
      <c r="Z922" s="7">
        <v>3</v>
      </c>
      <c r="AA922" s="7">
        <f>INT((S922-DATE(YEAR(S922-WEEKDAY(S922-0)+4),1,4)+WEEKDAY(DATE(YEAR(S922-WEEKDAY(S922-0)+4),1,4))+6)/7)</f>
        <v>13</v>
      </c>
      <c r="AB922" s="3" t="s">
        <v>2310</v>
      </c>
      <c r="AC922" s="7">
        <v>14130</v>
      </c>
      <c r="AD922" s="7">
        <v>0</v>
      </c>
      <c r="AE922" s="7">
        <v>0</v>
      </c>
      <c r="AF922" s="3" t="s">
        <v>48</v>
      </c>
      <c r="AG922" s="7">
        <v>2023</v>
      </c>
      <c r="AH922" s="3" t="s">
        <v>86</v>
      </c>
      <c r="AI922" s="3" t="s">
        <v>48</v>
      </c>
      <c r="AJ922" s="3" t="s">
        <v>48</v>
      </c>
      <c r="AK922" s="3" t="s">
        <v>162</v>
      </c>
      <c r="AL922" s="3" t="s">
        <v>59</v>
      </c>
      <c r="AM922" s="3" t="s">
        <v>60</v>
      </c>
      <c r="AN922" s="3" t="s">
        <v>61</v>
      </c>
      <c r="AO922" s="3" t="s">
        <v>62</v>
      </c>
      <c r="AP922" s="3" t="s">
        <v>61</v>
      </c>
      <c r="AQ922" s="3" t="s">
        <v>61</v>
      </c>
      <c r="AR922" s="3" t="s">
        <v>48</v>
      </c>
    </row>
    <row r="923" spans="1:44" ht="30" customHeight="1">
      <c r="A923" s="3" t="s">
        <v>44</v>
      </c>
      <c r="B923" s="3" t="s">
        <v>45</v>
      </c>
      <c r="C923" s="3" t="s">
        <v>46</v>
      </c>
      <c r="D923" s="3" t="s">
        <v>47</v>
      </c>
      <c r="E923" s="3" t="s">
        <v>48</v>
      </c>
      <c r="F923" s="3" t="s">
        <v>49</v>
      </c>
      <c r="G923" s="3" t="s">
        <v>2356</v>
      </c>
      <c r="H923" s="4">
        <f>IF(DATEDIF(L923,S923,"m")&gt;12,DATEDIF(L923,S923,"y"),(DATEDIF(L923,S923,"m")/12))</f>
        <v>67</v>
      </c>
      <c r="I923" s="7">
        <f>DATEDIF(L923,S923,"M")</f>
        <v>808</v>
      </c>
      <c r="J923" s="7">
        <f>DATEDIF(L923,S923,"D")</f>
        <v>24612</v>
      </c>
      <c r="K923" s="3" t="s">
        <v>64</v>
      </c>
      <c r="L923" s="8">
        <v>20403</v>
      </c>
      <c r="M923" s="3" t="s">
        <v>45</v>
      </c>
      <c r="N923" s="3" t="s">
        <v>49</v>
      </c>
      <c r="O923" s="3" t="s">
        <v>52</v>
      </c>
      <c r="P923" s="3" t="s">
        <v>2357</v>
      </c>
      <c r="Q923" s="7">
        <v>0</v>
      </c>
      <c r="R923" s="8">
        <v>45022</v>
      </c>
      <c r="S923" s="8">
        <v>45015</v>
      </c>
      <c r="T923" s="3" t="s">
        <v>54</v>
      </c>
      <c r="U923" s="3" t="s">
        <v>55</v>
      </c>
      <c r="V923" s="9"/>
      <c r="W923" s="10">
        <v>45026</v>
      </c>
      <c r="X923" s="7">
        <v>4</v>
      </c>
      <c r="Y923" s="7">
        <v>7</v>
      </c>
      <c r="Z923" s="7">
        <v>3</v>
      </c>
      <c r="AA923" s="7">
        <f>INT((S923-DATE(YEAR(S923-WEEKDAY(S923-0)+4),1,4)+WEEKDAY(DATE(YEAR(S923-WEEKDAY(S923-0)+4),1,4))+6)/7)</f>
        <v>13</v>
      </c>
      <c r="AB923" s="3" t="s">
        <v>2358</v>
      </c>
      <c r="AC923" s="7">
        <v>183</v>
      </c>
      <c r="AD923" s="7">
        <v>0</v>
      </c>
      <c r="AE923" s="7">
        <v>0</v>
      </c>
      <c r="AF923" s="3" t="s">
        <v>48</v>
      </c>
      <c r="AG923" s="7">
        <v>2023</v>
      </c>
      <c r="AH923" s="3" t="s">
        <v>57</v>
      </c>
      <c r="AI923" s="3" t="s">
        <v>48</v>
      </c>
      <c r="AJ923" s="3" t="s">
        <v>48</v>
      </c>
      <c r="AK923" s="3" t="s">
        <v>1172</v>
      </c>
      <c r="AL923" s="3" t="s">
        <v>59</v>
      </c>
      <c r="AM923" s="3" t="s">
        <v>60</v>
      </c>
      <c r="AN923" s="3" t="s">
        <v>61</v>
      </c>
      <c r="AO923" s="3" t="s">
        <v>62</v>
      </c>
      <c r="AP923" s="3" t="s">
        <v>61</v>
      </c>
      <c r="AQ923" s="3" t="s">
        <v>61</v>
      </c>
      <c r="AR923" s="3" t="s">
        <v>48</v>
      </c>
    </row>
    <row r="924" spans="1:44" ht="30" customHeight="1">
      <c r="A924" s="3" t="s">
        <v>44</v>
      </c>
      <c r="B924" s="3" t="s">
        <v>45</v>
      </c>
      <c r="C924" s="3" t="s">
        <v>80</v>
      </c>
      <c r="D924" s="3" t="s">
        <v>93</v>
      </c>
      <c r="E924" s="3" t="s">
        <v>48</v>
      </c>
      <c r="F924" s="3" t="s">
        <v>94</v>
      </c>
      <c r="G924" s="3" t="s">
        <v>213</v>
      </c>
      <c r="H924" s="4">
        <f>IF(DATEDIF(L924,S924,"m")&gt;12,DATEDIF(L924,S924,"y"),(DATEDIF(L924,S924,"m")/12))</f>
        <v>4</v>
      </c>
      <c r="I924" s="7">
        <f>DATEDIF(L924,S924,"M")</f>
        <v>53</v>
      </c>
      <c r="J924" s="7">
        <f>DATEDIF(L924,S924,"D")</f>
        <v>1630</v>
      </c>
      <c r="K924" s="3" t="s">
        <v>51</v>
      </c>
      <c r="L924" s="8">
        <v>43390</v>
      </c>
      <c r="M924" s="3" t="s">
        <v>45</v>
      </c>
      <c r="N924" s="3" t="s">
        <v>83</v>
      </c>
      <c r="O924" s="3" t="s">
        <v>52</v>
      </c>
      <c r="P924" s="3" t="s">
        <v>214</v>
      </c>
      <c r="Q924" s="7">
        <v>0</v>
      </c>
      <c r="R924" s="8">
        <v>45024</v>
      </c>
      <c r="S924" s="8">
        <v>45020</v>
      </c>
      <c r="T924" s="3" t="s">
        <v>54</v>
      </c>
      <c r="U924" s="3" t="s">
        <v>55</v>
      </c>
      <c r="V924" s="9"/>
      <c r="W924" s="10">
        <v>45027</v>
      </c>
      <c r="X924" s="7">
        <v>3</v>
      </c>
      <c r="Y924" s="7">
        <v>4</v>
      </c>
      <c r="Z924" s="7">
        <v>4</v>
      </c>
      <c r="AA924" s="7">
        <f>INT((S924-DATE(YEAR(S924-WEEKDAY(S924-0)+4),1,4)+WEEKDAY(DATE(YEAR(S924-WEEKDAY(S924-0)+4),1,4))+6)/7)</f>
        <v>14</v>
      </c>
      <c r="AB924" s="3" t="s">
        <v>215</v>
      </c>
      <c r="AC924" s="7">
        <v>802</v>
      </c>
      <c r="AD924" s="7">
        <v>0</v>
      </c>
      <c r="AE924" s="7">
        <v>0</v>
      </c>
      <c r="AF924" s="3" t="s">
        <v>48</v>
      </c>
      <c r="AG924" s="7">
        <v>2023</v>
      </c>
      <c r="AH924" s="3" t="s">
        <v>97</v>
      </c>
      <c r="AI924" s="3" t="s">
        <v>48</v>
      </c>
      <c r="AJ924" s="3" t="s">
        <v>48</v>
      </c>
      <c r="AK924" s="3" t="s">
        <v>216</v>
      </c>
      <c r="AL924" s="3" t="s">
        <v>59</v>
      </c>
      <c r="AM924" s="3" t="s">
        <v>99</v>
      </c>
      <c r="AN924" s="3" t="s">
        <v>61</v>
      </c>
      <c r="AO924" s="3" t="s">
        <v>48</v>
      </c>
      <c r="AP924" s="3" t="s">
        <v>61</v>
      </c>
      <c r="AQ924" s="3" t="s">
        <v>61</v>
      </c>
      <c r="AR924" s="3" t="s">
        <v>48</v>
      </c>
    </row>
    <row r="925" spans="1:44" ht="30" customHeight="1">
      <c r="A925" s="3" t="s">
        <v>44</v>
      </c>
      <c r="B925" s="3" t="s">
        <v>45</v>
      </c>
      <c r="C925" s="3" t="s">
        <v>46</v>
      </c>
      <c r="D925" s="3" t="s">
        <v>130</v>
      </c>
      <c r="E925" s="3" t="s">
        <v>48</v>
      </c>
      <c r="F925" s="3" t="s">
        <v>135</v>
      </c>
      <c r="G925" s="3" t="s">
        <v>370</v>
      </c>
      <c r="H925" s="4">
        <f>IF(DATEDIF(L925,S925,"m")&gt;12,DATEDIF(L925,S925,"y"),(DATEDIF(L925,S925,"m")/12))</f>
        <v>6</v>
      </c>
      <c r="I925" s="7">
        <f>DATEDIF(L925,S925,"M")</f>
        <v>79</v>
      </c>
      <c r="J925" s="7">
        <f>DATEDIF(L925,S925,"D")</f>
        <v>2411</v>
      </c>
      <c r="K925" s="3" t="s">
        <v>51</v>
      </c>
      <c r="L925" s="8">
        <v>42608</v>
      </c>
      <c r="M925" s="3" t="s">
        <v>45</v>
      </c>
      <c r="N925" s="3" t="s">
        <v>83</v>
      </c>
      <c r="O925" s="3" t="s">
        <v>52</v>
      </c>
      <c r="P925" s="3" t="s">
        <v>103</v>
      </c>
      <c r="Q925" s="7">
        <v>1</v>
      </c>
      <c r="R925" s="8">
        <v>45024</v>
      </c>
      <c r="S925" s="8">
        <v>45019</v>
      </c>
      <c r="T925" s="3" t="s">
        <v>54</v>
      </c>
      <c r="U925" s="3" t="s">
        <v>55</v>
      </c>
      <c r="V925" s="9"/>
      <c r="W925" s="10">
        <v>45027</v>
      </c>
      <c r="X925" s="7">
        <v>3</v>
      </c>
      <c r="Y925" s="7">
        <v>5</v>
      </c>
      <c r="Z925" s="7">
        <v>4</v>
      </c>
      <c r="AA925" s="7">
        <f>INT((S925-DATE(YEAR(S925-WEEKDAY(S925-0)+4),1,4)+WEEKDAY(DATE(YEAR(S925-WEEKDAY(S925-0)+4),1,4))+6)/7)</f>
        <v>14</v>
      </c>
      <c r="AB925" s="3" t="s">
        <v>371</v>
      </c>
      <c r="AC925" s="7">
        <v>119</v>
      </c>
      <c r="AD925" s="7">
        <v>0</v>
      </c>
      <c r="AE925" s="7">
        <v>0</v>
      </c>
      <c r="AF925" s="3" t="s">
        <v>48</v>
      </c>
      <c r="AG925" s="7">
        <v>2023</v>
      </c>
      <c r="AH925" s="3" t="s">
        <v>139</v>
      </c>
      <c r="AI925" s="3" t="s">
        <v>113</v>
      </c>
      <c r="AJ925" s="3" t="s">
        <v>48</v>
      </c>
      <c r="AK925" s="3" t="s">
        <v>372</v>
      </c>
      <c r="AL925" s="3" t="s">
        <v>59</v>
      </c>
      <c r="AM925" s="3" t="s">
        <v>60</v>
      </c>
      <c r="AN925" s="3" t="s">
        <v>61</v>
      </c>
      <c r="AO925" s="3" t="s">
        <v>62</v>
      </c>
      <c r="AP925" s="3" t="s">
        <v>61</v>
      </c>
      <c r="AQ925" s="3" t="s">
        <v>61</v>
      </c>
      <c r="AR925" s="3" t="s">
        <v>48</v>
      </c>
    </row>
    <row r="926" spans="1:44" ht="30" customHeight="1">
      <c r="A926" s="3" t="s">
        <v>44</v>
      </c>
      <c r="B926" s="3" t="s">
        <v>45</v>
      </c>
      <c r="C926" s="3" t="s">
        <v>46</v>
      </c>
      <c r="D926" s="3" t="s">
        <v>130</v>
      </c>
      <c r="E926" s="3" t="s">
        <v>48</v>
      </c>
      <c r="F926" s="3" t="s">
        <v>135</v>
      </c>
      <c r="G926" s="3" t="s">
        <v>550</v>
      </c>
      <c r="H926" s="4">
        <f>IF(DATEDIF(L926,S926,"m")&gt;12,DATEDIF(L926,S926,"y"),(DATEDIF(L926,S926,"m")/12))</f>
        <v>13</v>
      </c>
      <c r="I926" s="7">
        <f>DATEDIF(L926,S926,"M")</f>
        <v>156</v>
      </c>
      <c r="J926" s="7">
        <f>DATEDIF(L926,S926,"D")</f>
        <v>4778</v>
      </c>
      <c r="K926" s="3" t="s">
        <v>51</v>
      </c>
      <c r="L926" s="8">
        <v>40238</v>
      </c>
      <c r="M926" s="3" t="s">
        <v>45</v>
      </c>
      <c r="N926" s="3" t="s">
        <v>83</v>
      </c>
      <c r="O926" s="3" t="s">
        <v>52</v>
      </c>
      <c r="P926" s="3" t="s">
        <v>156</v>
      </c>
      <c r="Q926" s="7">
        <v>1</v>
      </c>
      <c r="R926" s="8">
        <v>45019</v>
      </c>
      <c r="S926" s="8">
        <v>45016</v>
      </c>
      <c r="T926" s="3" t="s">
        <v>54</v>
      </c>
      <c r="U926" s="3" t="s">
        <v>55</v>
      </c>
      <c r="V926" s="9"/>
      <c r="W926" s="10">
        <v>45027</v>
      </c>
      <c r="X926" s="7">
        <v>8</v>
      </c>
      <c r="Y926" s="7">
        <v>3</v>
      </c>
      <c r="Z926" s="7">
        <v>3</v>
      </c>
      <c r="AA926" s="7">
        <f>INT((S926-DATE(YEAR(S926-WEEKDAY(S926-0)+4),1,4)+WEEKDAY(DATE(YEAR(S926-WEEKDAY(S926-0)+4),1,4))+6)/7)</f>
        <v>13</v>
      </c>
      <c r="AB926" s="3" t="s">
        <v>551</v>
      </c>
      <c r="AC926" s="7">
        <v>117</v>
      </c>
      <c r="AD926" s="7">
        <v>0</v>
      </c>
      <c r="AE926" s="7">
        <v>0</v>
      </c>
      <c r="AF926" s="3" t="s">
        <v>48</v>
      </c>
      <c r="AG926" s="7">
        <v>2023</v>
      </c>
      <c r="AH926" s="3" t="s">
        <v>139</v>
      </c>
      <c r="AI926" s="3" t="s">
        <v>113</v>
      </c>
      <c r="AJ926" s="3" t="s">
        <v>48</v>
      </c>
      <c r="AK926" s="3" t="s">
        <v>372</v>
      </c>
      <c r="AL926" s="3" t="s">
        <v>59</v>
      </c>
      <c r="AM926" s="3" t="s">
        <v>60</v>
      </c>
      <c r="AN926" s="3" t="s">
        <v>61</v>
      </c>
      <c r="AO926" s="3" t="s">
        <v>62</v>
      </c>
      <c r="AP926" s="3" t="s">
        <v>61</v>
      </c>
      <c r="AQ926" s="3" t="s">
        <v>61</v>
      </c>
      <c r="AR926" s="3" t="s">
        <v>48</v>
      </c>
    </row>
    <row r="927" spans="1:44" ht="30" customHeight="1">
      <c r="A927" s="3" t="s">
        <v>44</v>
      </c>
      <c r="B927" s="3" t="s">
        <v>45</v>
      </c>
      <c r="C927" s="3" t="s">
        <v>46</v>
      </c>
      <c r="D927" s="3" t="s">
        <v>70</v>
      </c>
      <c r="E927" s="3" t="s">
        <v>48</v>
      </c>
      <c r="F927" s="3" t="s">
        <v>71</v>
      </c>
      <c r="G927" s="3" t="s">
        <v>560</v>
      </c>
      <c r="H927" s="4">
        <f>IF(DATEDIF(L927,S927,"m")&gt;12,DATEDIF(L927,S927,"y"),(DATEDIF(L927,S927,"m")/12))</f>
        <v>3</v>
      </c>
      <c r="I927" s="7">
        <f>DATEDIF(L927,S927,"M")</f>
        <v>44</v>
      </c>
      <c r="J927" s="7">
        <f>DATEDIF(L927,S927,"D")</f>
        <v>1360</v>
      </c>
      <c r="K927" s="3" t="s">
        <v>51</v>
      </c>
      <c r="L927" s="8">
        <v>43663</v>
      </c>
      <c r="M927" s="3" t="s">
        <v>45</v>
      </c>
      <c r="N927" s="3" t="s">
        <v>90</v>
      </c>
      <c r="O927" s="3" t="s">
        <v>52</v>
      </c>
      <c r="P927" s="3" t="s">
        <v>137</v>
      </c>
      <c r="Q927" s="7">
        <v>1</v>
      </c>
      <c r="R927" s="8">
        <v>45024</v>
      </c>
      <c r="S927" s="8">
        <v>45023</v>
      </c>
      <c r="T927" s="3" t="s">
        <v>54</v>
      </c>
      <c r="U927" s="3" t="s">
        <v>55</v>
      </c>
      <c r="V927" s="9"/>
      <c r="W927" s="10">
        <v>45027</v>
      </c>
      <c r="X927" s="7">
        <v>3</v>
      </c>
      <c r="Y927" s="7">
        <v>1</v>
      </c>
      <c r="Z927" s="7">
        <v>4</v>
      </c>
      <c r="AA927" s="7">
        <f>INT((S927-DATE(YEAR(S927-WEEKDAY(S927-0)+4),1,4)+WEEKDAY(DATE(YEAR(S927-WEEKDAY(S927-0)+4),1,4))+6)/7)</f>
        <v>14</v>
      </c>
      <c r="AB927" s="3" t="s">
        <v>561</v>
      </c>
      <c r="AC927" s="7">
        <v>757</v>
      </c>
      <c r="AD927" s="7">
        <v>0</v>
      </c>
      <c r="AE927" s="7">
        <v>1</v>
      </c>
      <c r="AF927" s="3" t="s">
        <v>48</v>
      </c>
      <c r="AG927" s="7">
        <v>2023</v>
      </c>
      <c r="AH927" s="3" t="s">
        <v>532</v>
      </c>
      <c r="AI927" s="3" t="s">
        <v>166</v>
      </c>
      <c r="AJ927" s="3" t="s">
        <v>78</v>
      </c>
      <c r="AK927" s="3" t="s">
        <v>346</v>
      </c>
      <c r="AL927" s="3" t="s">
        <v>59</v>
      </c>
      <c r="AM927" s="3" t="s">
        <v>60</v>
      </c>
      <c r="AN927" s="3" t="s">
        <v>61</v>
      </c>
      <c r="AO927" s="3" t="s">
        <v>62</v>
      </c>
      <c r="AP927" s="3" t="s">
        <v>61</v>
      </c>
      <c r="AQ927" s="3" t="s">
        <v>61</v>
      </c>
      <c r="AR927" s="3" t="s">
        <v>48</v>
      </c>
    </row>
    <row r="928" spans="1:44" ht="30" customHeight="1">
      <c r="A928" s="3" t="s">
        <v>44</v>
      </c>
      <c r="B928" s="3" t="s">
        <v>45</v>
      </c>
      <c r="C928" s="3" t="s">
        <v>46</v>
      </c>
      <c r="D928" s="3" t="s">
        <v>70</v>
      </c>
      <c r="E928" s="3" t="s">
        <v>48</v>
      </c>
      <c r="F928" s="3" t="s">
        <v>71</v>
      </c>
      <c r="G928" s="3" t="s">
        <v>617</v>
      </c>
      <c r="H928" s="5">
        <f>IF(DATEDIF(L928,S928,"m")&gt;12,DATEDIF(L928,S928,"y"),(DATEDIF(L928,S928,"m")/12))</f>
        <v>0.58333333333333337</v>
      </c>
      <c r="I928" s="7">
        <f>DATEDIF(L928,S928,"M")</f>
        <v>7</v>
      </c>
      <c r="J928" s="7">
        <f>DATEDIF(L928,S928,"D")</f>
        <v>221</v>
      </c>
      <c r="K928" s="3" t="s">
        <v>64</v>
      </c>
      <c r="L928" s="8">
        <v>44802</v>
      </c>
      <c r="M928" s="3" t="s">
        <v>45</v>
      </c>
      <c r="N928" s="3" t="s">
        <v>159</v>
      </c>
      <c r="O928" s="3" t="s">
        <v>52</v>
      </c>
      <c r="P928" s="3" t="s">
        <v>298</v>
      </c>
      <c r="Q928" s="7">
        <v>1</v>
      </c>
      <c r="R928" s="8">
        <v>45024</v>
      </c>
      <c r="S928" s="8">
        <v>45023</v>
      </c>
      <c r="T928" s="3" t="s">
        <v>54</v>
      </c>
      <c r="U928" s="3" t="s">
        <v>55</v>
      </c>
      <c r="V928" s="9"/>
      <c r="W928" s="10">
        <v>45027</v>
      </c>
      <c r="X928" s="7">
        <v>3</v>
      </c>
      <c r="Y928" s="7">
        <v>1</v>
      </c>
      <c r="Z928" s="7">
        <v>4</v>
      </c>
      <c r="AA928" s="7">
        <f>INT((S928-DATE(YEAR(S928-WEEKDAY(S928-0)+4),1,4)+WEEKDAY(DATE(YEAR(S928-WEEKDAY(S928-0)+4),1,4))+6)/7)</f>
        <v>14</v>
      </c>
      <c r="AB928" s="3" t="s">
        <v>618</v>
      </c>
      <c r="AC928" s="7">
        <v>760</v>
      </c>
      <c r="AD928" s="7">
        <v>0</v>
      </c>
      <c r="AE928" s="7">
        <v>1</v>
      </c>
      <c r="AF928" s="3" t="s">
        <v>48</v>
      </c>
      <c r="AG928" s="7">
        <v>2023</v>
      </c>
      <c r="AH928" s="3" t="s">
        <v>532</v>
      </c>
      <c r="AI928" s="3" t="s">
        <v>166</v>
      </c>
      <c r="AJ928" s="3" t="s">
        <v>78</v>
      </c>
      <c r="AK928" s="3" t="s">
        <v>619</v>
      </c>
      <c r="AL928" s="3" t="s">
        <v>59</v>
      </c>
      <c r="AM928" s="3" t="s">
        <v>60</v>
      </c>
      <c r="AN928" s="3" t="s">
        <v>61</v>
      </c>
      <c r="AO928" s="3" t="s">
        <v>62</v>
      </c>
      <c r="AP928" s="3" t="s">
        <v>61</v>
      </c>
      <c r="AQ928" s="3" t="s">
        <v>61</v>
      </c>
      <c r="AR928" s="3" t="s">
        <v>48</v>
      </c>
    </row>
    <row r="929" spans="1:44" ht="30" customHeight="1">
      <c r="A929" s="3" t="s">
        <v>44</v>
      </c>
      <c r="B929" s="3" t="s">
        <v>45</v>
      </c>
      <c r="C929" s="3" t="s">
        <v>46</v>
      </c>
      <c r="D929" s="3" t="s">
        <v>70</v>
      </c>
      <c r="E929" s="3" t="s">
        <v>48</v>
      </c>
      <c r="F929" s="3" t="s">
        <v>71</v>
      </c>
      <c r="G929" s="3" t="s">
        <v>831</v>
      </c>
      <c r="H929" s="4">
        <f>IF(DATEDIF(L929,S929,"m")&gt;12,DATEDIF(L929,S929,"y"),(DATEDIF(L929,S929,"m")/12))</f>
        <v>63</v>
      </c>
      <c r="I929" s="7">
        <f>DATEDIF(L929,S929,"M")</f>
        <v>759</v>
      </c>
      <c r="J929" s="7">
        <f>DATEDIF(L929,S929,"D")</f>
        <v>23117</v>
      </c>
      <c r="K929" s="3" t="s">
        <v>51</v>
      </c>
      <c r="L929" s="8">
        <v>21901</v>
      </c>
      <c r="M929" s="3" t="s">
        <v>45</v>
      </c>
      <c r="N929" s="3" t="s">
        <v>329</v>
      </c>
      <c r="O929" s="3" t="s">
        <v>52</v>
      </c>
      <c r="P929" s="3" t="s">
        <v>84</v>
      </c>
      <c r="Q929" s="7">
        <v>1</v>
      </c>
      <c r="R929" s="8">
        <v>45019</v>
      </c>
      <c r="S929" s="8">
        <v>45018</v>
      </c>
      <c r="T929" s="3" t="s">
        <v>54</v>
      </c>
      <c r="U929" s="3" t="s">
        <v>55</v>
      </c>
      <c r="V929" s="9"/>
      <c r="W929" s="10">
        <v>45027</v>
      </c>
      <c r="X929" s="7">
        <v>8</v>
      </c>
      <c r="Y929" s="7">
        <v>1</v>
      </c>
      <c r="Z929" s="7">
        <v>4</v>
      </c>
      <c r="AA929" s="7">
        <f>INT((S929-DATE(YEAR(S929-WEEKDAY(S929-0)+4),1,4)+WEEKDAY(DATE(YEAR(S929-WEEKDAY(S929-0)+4),1,4))+6)/7)</f>
        <v>14</v>
      </c>
      <c r="AB929" s="3" t="s">
        <v>832</v>
      </c>
      <c r="AC929" s="7">
        <v>753</v>
      </c>
      <c r="AD929" s="7">
        <v>0</v>
      </c>
      <c r="AE929" s="7">
        <v>1</v>
      </c>
      <c r="AF929" s="3" t="s">
        <v>48</v>
      </c>
      <c r="AG929" s="7">
        <v>2023</v>
      </c>
      <c r="AH929" s="18" t="s">
        <v>532</v>
      </c>
      <c r="AI929" s="3" t="s">
        <v>166</v>
      </c>
      <c r="AJ929" s="3" t="s">
        <v>78</v>
      </c>
      <c r="AK929" s="3" t="s">
        <v>162</v>
      </c>
      <c r="AL929" s="3" t="s">
        <v>59</v>
      </c>
      <c r="AM929" s="3" t="s">
        <v>60</v>
      </c>
      <c r="AN929" s="3" t="s">
        <v>61</v>
      </c>
      <c r="AO929" s="3" t="s">
        <v>62</v>
      </c>
      <c r="AP929" s="3" t="s">
        <v>61</v>
      </c>
      <c r="AQ929" s="3" t="s">
        <v>61</v>
      </c>
      <c r="AR929" s="3" t="s">
        <v>48</v>
      </c>
    </row>
    <row r="930" spans="1:44" ht="30" customHeight="1">
      <c r="A930" s="3" t="s">
        <v>44</v>
      </c>
      <c r="B930" s="3" t="s">
        <v>45</v>
      </c>
      <c r="C930" s="3" t="s">
        <v>46</v>
      </c>
      <c r="D930" s="3" t="s">
        <v>130</v>
      </c>
      <c r="E930" s="3" t="s">
        <v>48</v>
      </c>
      <c r="F930" s="3" t="s">
        <v>135</v>
      </c>
      <c r="G930" s="3" t="s">
        <v>907</v>
      </c>
      <c r="H930" s="4">
        <f>IF(DATEDIF(L930,S930,"m")&gt;12,DATEDIF(L930,S930,"y"),(DATEDIF(L930,S930,"m")/12))</f>
        <v>10</v>
      </c>
      <c r="I930" s="7">
        <f>DATEDIF(L930,S930,"M")</f>
        <v>123</v>
      </c>
      <c r="J930" s="7">
        <f>DATEDIF(L930,S930,"D")</f>
        <v>3748</v>
      </c>
      <c r="K930" s="3" t="s">
        <v>64</v>
      </c>
      <c r="L930" s="8">
        <v>41268</v>
      </c>
      <c r="M930" s="3" t="s">
        <v>45</v>
      </c>
      <c r="N930" s="3" t="s">
        <v>83</v>
      </c>
      <c r="O930" s="3" t="s">
        <v>52</v>
      </c>
      <c r="P930" s="3" t="s">
        <v>908</v>
      </c>
      <c r="Q930" s="7">
        <v>1</v>
      </c>
      <c r="R930" s="8">
        <v>45019</v>
      </c>
      <c r="S930" s="8">
        <v>45016</v>
      </c>
      <c r="T930" s="3" t="s">
        <v>54</v>
      </c>
      <c r="U930" s="3" t="s">
        <v>55</v>
      </c>
      <c r="V930" s="9"/>
      <c r="W930" s="10">
        <v>45027</v>
      </c>
      <c r="X930" s="7">
        <v>8</v>
      </c>
      <c r="Y930" s="7">
        <v>3</v>
      </c>
      <c r="Z930" s="7">
        <v>3</v>
      </c>
      <c r="AA930" s="7">
        <f>INT((S930-DATE(YEAR(S930-WEEKDAY(S930-0)+4),1,4)+WEEKDAY(DATE(YEAR(S930-WEEKDAY(S930-0)+4),1,4))+6)/7)</f>
        <v>13</v>
      </c>
      <c r="AB930" s="3" t="s">
        <v>909</v>
      </c>
      <c r="AC930" s="7">
        <v>118</v>
      </c>
      <c r="AD930" s="7">
        <v>0</v>
      </c>
      <c r="AE930" s="7">
        <v>0</v>
      </c>
      <c r="AF930" s="3" t="s">
        <v>48</v>
      </c>
      <c r="AG930" s="7">
        <v>2023</v>
      </c>
      <c r="AH930" s="3" t="s">
        <v>139</v>
      </c>
      <c r="AI930" s="3" t="s">
        <v>113</v>
      </c>
      <c r="AJ930" s="3" t="s">
        <v>48</v>
      </c>
      <c r="AK930" s="3" t="s">
        <v>910</v>
      </c>
      <c r="AL930" s="3" t="s">
        <v>59</v>
      </c>
      <c r="AM930" s="3" t="s">
        <v>60</v>
      </c>
      <c r="AN930" s="3" t="s">
        <v>61</v>
      </c>
      <c r="AO930" s="3" t="s">
        <v>62</v>
      </c>
      <c r="AP930" s="3" t="s">
        <v>61</v>
      </c>
      <c r="AQ930" s="3" t="s">
        <v>61</v>
      </c>
      <c r="AR930" s="3" t="s">
        <v>48</v>
      </c>
    </row>
    <row r="931" spans="1:44" ht="30" customHeight="1">
      <c r="A931" s="3" t="s">
        <v>44</v>
      </c>
      <c r="B931" s="3" t="s">
        <v>45</v>
      </c>
      <c r="C931" s="3" t="s">
        <v>46</v>
      </c>
      <c r="D931" s="3" t="s">
        <v>70</v>
      </c>
      <c r="E931" s="3" t="s">
        <v>48</v>
      </c>
      <c r="F931" s="3" t="s">
        <v>71</v>
      </c>
      <c r="G931" s="3" t="s">
        <v>1175</v>
      </c>
      <c r="H931" s="5">
        <f>IF(DATEDIF(L931,S931,"m")&gt;12,DATEDIF(L931,S931,"y"),(DATEDIF(L931,S931,"m")/12))</f>
        <v>0.75</v>
      </c>
      <c r="I931" s="7">
        <f>DATEDIF(L931,S931,"M")</f>
        <v>9</v>
      </c>
      <c r="J931" s="7">
        <f>DATEDIF(L931,S931,"D")</f>
        <v>282</v>
      </c>
      <c r="K931" s="3" t="s">
        <v>51</v>
      </c>
      <c r="L931" s="8">
        <v>44735</v>
      </c>
      <c r="M931" s="3" t="s">
        <v>45</v>
      </c>
      <c r="N931" s="3" t="s">
        <v>164</v>
      </c>
      <c r="O931" s="3" t="s">
        <v>52</v>
      </c>
      <c r="P931" s="3" t="s">
        <v>84</v>
      </c>
      <c r="Q931" s="7">
        <v>1</v>
      </c>
      <c r="R931" s="8">
        <v>45018</v>
      </c>
      <c r="S931" s="8">
        <v>45017</v>
      </c>
      <c r="T931" s="3" t="s">
        <v>54</v>
      </c>
      <c r="U931" s="3" t="s">
        <v>55</v>
      </c>
      <c r="V931" s="9"/>
      <c r="W931" s="10">
        <v>45027</v>
      </c>
      <c r="X931" s="7">
        <v>9</v>
      </c>
      <c r="Y931" s="7">
        <v>1</v>
      </c>
      <c r="Z931" s="7">
        <v>4</v>
      </c>
      <c r="AA931" s="7">
        <f>INT((S931-DATE(YEAR(S931-WEEKDAY(S931-0)+4),1,4)+WEEKDAY(DATE(YEAR(S931-WEEKDAY(S931-0)+4),1,4))+6)/7)</f>
        <v>13</v>
      </c>
      <c r="AB931" s="3" t="s">
        <v>1176</v>
      </c>
      <c r="AC931" s="7">
        <v>759</v>
      </c>
      <c r="AD931" s="7">
        <v>0</v>
      </c>
      <c r="AE931" s="7">
        <v>1</v>
      </c>
      <c r="AF931" s="3" t="s">
        <v>48</v>
      </c>
      <c r="AG931" s="7">
        <v>2023</v>
      </c>
      <c r="AH931" s="3" t="s">
        <v>532</v>
      </c>
      <c r="AI931" s="3" t="s">
        <v>166</v>
      </c>
      <c r="AJ931" s="3" t="s">
        <v>78</v>
      </c>
      <c r="AK931" s="3" t="s">
        <v>1177</v>
      </c>
      <c r="AL931" s="3" t="s">
        <v>59</v>
      </c>
      <c r="AM931" s="3" t="s">
        <v>60</v>
      </c>
      <c r="AN931" s="3" t="s">
        <v>61</v>
      </c>
      <c r="AO931" s="3" t="s">
        <v>62</v>
      </c>
      <c r="AP931" s="3" t="s">
        <v>61</v>
      </c>
      <c r="AQ931" s="3" t="s">
        <v>61</v>
      </c>
      <c r="AR931" s="3" t="s">
        <v>48</v>
      </c>
    </row>
    <row r="932" spans="1:44" ht="30" customHeight="1">
      <c r="A932" s="3" t="s">
        <v>44</v>
      </c>
      <c r="B932" s="3" t="s">
        <v>45</v>
      </c>
      <c r="C932" s="3" t="s">
        <v>46</v>
      </c>
      <c r="D932" s="3" t="s">
        <v>130</v>
      </c>
      <c r="E932" s="3" t="s">
        <v>48</v>
      </c>
      <c r="F932" s="3" t="s">
        <v>135</v>
      </c>
      <c r="G932" s="3" t="s">
        <v>1346</v>
      </c>
      <c r="H932" s="4">
        <f>IF(DATEDIF(L932,S932,"m")&gt;12,DATEDIF(L932,S932,"y"),(DATEDIF(L932,S932,"m")/12))</f>
        <v>44</v>
      </c>
      <c r="I932" s="7">
        <f>DATEDIF(L932,S932,"M")</f>
        <v>532</v>
      </c>
      <c r="J932" s="7">
        <f>DATEDIF(L932,S932,"D")</f>
        <v>16203</v>
      </c>
      <c r="K932" s="3" t="s">
        <v>64</v>
      </c>
      <c r="L932" s="8">
        <v>28816</v>
      </c>
      <c r="M932" s="3" t="s">
        <v>45</v>
      </c>
      <c r="N932" s="3" t="s">
        <v>83</v>
      </c>
      <c r="O932" s="3" t="s">
        <v>52</v>
      </c>
      <c r="P932" s="3" t="s">
        <v>91</v>
      </c>
      <c r="Q932" s="7">
        <v>1</v>
      </c>
      <c r="R932" s="8">
        <v>45023</v>
      </c>
      <c r="S932" s="8">
        <v>45019</v>
      </c>
      <c r="T932" s="3" t="s">
        <v>54</v>
      </c>
      <c r="U932" s="3" t="s">
        <v>55</v>
      </c>
      <c r="V932" s="9"/>
      <c r="W932" s="10">
        <v>45027</v>
      </c>
      <c r="X932" s="7">
        <v>4</v>
      </c>
      <c r="Y932" s="7">
        <v>4</v>
      </c>
      <c r="Z932" s="7">
        <v>4</v>
      </c>
      <c r="AA932" s="7">
        <f>INT((S932-DATE(YEAR(S932-WEEKDAY(S932-0)+4),1,4)+WEEKDAY(DATE(YEAR(S932-WEEKDAY(S932-0)+4),1,4))+6)/7)</f>
        <v>14</v>
      </c>
      <c r="AB932" s="3" t="s">
        <v>1347</v>
      </c>
      <c r="AC932" s="7">
        <v>121</v>
      </c>
      <c r="AD932" s="7">
        <v>0</v>
      </c>
      <c r="AE932" s="7">
        <v>0</v>
      </c>
      <c r="AF932" s="3" t="s">
        <v>48</v>
      </c>
      <c r="AG932" s="7">
        <v>2023</v>
      </c>
      <c r="AH932" s="3" t="s">
        <v>139</v>
      </c>
      <c r="AI932" s="3" t="s">
        <v>113</v>
      </c>
      <c r="AJ932" s="3" t="s">
        <v>48</v>
      </c>
      <c r="AK932" s="18" t="s">
        <v>606</v>
      </c>
      <c r="AL932" s="3" t="s">
        <v>59</v>
      </c>
      <c r="AM932" s="3" t="s">
        <v>60</v>
      </c>
      <c r="AN932" s="3" t="s">
        <v>61</v>
      </c>
      <c r="AO932" s="3" t="s">
        <v>62</v>
      </c>
      <c r="AP932" s="3" t="s">
        <v>61</v>
      </c>
      <c r="AQ932" s="3" t="s">
        <v>61</v>
      </c>
      <c r="AR932" s="3" t="s">
        <v>48</v>
      </c>
    </row>
    <row r="933" spans="1:44" ht="30" customHeight="1">
      <c r="A933" s="3" t="s">
        <v>44</v>
      </c>
      <c r="B933" s="3" t="s">
        <v>45</v>
      </c>
      <c r="C933" s="3" t="s">
        <v>46</v>
      </c>
      <c r="D933" s="3" t="s">
        <v>130</v>
      </c>
      <c r="E933" s="3" t="s">
        <v>48</v>
      </c>
      <c r="F933" s="3" t="s">
        <v>135</v>
      </c>
      <c r="G933" s="3" t="s">
        <v>1348</v>
      </c>
      <c r="H933" s="4">
        <f>IF(DATEDIF(L933,S933,"m")&gt;12,DATEDIF(L933,S933,"y"),(DATEDIF(L933,S933,"m")/12))</f>
        <v>7</v>
      </c>
      <c r="I933" s="7">
        <f>DATEDIF(L933,S933,"M")</f>
        <v>94</v>
      </c>
      <c r="J933" s="7">
        <f>DATEDIF(L933,S933,"D")</f>
        <v>2884</v>
      </c>
      <c r="K933" s="3" t="s">
        <v>64</v>
      </c>
      <c r="L933" s="8">
        <v>42135</v>
      </c>
      <c r="M933" s="3" t="s">
        <v>45</v>
      </c>
      <c r="N933" s="3" t="s">
        <v>83</v>
      </c>
      <c r="O933" s="3" t="s">
        <v>52</v>
      </c>
      <c r="P933" s="3" t="s">
        <v>91</v>
      </c>
      <c r="Q933" s="7">
        <v>1</v>
      </c>
      <c r="R933" s="8">
        <v>45023</v>
      </c>
      <c r="S933" s="8">
        <v>45019</v>
      </c>
      <c r="T933" s="3" t="s">
        <v>54</v>
      </c>
      <c r="U933" s="3" t="s">
        <v>55</v>
      </c>
      <c r="V933" s="9"/>
      <c r="W933" s="10">
        <v>45027</v>
      </c>
      <c r="X933" s="7">
        <v>4</v>
      </c>
      <c r="Y933" s="7">
        <v>4</v>
      </c>
      <c r="Z933" s="7">
        <v>4</v>
      </c>
      <c r="AA933" s="7">
        <f>INT((S933-DATE(YEAR(S933-WEEKDAY(S933-0)+4),1,4)+WEEKDAY(DATE(YEAR(S933-WEEKDAY(S933-0)+4),1,4))+6)/7)</f>
        <v>14</v>
      </c>
      <c r="AB933" s="3" t="s">
        <v>1349</v>
      </c>
      <c r="AC933" s="7">
        <v>120</v>
      </c>
      <c r="AD933" s="7">
        <v>0</v>
      </c>
      <c r="AE933" s="7">
        <v>0</v>
      </c>
      <c r="AF933" s="3" t="s">
        <v>48</v>
      </c>
      <c r="AG933" s="7">
        <v>2023</v>
      </c>
      <c r="AH933" s="3" t="s">
        <v>139</v>
      </c>
      <c r="AI933" s="3" t="s">
        <v>113</v>
      </c>
      <c r="AJ933" s="3" t="s">
        <v>48</v>
      </c>
      <c r="AK933" s="18" t="s">
        <v>606</v>
      </c>
      <c r="AL933" s="3" t="s">
        <v>59</v>
      </c>
      <c r="AM933" s="3" t="s">
        <v>60</v>
      </c>
      <c r="AN933" s="3" t="s">
        <v>61</v>
      </c>
      <c r="AO933" s="3" t="s">
        <v>62</v>
      </c>
      <c r="AP933" s="3" t="s">
        <v>61</v>
      </c>
      <c r="AQ933" s="3" t="s">
        <v>61</v>
      </c>
      <c r="AR933" s="3" t="s">
        <v>48</v>
      </c>
    </row>
    <row r="934" spans="1:44" ht="30" customHeight="1">
      <c r="A934" s="3" t="s">
        <v>44</v>
      </c>
      <c r="B934" s="3" t="s">
        <v>45</v>
      </c>
      <c r="C934" s="3" t="s">
        <v>46</v>
      </c>
      <c r="D934" s="3" t="s">
        <v>70</v>
      </c>
      <c r="E934" s="3" t="s">
        <v>48</v>
      </c>
      <c r="F934" s="3" t="s">
        <v>71</v>
      </c>
      <c r="G934" s="3" t="s">
        <v>1442</v>
      </c>
      <c r="H934" s="4">
        <f>IF(DATEDIF(L934,S934,"m")&gt;12,DATEDIF(L934,S934,"y"),(DATEDIF(L934,S934,"m")/12))</f>
        <v>5</v>
      </c>
      <c r="I934" s="7">
        <f>DATEDIF(L934,S934,"M")</f>
        <v>71</v>
      </c>
      <c r="J934" s="7">
        <f>DATEDIF(L934,S934,"D")</f>
        <v>2174</v>
      </c>
      <c r="K934" s="3" t="s">
        <v>51</v>
      </c>
      <c r="L934" s="8">
        <v>42849</v>
      </c>
      <c r="M934" s="3" t="s">
        <v>45</v>
      </c>
      <c r="N934" s="3" t="s">
        <v>90</v>
      </c>
      <c r="O934" s="3" t="s">
        <v>52</v>
      </c>
      <c r="P934" s="3" t="s">
        <v>84</v>
      </c>
      <c r="Q934" s="7">
        <v>1</v>
      </c>
      <c r="R934" s="8">
        <v>45024</v>
      </c>
      <c r="S934" s="8">
        <v>45023</v>
      </c>
      <c r="T934" s="3" t="s">
        <v>54</v>
      </c>
      <c r="U934" s="3" t="s">
        <v>55</v>
      </c>
      <c r="V934" s="9"/>
      <c r="W934" s="10">
        <v>45027</v>
      </c>
      <c r="X934" s="7">
        <v>3</v>
      </c>
      <c r="Y934" s="7">
        <v>1</v>
      </c>
      <c r="Z934" s="7">
        <v>4</v>
      </c>
      <c r="AA934" s="7">
        <f>INT((S934-DATE(YEAR(S934-WEEKDAY(S934-0)+4),1,4)+WEEKDAY(DATE(YEAR(S934-WEEKDAY(S934-0)+4),1,4))+6)/7)</f>
        <v>14</v>
      </c>
      <c r="AB934" s="3" t="s">
        <v>1443</v>
      </c>
      <c r="AC934" s="7">
        <v>758</v>
      </c>
      <c r="AD934" s="7">
        <v>0</v>
      </c>
      <c r="AE934" s="7">
        <v>1</v>
      </c>
      <c r="AF934" s="3" t="s">
        <v>48</v>
      </c>
      <c r="AG934" s="7">
        <v>2023</v>
      </c>
      <c r="AH934" s="3" t="s">
        <v>532</v>
      </c>
      <c r="AI934" s="3" t="s">
        <v>166</v>
      </c>
      <c r="AJ934" s="3" t="s">
        <v>78</v>
      </c>
      <c r="AK934" s="3" t="s">
        <v>185</v>
      </c>
      <c r="AL934" s="3" t="s">
        <v>59</v>
      </c>
      <c r="AM934" s="3" t="s">
        <v>60</v>
      </c>
      <c r="AN934" s="3" t="s">
        <v>61</v>
      </c>
      <c r="AO934" s="3" t="s">
        <v>62</v>
      </c>
      <c r="AP934" s="3" t="s">
        <v>61</v>
      </c>
      <c r="AQ934" s="3" t="s">
        <v>61</v>
      </c>
      <c r="AR934" s="3" t="s">
        <v>48</v>
      </c>
    </row>
    <row r="935" spans="1:44" ht="30" customHeight="1">
      <c r="A935" s="3" t="s">
        <v>44</v>
      </c>
      <c r="B935" s="3" t="s">
        <v>45</v>
      </c>
      <c r="C935" s="3" t="s">
        <v>46</v>
      </c>
      <c r="D935" s="3" t="s">
        <v>70</v>
      </c>
      <c r="E935" s="3" t="s">
        <v>48</v>
      </c>
      <c r="F935" s="3" t="s">
        <v>71</v>
      </c>
      <c r="G935" s="3" t="s">
        <v>2026</v>
      </c>
      <c r="H935" s="4">
        <f>IF(DATEDIF(L935,S935,"m")&gt;12,DATEDIF(L935,S935,"y"),(DATEDIF(L935,S935,"m")/12))</f>
        <v>2</v>
      </c>
      <c r="I935" s="7">
        <f>DATEDIF(L935,S935,"M")</f>
        <v>29</v>
      </c>
      <c r="J935" s="7">
        <f>DATEDIF(L935,S935,"D")</f>
        <v>887</v>
      </c>
      <c r="K935" s="3" t="s">
        <v>64</v>
      </c>
      <c r="L935" s="8">
        <v>44132</v>
      </c>
      <c r="M935" s="3" t="s">
        <v>45</v>
      </c>
      <c r="N935" s="3" t="s">
        <v>90</v>
      </c>
      <c r="O935" s="3" t="s">
        <v>52</v>
      </c>
      <c r="P935" s="3" t="s">
        <v>84</v>
      </c>
      <c r="Q935" s="7">
        <v>1</v>
      </c>
      <c r="R935" s="8">
        <v>45020</v>
      </c>
      <c r="S935" s="8">
        <v>45019</v>
      </c>
      <c r="T935" s="3" t="s">
        <v>54</v>
      </c>
      <c r="U935" s="3" t="s">
        <v>55</v>
      </c>
      <c r="V935" s="9"/>
      <c r="W935" s="10">
        <v>45027</v>
      </c>
      <c r="X935" s="7">
        <v>7</v>
      </c>
      <c r="Y935" s="7">
        <v>1</v>
      </c>
      <c r="Z935" s="7">
        <v>4</v>
      </c>
      <c r="AA935" s="7">
        <f>INT((S935-DATE(YEAR(S935-WEEKDAY(S935-0)+4),1,4)+WEEKDAY(DATE(YEAR(S935-WEEKDAY(S935-0)+4),1,4))+6)/7)</f>
        <v>14</v>
      </c>
      <c r="AB935" s="3" t="s">
        <v>2027</v>
      </c>
      <c r="AC935" s="7">
        <v>754</v>
      </c>
      <c r="AD935" s="7">
        <v>0</v>
      </c>
      <c r="AE935" s="7">
        <v>1</v>
      </c>
      <c r="AF935" s="3" t="s">
        <v>48</v>
      </c>
      <c r="AG935" s="7">
        <v>2023</v>
      </c>
      <c r="AH935" s="3" t="s">
        <v>532</v>
      </c>
      <c r="AI935" s="3" t="s">
        <v>166</v>
      </c>
      <c r="AJ935" s="3" t="s">
        <v>78</v>
      </c>
      <c r="AK935" s="3" t="s">
        <v>2028</v>
      </c>
      <c r="AL935" s="3" t="s">
        <v>59</v>
      </c>
      <c r="AM935" s="3" t="s">
        <v>60</v>
      </c>
      <c r="AN935" s="3" t="s">
        <v>61</v>
      </c>
      <c r="AO935" s="3" t="s">
        <v>62</v>
      </c>
      <c r="AP935" s="3" t="s">
        <v>61</v>
      </c>
      <c r="AQ935" s="3" t="s">
        <v>61</v>
      </c>
      <c r="AR935" s="3" t="s">
        <v>48</v>
      </c>
    </row>
    <row r="936" spans="1:44" ht="30" customHeight="1">
      <c r="A936" s="3" t="s">
        <v>44</v>
      </c>
      <c r="B936" s="3" t="s">
        <v>45</v>
      </c>
      <c r="C936" s="3" t="s">
        <v>46</v>
      </c>
      <c r="D936" s="3" t="s">
        <v>108</v>
      </c>
      <c r="E936" s="3" t="s">
        <v>48</v>
      </c>
      <c r="F936" s="3" t="s">
        <v>108</v>
      </c>
      <c r="G936" s="3" t="s">
        <v>311</v>
      </c>
      <c r="H936" s="4">
        <f>IF(DATEDIF(L936,S936,"m")&gt;12,DATEDIF(L936,S936,"y"),(DATEDIF(L936,S936,"m")/12))</f>
        <v>6</v>
      </c>
      <c r="I936" s="7">
        <f>DATEDIF(L936,S936,"M")</f>
        <v>80</v>
      </c>
      <c r="J936" s="7">
        <f>DATEDIF(L936,S936,"D")</f>
        <v>2464</v>
      </c>
      <c r="K936" s="3" t="s">
        <v>51</v>
      </c>
      <c r="L936" s="8">
        <v>42554</v>
      </c>
      <c r="M936" s="3" t="s">
        <v>45</v>
      </c>
      <c r="N936" s="3" t="s">
        <v>73</v>
      </c>
      <c r="O936" s="3" t="s">
        <v>52</v>
      </c>
      <c r="P936" s="3" t="s">
        <v>312</v>
      </c>
      <c r="Q936" s="7">
        <v>0</v>
      </c>
      <c r="R936" s="8">
        <v>45021</v>
      </c>
      <c r="S936" s="8">
        <v>45018</v>
      </c>
      <c r="T936" s="3" t="s">
        <v>54</v>
      </c>
      <c r="U936" s="3" t="s">
        <v>55</v>
      </c>
      <c r="V936" s="9"/>
      <c r="W936" s="10">
        <v>45021</v>
      </c>
      <c r="X936" s="7">
        <v>0</v>
      </c>
      <c r="Y936" s="7">
        <v>3</v>
      </c>
      <c r="Z936" s="7">
        <v>4</v>
      </c>
      <c r="AA936" s="7">
        <f>INT((S936-DATE(YEAR(S936-WEEKDAY(S936-0)+4),1,4)+WEEKDAY(DATE(YEAR(S936-WEEKDAY(S936-0)+4),1,4))+6)/7)</f>
        <v>14</v>
      </c>
      <c r="AB936" s="3" t="s">
        <v>313</v>
      </c>
      <c r="AC936" s="7">
        <v>452</v>
      </c>
      <c r="AD936" s="7">
        <v>0</v>
      </c>
      <c r="AE936" s="7">
        <v>0</v>
      </c>
      <c r="AF936" s="3" t="s">
        <v>48</v>
      </c>
      <c r="AG936" s="7">
        <v>2023</v>
      </c>
      <c r="AH936" s="3" t="s">
        <v>112</v>
      </c>
      <c r="AI936" s="3" t="s">
        <v>113</v>
      </c>
      <c r="AJ936" s="3" t="s">
        <v>48</v>
      </c>
      <c r="AK936" s="3" t="s">
        <v>144</v>
      </c>
      <c r="AL936" s="3" t="s">
        <v>59</v>
      </c>
      <c r="AM936" s="3" t="s">
        <v>115</v>
      </c>
      <c r="AN936" s="3" t="s">
        <v>61</v>
      </c>
      <c r="AO936" s="3" t="s">
        <v>62</v>
      </c>
      <c r="AP936" s="3" t="s">
        <v>61</v>
      </c>
      <c r="AQ936" s="3" t="s">
        <v>61</v>
      </c>
      <c r="AR936" s="3" t="s">
        <v>48</v>
      </c>
    </row>
    <row r="937" spans="1:44" ht="30" customHeight="1">
      <c r="A937" s="3" t="s">
        <v>44</v>
      </c>
      <c r="B937" s="3" t="s">
        <v>45</v>
      </c>
      <c r="C937" s="3" t="s">
        <v>46</v>
      </c>
      <c r="D937" s="3" t="s">
        <v>100</v>
      </c>
      <c r="E937" s="3" t="s">
        <v>48</v>
      </c>
      <c r="F937" s="3" t="s">
        <v>48</v>
      </c>
      <c r="G937" s="3" t="s">
        <v>48</v>
      </c>
      <c r="H937" s="4">
        <f>IF(DATEDIF(L937,S937,"m")&gt;12,DATEDIF(L937,S937,"y"),(DATEDIF(L937,S937,"m")/12))</f>
        <v>2</v>
      </c>
      <c r="I937" s="7">
        <f>DATEDIF(L937,S937,"M")</f>
        <v>26</v>
      </c>
      <c r="J937" s="7">
        <f>DATEDIF(L937,S937,"D")</f>
        <v>795</v>
      </c>
      <c r="K937" s="3" t="s">
        <v>51</v>
      </c>
      <c r="L937" s="8">
        <v>44217</v>
      </c>
      <c r="M937" s="3" t="s">
        <v>45</v>
      </c>
      <c r="N937" s="3" t="s">
        <v>101</v>
      </c>
      <c r="O937" s="3" t="s">
        <v>52</v>
      </c>
      <c r="P937" s="3" t="s">
        <v>137</v>
      </c>
      <c r="Q937" s="7">
        <v>1</v>
      </c>
      <c r="R937" s="8">
        <v>45014</v>
      </c>
      <c r="S937" s="8">
        <v>45012</v>
      </c>
      <c r="T937" s="3" t="s">
        <v>54</v>
      </c>
      <c r="U937" s="3" t="s">
        <v>55</v>
      </c>
      <c r="V937" s="9"/>
      <c r="W937" s="10">
        <v>45028</v>
      </c>
      <c r="X937" s="7">
        <v>14</v>
      </c>
      <c r="Y937" s="7">
        <v>2</v>
      </c>
      <c r="Z937" s="7">
        <v>3</v>
      </c>
      <c r="AA937" s="7">
        <f>INT((S937-DATE(YEAR(S937-WEEKDAY(S937-0)+4),1,4)+WEEKDAY(DATE(YEAR(S937-WEEKDAY(S937-0)+4),1,4))+6)/7)</f>
        <v>13</v>
      </c>
      <c r="AB937" s="3" t="s">
        <v>2173</v>
      </c>
      <c r="AC937" s="7">
        <v>762</v>
      </c>
      <c r="AD937" s="7">
        <v>0</v>
      </c>
      <c r="AE937" s="7">
        <v>0</v>
      </c>
      <c r="AF937" s="3" t="s">
        <v>48</v>
      </c>
      <c r="AG937" s="7">
        <v>2023</v>
      </c>
      <c r="AH937" s="3" t="s">
        <v>223</v>
      </c>
      <c r="AI937" s="3" t="s">
        <v>106</v>
      </c>
      <c r="AJ937" s="3" t="s">
        <v>48</v>
      </c>
      <c r="AK937" s="3" t="s">
        <v>316</v>
      </c>
      <c r="AL937" s="3" t="s">
        <v>59</v>
      </c>
      <c r="AM937" s="3" t="s">
        <v>99</v>
      </c>
      <c r="AN937" s="3" t="s">
        <v>61</v>
      </c>
      <c r="AO937" s="3" t="s">
        <v>62</v>
      </c>
      <c r="AP937" s="3" t="s">
        <v>61</v>
      </c>
      <c r="AQ937" s="3" t="s">
        <v>61</v>
      </c>
      <c r="AR937" s="3" t="s">
        <v>48</v>
      </c>
    </row>
    <row r="938" spans="1:44" ht="30" customHeight="1">
      <c r="A938" s="3" t="s">
        <v>44</v>
      </c>
      <c r="B938" s="3" t="s">
        <v>45</v>
      </c>
      <c r="C938" s="3" t="s">
        <v>46</v>
      </c>
      <c r="D938" s="3" t="s">
        <v>100</v>
      </c>
      <c r="E938" s="3" t="s">
        <v>48</v>
      </c>
      <c r="F938" s="3" t="s">
        <v>48</v>
      </c>
      <c r="G938" s="3" t="s">
        <v>2192</v>
      </c>
      <c r="H938" s="4">
        <f>IF(DATEDIF(L938,S938,"m")&gt;12,DATEDIF(L938,S938,"y"),(DATEDIF(L938,S938,"m")/12))</f>
        <v>1</v>
      </c>
      <c r="I938" s="7">
        <f>DATEDIF(L938,S938,"M")</f>
        <v>13</v>
      </c>
      <c r="J938" s="7">
        <f>DATEDIF(L938,S938,"D")</f>
        <v>398</v>
      </c>
      <c r="K938" s="3" t="s">
        <v>64</v>
      </c>
      <c r="L938" s="8">
        <v>44619</v>
      </c>
      <c r="M938" s="3" t="s">
        <v>45</v>
      </c>
      <c r="N938" s="3" t="s">
        <v>101</v>
      </c>
      <c r="O938" s="3" t="s">
        <v>52</v>
      </c>
      <c r="P938" s="3" t="s">
        <v>176</v>
      </c>
      <c r="Q938" s="7">
        <v>0</v>
      </c>
      <c r="R938" s="8">
        <v>45021</v>
      </c>
      <c r="S938" s="8">
        <v>45017</v>
      </c>
      <c r="T938" s="3" t="s">
        <v>54</v>
      </c>
      <c r="U938" s="3" t="s">
        <v>55</v>
      </c>
      <c r="V938" s="9"/>
      <c r="W938" s="10">
        <v>45028</v>
      </c>
      <c r="X938" s="7">
        <v>7</v>
      </c>
      <c r="Y938" s="7">
        <v>4</v>
      </c>
      <c r="Z938" s="7">
        <v>4</v>
      </c>
      <c r="AA938" s="7">
        <f>INT((S938-DATE(YEAR(S938-WEEKDAY(S938-0)+4),1,4)+WEEKDAY(DATE(YEAR(S938-WEEKDAY(S938-0)+4),1,4))+6)/7)</f>
        <v>13</v>
      </c>
      <c r="AB938" s="3" t="s">
        <v>2193</v>
      </c>
      <c r="AC938" s="7">
        <v>761</v>
      </c>
      <c r="AD938" s="7">
        <v>0</v>
      </c>
      <c r="AE938" s="7">
        <v>0</v>
      </c>
      <c r="AF938" s="3" t="s">
        <v>48</v>
      </c>
      <c r="AG938" s="7">
        <v>2023</v>
      </c>
      <c r="AH938" s="3" t="s">
        <v>223</v>
      </c>
      <c r="AI938" s="3" t="s">
        <v>106</v>
      </c>
      <c r="AJ938" s="3" t="s">
        <v>48</v>
      </c>
      <c r="AK938" s="3" t="s">
        <v>107</v>
      </c>
      <c r="AL938" s="3" t="s">
        <v>59</v>
      </c>
      <c r="AM938" s="3" t="s">
        <v>99</v>
      </c>
      <c r="AN938" s="3" t="s">
        <v>61</v>
      </c>
      <c r="AO938" s="3" t="s">
        <v>62</v>
      </c>
      <c r="AP938" s="3" t="s">
        <v>61</v>
      </c>
      <c r="AQ938" s="3" t="s">
        <v>61</v>
      </c>
      <c r="AR938" s="3" t="s">
        <v>48</v>
      </c>
    </row>
    <row r="939" spans="1:44" ht="30" customHeight="1">
      <c r="A939" s="3" t="s">
        <v>44</v>
      </c>
      <c r="B939" s="3" t="s">
        <v>45</v>
      </c>
      <c r="C939" s="3" t="s">
        <v>46</v>
      </c>
      <c r="D939" s="3" t="s">
        <v>108</v>
      </c>
      <c r="E939" s="3" t="s">
        <v>48</v>
      </c>
      <c r="F939" s="3" t="s">
        <v>108</v>
      </c>
      <c r="G939" s="3" t="s">
        <v>1086</v>
      </c>
      <c r="H939" s="5">
        <f>IF(DATEDIF(L939,S939,"m")&gt;12,DATEDIF(L939,S939,"y"),(DATEDIF(L939,S939,"m")/12))</f>
        <v>0.83333333333333337</v>
      </c>
      <c r="I939" s="7">
        <f>DATEDIF(L939,S939,"M")</f>
        <v>10</v>
      </c>
      <c r="J939" s="7">
        <f>DATEDIF(L939,S939,"D")</f>
        <v>314</v>
      </c>
      <c r="K939" s="3" t="s">
        <v>51</v>
      </c>
      <c r="L939" s="8">
        <v>44703</v>
      </c>
      <c r="M939" s="3" t="s">
        <v>45</v>
      </c>
      <c r="N939" s="3" t="s">
        <v>73</v>
      </c>
      <c r="O939" s="3" t="s">
        <v>52</v>
      </c>
      <c r="P939" s="3" t="s">
        <v>1087</v>
      </c>
      <c r="Q939" s="7">
        <v>0</v>
      </c>
      <c r="R939" s="8">
        <v>45020</v>
      </c>
      <c r="S939" s="8">
        <v>45017</v>
      </c>
      <c r="T939" s="3" t="s">
        <v>54</v>
      </c>
      <c r="U939" s="3" t="s">
        <v>55</v>
      </c>
      <c r="V939" s="9"/>
      <c r="W939" s="10">
        <v>45021</v>
      </c>
      <c r="X939" s="7">
        <v>1</v>
      </c>
      <c r="Y939" s="7">
        <v>3</v>
      </c>
      <c r="Z939" s="7">
        <v>4</v>
      </c>
      <c r="AA939" s="7">
        <f>INT((S939-DATE(YEAR(S939-WEEKDAY(S939-0)+4),1,4)+WEEKDAY(DATE(YEAR(S939-WEEKDAY(S939-0)+4),1,4))+6)/7)</f>
        <v>13</v>
      </c>
      <c r="AB939" s="3" t="s">
        <v>1088</v>
      </c>
      <c r="AC939" s="7">
        <v>441</v>
      </c>
      <c r="AD939" s="7">
        <v>0</v>
      </c>
      <c r="AE939" s="7">
        <v>0</v>
      </c>
      <c r="AF939" s="3" t="s">
        <v>48</v>
      </c>
      <c r="AG939" s="7">
        <v>2023</v>
      </c>
      <c r="AH939" s="3" t="s">
        <v>112</v>
      </c>
      <c r="AI939" s="3" t="s">
        <v>113</v>
      </c>
      <c r="AJ939" s="3" t="s">
        <v>48</v>
      </c>
      <c r="AK939" s="3" t="s">
        <v>144</v>
      </c>
      <c r="AL939" s="3" t="s">
        <v>59</v>
      </c>
      <c r="AM939" s="3" t="s">
        <v>115</v>
      </c>
      <c r="AN939" s="3" t="s">
        <v>61</v>
      </c>
      <c r="AO939" s="3" t="s">
        <v>62</v>
      </c>
      <c r="AP939" s="3" t="s">
        <v>61</v>
      </c>
      <c r="AQ939" s="3" t="s">
        <v>61</v>
      </c>
      <c r="AR939" s="3" t="s">
        <v>48</v>
      </c>
    </row>
    <row r="940" spans="1:44" ht="30" customHeight="1">
      <c r="A940" s="3" t="s">
        <v>44</v>
      </c>
      <c r="B940" s="3" t="s">
        <v>45</v>
      </c>
      <c r="C940" s="3" t="s">
        <v>46</v>
      </c>
      <c r="D940" s="3" t="s">
        <v>108</v>
      </c>
      <c r="E940" s="3" t="s">
        <v>48</v>
      </c>
      <c r="F940" s="3" t="s">
        <v>108</v>
      </c>
      <c r="G940" s="3" t="s">
        <v>1736</v>
      </c>
      <c r="H940" s="4">
        <f>IF(DATEDIF(L940,S940,"m")&gt;12,DATEDIF(L940,S940,"y"),(DATEDIF(L940,S940,"m")/12))</f>
        <v>2</v>
      </c>
      <c r="I940" s="7">
        <f>DATEDIF(L940,S940,"M")</f>
        <v>24</v>
      </c>
      <c r="J940" s="7">
        <f>DATEDIF(L940,S940,"D")</f>
        <v>730</v>
      </c>
      <c r="K940" s="3" t="s">
        <v>51</v>
      </c>
      <c r="L940" s="8">
        <v>44287</v>
      </c>
      <c r="M940" s="3" t="s">
        <v>45</v>
      </c>
      <c r="N940" s="3" t="s">
        <v>73</v>
      </c>
      <c r="O940" s="3" t="s">
        <v>52</v>
      </c>
      <c r="P940" s="3" t="s">
        <v>803</v>
      </c>
      <c r="Q940" s="7">
        <v>0</v>
      </c>
      <c r="R940" s="8">
        <v>45019</v>
      </c>
      <c r="S940" s="8">
        <v>45017</v>
      </c>
      <c r="T940" s="3" t="s">
        <v>54</v>
      </c>
      <c r="U940" s="3" t="s">
        <v>55</v>
      </c>
      <c r="V940" s="9"/>
      <c r="W940" s="10">
        <v>45021</v>
      </c>
      <c r="X940" s="7">
        <v>2</v>
      </c>
      <c r="Y940" s="7">
        <v>2</v>
      </c>
      <c r="Z940" s="7">
        <v>4</v>
      </c>
      <c r="AA940" s="7">
        <f>INT((S940-DATE(YEAR(S940-WEEKDAY(S940-0)+4),1,4)+WEEKDAY(DATE(YEAR(S940-WEEKDAY(S940-0)+4),1,4))+6)/7)</f>
        <v>13</v>
      </c>
      <c r="AB940" s="3" t="s">
        <v>1737</v>
      </c>
      <c r="AC940" s="7">
        <v>431</v>
      </c>
      <c r="AD940" s="7">
        <v>0</v>
      </c>
      <c r="AE940" s="7">
        <v>0</v>
      </c>
      <c r="AF940" s="3" t="s">
        <v>48</v>
      </c>
      <c r="AG940" s="7">
        <v>2023</v>
      </c>
      <c r="AH940" s="3" t="s">
        <v>112</v>
      </c>
      <c r="AI940" s="3" t="s">
        <v>113</v>
      </c>
      <c r="AJ940" s="3" t="s">
        <v>48</v>
      </c>
      <c r="AK940" s="3" t="s">
        <v>144</v>
      </c>
      <c r="AL940" s="3" t="s">
        <v>59</v>
      </c>
      <c r="AM940" s="3" t="s">
        <v>115</v>
      </c>
      <c r="AN940" s="3" t="s">
        <v>61</v>
      </c>
      <c r="AO940" s="3" t="s">
        <v>62</v>
      </c>
      <c r="AP940" s="3" t="s">
        <v>61</v>
      </c>
      <c r="AQ940" s="3" t="s">
        <v>61</v>
      </c>
      <c r="AR940" s="3" t="s">
        <v>48</v>
      </c>
    </row>
    <row r="941" spans="1:44" ht="30" customHeight="1">
      <c r="A941" s="3" t="s">
        <v>44</v>
      </c>
      <c r="B941" s="3" t="s">
        <v>45</v>
      </c>
      <c r="C941" s="3" t="s">
        <v>46</v>
      </c>
      <c r="D941" s="3" t="s">
        <v>108</v>
      </c>
      <c r="E941" s="3" t="s">
        <v>48</v>
      </c>
      <c r="F941" s="3" t="s">
        <v>108</v>
      </c>
      <c r="G941" s="3" t="s">
        <v>1738</v>
      </c>
      <c r="H941" s="4">
        <f>IF(DATEDIF(L941,S941,"m")&gt;12,DATEDIF(L941,S941,"y"),(DATEDIF(L941,S941,"m")/12))</f>
        <v>4</v>
      </c>
      <c r="I941" s="7">
        <f>DATEDIF(L941,S941,"M")</f>
        <v>54</v>
      </c>
      <c r="J941" s="7">
        <f>DATEDIF(L941,S941,"D")</f>
        <v>1644</v>
      </c>
      <c r="K941" s="3" t="s">
        <v>51</v>
      </c>
      <c r="L941" s="8">
        <v>43371</v>
      </c>
      <c r="M941" s="3" t="s">
        <v>45</v>
      </c>
      <c r="N941" s="3" t="s">
        <v>73</v>
      </c>
      <c r="O941" s="3" t="s">
        <v>52</v>
      </c>
      <c r="P941" s="3" t="s">
        <v>1739</v>
      </c>
      <c r="Q941" s="7">
        <v>0</v>
      </c>
      <c r="R941" s="8">
        <v>45019</v>
      </c>
      <c r="S941" s="8">
        <v>45015</v>
      </c>
      <c r="T941" s="3" t="s">
        <v>54</v>
      </c>
      <c r="U941" s="3" t="s">
        <v>55</v>
      </c>
      <c r="V941" s="9"/>
      <c r="W941" s="10">
        <v>45021</v>
      </c>
      <c r="X941" s="7">
        <v>2</v>
      </c>
      <c r="Y941" s="7">
        <v>4</v>
      </c>
      <c r="Z941" s="7">
        <v>3</v>
      </c>
      <c r="AA941" s="7">
        <f>INT((S941-DATE(YEAR(S941-WEEKDAY(S941-0)+4),1,4)+WEEKDAY(DATE(YEAR(S941-WEEKDAY(S941-0)+4),1,4))+6)/7)</f>
        <v>13</v>
      </c>
      <c r="AB941" s="3" t="s">
        <v>1740</v>
      </c>
      <c r="AC941" s="7">
        <v>436</v>
      </c>
      <c r="AD941" s="7">
        <v>0</v>
      </c>
      <c r="AE941" s="7">
        <v>0</v>
      </c>
      <c r="AF941" s="3" t="s">
        <v>48</v>
      </c>
      <c r="AG941" s="7">
        <v>2023</v>
      </c>
      <c r="AH941" s="3" t="s">
        <v>112</v>
      </c>
      <c r="AI941" s="3" t="s">
        <v>113</v>
      </c>
      <c r="AJ941" s="3" t="s">
        <v>48</v>
      </c>
      <c r="AK941" s="3" t="s">
        <v>144</v>
      </c>
      <c r="AL941" s="3" t="s">
        <v>59</v>
      </c>
      <c r="AM941" s="3" t="s">
        <v>115</v>
      </c>
      <c r="AN941" s="3" t="s">
        <v>61</v>
      </c>
      <c r="AO941" s="3" t="s">
        <v>62</v>
      </c>
      <c r="AP941" s="3" t="s">
        <v>61</v>
      </c>
      <c r="AQ941" s="3" t="s">
        <v>61</v>
      </c>
      <c r="AR941" s="3" t="s">
        <v>48</v>
      </c>
    </row>
    <row r="942" spans="1:44" ht="30" customHeight="1">
      <c r="A942" s="3" t="s">
        <v>44</v>
      </c>
      <c r="B942" s="3" t="s">
        <v>45</v>
      </c>
      <c r="C942" s="3" t="s">
        <v>46</v>
      </c>
      <c r="D942" s="3" t="s">
        <v>108</v>
      </c>
      <c r="E942" s="3" t="s">
        <v>48</v>
      </c>
      <c r="F942" s="3" t="s">
        <v>108</v>
      </c>
      <c r="G942" s="3" t="s">
        <v>2083</v>
      </c>
      <c r="H942" s="4">
        <f>IF(DATEDIF(L942,S942,"m")&gt;12,DATEDIF(L942,S942,"y"),(DATEDIF(L942,S942,"m")/12))</f>
        <v>29</v>
      </c>
      <c r="I942" s="7">
        <f>DATEDIF(L942,S942,"M")</f>
        <v>357</v>
      </c>
      <c r="J942" s="7">
        <f>DATEDIF(L942,S942,"D")</f>
        <v>10872</v>
      </c>
      <c r="K942" s="3" t="s">
        <v>64</v>
      </c>
      <c r="L942" s="8">
        <v>34143</v>
      </c>
      <c r="M942" s="3" t="s">
        <v>45</v>
      </c>
      <c r="N942" s="3" t="s">
        <v>73</v>
      </c>
      <c r="O942" s="3" t="s">
        <v>52</v>
      </c>
      <c r="P942" s="3" t="s">
        <v>1739</v>
      </c>
      <c r="Q942" s="7">
        <v>0</v>
      </c>
      <c r="R942" s="8">
        <v>45019</v>
      </c>
      <c r="S942" s="8">
        <v>45015</v>
      </c>
      <c r="T942" s="3" t="s">
        <v>54</v>
      </c>
      <c r="U942" s="3" t="s">
        <v>55</v>
      </c>
      <c r="V942" s="9"/>
      <c r="W942" s="10">
        <v>45021</v>
      </c>
      <c r="X942" s="7">
        <v>2</v>
      </c>
      <c r="Y942" s="7">
        <v>4</v>
      </c>
      <c r="Z942" s="7">
        <v>3</v>
      </c>
      <c r="AA942" s="7">
        <f>INT((S942-DATE(YEAR(S942-WEEKDAY(S942-0)+4),1,4)+WEEKDAY(DATE(YEAR(S942-WEEKDAY(S942-0)+4),1,4))+6)/7)</f>
        <v>13</v>
      </c>
      <c r="AB942" s="3" t="s">
        <v>2084</v>
      </c>
      <c r="AC942" s="7">
        <v>433</v>
      </c>
      <c r="AD942" s="7">
        <v>0</v>
      </c>
      <c r="AE942" s="7">
        <v>0</v>
      </c>
      <c r="AF942" s="3" t="s">
        <v>48</v>
      </c>
      <c r="AG942" s="7">
        <v>2023</v>
      </c>
      <c r="AH942" s="3" t="s">
        <v>112</v>
      </c>
      <c r="AI942" s="3" t="s">
        <v>113</v>
      </c>
      <c r="AJ942" s="3" t="s">
        <v>48</v>
      </c>
      <c r="AK942" s="3" t="s">
        <v>144</v>
      </c>
      <c r="AL942" s="3" t="s">
        <v>59</v>
      </c>
      <c r="AM942" s="3" t="s">
        <v>115</v>
      </c>
      <c r="AN942" s="3" t="s">
        <v>61</v>
      </c>
      <c r="AO942" s="3" t="s">
        <v>62</v>
      </c>
      <c r="AP942" s="3" t="s">
        <v>61</v>
      </c>
      <c r="AQ942" s="3" t="s">
        <v>61</v>
      </c>
      <c r="AR942" s="3" t="s">
        <v>48</v>
      </c>
    </row>
    <row r="943" spans="1:44" ht="30" customHeight="1">
      <c r="A943" s="3" t="s">
        <v>44</v>
      </c>
      <c r="B943" s="3" t="s">
        <v>45</v>
      </c>
      <c r="C943" s="3" t="s">
        <v>46</v>
      </c>
      <c r="D943" s="3" t="s">
        <v>108</v>
      </c>
      <c r="E943" s="3" t="s">
        <v>48</v>
      </c>
      <c r="F943" s="3" t="s">
        <v>108</v>
      </c>
      <c r="G943" s="3" t="s">
        <v>2387</v>
      </c>
      <c r="H943" s="4">
        <f>IF(DATEDIF(L943,S943,"m")&gt;12,DATEDIF(L943,S943,"y"),(DATEDIF(L943,S943,"m")/12))</f>
        <v>18</v>
      </c>
      <c r="I943" s="7">
        <f>DATEDIF(L943,S943,"M")</f>
        <v>216</v>
      </c>
      <c r="J943" s="7">
        <f>DATEDIF(L943,S943,"D")</f>
        <v>6595</v>
      </c>
      <c r="K943" s="3" t="s">
        <v>64</v>
      </c>
      <c r="L943" s="8">
        <v>38422</v>
      </c>
      <c r="M943" s="3" t="s">
        <v>45</v>
      </c>
      <c r="N943" s="3" t="s">
        <v>73</v>
      </c>
      <c r="O943" s="3" t="s">
        <v>52</v>
      </c>
      <c r="P943" s="3" t="s">
        <v>1739</v>
      </c>
      <c r="Q943" s="7">
        <v>0</v>
      </c>
      <c r="R943" s="8">
        <v>45019</v>
      </c>
      <c r="S943" s="8">
        <v>45017</v>
      </c>
      <c r="T943" s="3" t="s">
        <v>54</v>
      </c>
      <c r="U943" s="3" t="s">
        <v>55</v>
      </c>
      <c r="V943" s="9"/>
      <c r="W943" s="10">
        <v>45021</v>
      </c>
      <c r="X943" s="7">
        <v>2</v>
      </c>
      <c r="Y943" s="7">
        <v>2</v>
      </c>
      <c r="Z943" s="7">
        <v>4</v>
      </c>
      <c r="AA943" s="7">
        <f>INT((S943-DATE(YEAR(S943-WEEKDAY(S943-0)+4),1,4)+WEEKDAY(DATE(YEAR(S943-WEEKDAY(S943-0)+4),1,4))+6)/7)</f>
        <v>13</v>
      </c>
      <c r="AB943" s="3" t="s">
        <v>2388</v>
      </c>
      <c r="AC943" s="7">
        <v>430</v>
      </c>
      <c r="AD943" s="7">
        <v>0</v>
      </c>
      <c r="AE943" s="7">
        <v>0</v>
      </c>
      <c r="AF943" s="3" t="s">
        <v>48</v>
      </c>
      <c r="AG943" s="7">
        <v>2023</v>
      </c>
      <c r="AH943" s="3" t="s">
        <v>112</v>
      </c>
      <c r="AI943" s="3" t="s">
        <v>113</v>
      </c>
      <c r="AJ943" s="3" t="s">
        <v>48</v>
      </c>
      <c r="AK943" s="3" t="s">
        <v>144</v>
      </c>
      <c r="AL943" s="3" t="s">
        <v>59</v>
      </c>
      <c r="AM943" s="3" t="s">
        <v>115</v>
      </c>
      <c r="AN943" s="3" t="s">
        <v>61</v>
      </c>
      <c r="AO943" s="3" t="s">
        <v>62</v>
      </c>
      <c r="AP943" s="3" t="s">
        <v>61</v>
      </c>
      <c r="AQ943" s="3" t="s">
        <v>61</v>
      </c>
      <c r="AR943" s="3" t="s">
        <v>48</v>
      </c>
    </row>
    <row r="944" spans="1:44" ht="30" customHeight="1">
      <c r="A944" s="3" t="s">
        <v>44</v>
      </c>
      <c r="B944" s="3" t="s">
        <v>45</v>
      </c>
      <c r="C944" s="3" t="s">
        <v>46</v>
      </c>
      <c r="D944" s="3" t="s">
        <v>108</v>
      </c>
      <c r="E944" s="3" t="s">
        <v>48</v>
      </c>
      <c r="F944" s="3" t="s">
        <v>108</v>
      </c>
      <c r="G944" s="3" t="s">
        <v>2389</v>
      </c>
      <c r="H944" s="4">
        <f>IF(DATEDIF(L944,S944,"m")&gt;12,DATEDIF(L944,S944,"y"),(DATEDIF(L944,S944,"m")/12))</f>
        <v>7</v>
      </c>
      <c r="I944" s="7">
        <f>DATEDIF(L944,S944,"M")</f>
        <v>86</v>
      </c>
      <c r="J944" s="7">
        <f>DATEDIF(L944,S944,"D")</f>
        <v>2617</v>
      </c>
      <c r="K944" s="3" t="s">
        <v>64</v>
      </c>
      <c r="L944" s="8">
        <v>42401</v>
      </c>
      <c r="M944" s="3" t="s">
        <v>45</v>
      </c>
      <c r="N944" s="3" t="s">
        <v>73</v>
      </c>
      <c r="O944" s="3" t="s">
        <v>52</v>
      </c>
      <c r="P944" s="3" t="s">
        <v>1739</v>
      </c>
      <c r="Q944" s="7">
        <v>0</v>
      </c>
      <c r="R944" s="8">
        <v>45021</v>
      </c>
      <c r="S944" s="8">
        <v>45018</v>
      </c>
      <c r="T944" s="3" t="s">
        <v>54</v>
      </c>
      <c r="U944" s="3" t="s">
        <v>55</v>
      </c>
      <c r="V944" s="9"/>
      <c r="W944" s="10">
        <v>45021</v>
      </c>
      <c r="X944" s="7">
        <v>0</v>
      </c>
      <c r="Y944" s="7">
        <v>3</v>
      </c>
      <c r="Z944" s="7">
        <v>4</v>
      </c>
      <c r="AA944" s="7">
        <f>INT((S944-DATE(YEAR(S944-WEEKDAY(S944-0)+4),1,4)+WEEKDAY(DATE(YEAR(S944-WEEKDAY(S944-0)+4),1,4))+6)/7)</f>
        <v>14</v>
      </c>
      <c r="AB944" s="3" t="s">
        <v>2390</v>
      </c>
      <c r="AC944" s="7">
        <v>451</v>
      </c>
      <c r="AD944" s="7">
        <v>0</v>
      </c>
      <c r="AE944" s="7">
        <v>0</v>
      </c>
      <c r="AF944" s="3" t="s">
        <v>48</v>
      </c>
      <c r="AG944" s="7">
        <v>2023</v>
      </c>
      <c r="AH944" s="3" t="s">
        <v>112</v>
      </c>
      <c r="AI944" s="3" t="s">
        <v>113</v>
      </c>
      <c r="AJ944" s="3" t="s">
        <v>48</v>
      </c>
      <c r="AK944" s="3" t="s">
        <v>144</v>
      </c>
      <c r="AL944" s="3" t="s">
        <v>59</v>
      </c>
      <c r="AM944" s="3" t="s">
        <v>115</v>
      </c>
      <c r="AN944" s="3" t="s">
        <v>61</v>
      </c>
      <c r="AO944" s="3" t="s">
        <v>62</v>
      </c>
      <c r="AP944" s="3" t="s">
        <v>61</v>
      </c>
      <c r="AQ944" s="3" t="s">
        <v>61</v>
      </c>
      <c r="AR944" s="3" t="s">
        <v>48</v>
      </c>
    </row>
    <row r="945" spans="1:44" ht="30" customHeight="1">
      <c r="A945" s="3" t="s">
        <v>44</v>
      </c>
      <c r="B945" s="3" t="s">
        <v>45</v>
      </c>
      <c r="C945" s="3" t="s">
        <v>46</v>
      </c>
      <c r="D945" s="3" t="s">
        <v>47</v>
      </c>
      <c r="E945" s="3" t="s">
        <v>48</v>
      </c>
      <c r="F945" s="3" t="s">
        <v>49</v>
      </c>
      <c r="G945" s="3" t="s">
        <v>736</v>
      </c>
      <c r="H945" s="4">
        <f>IF(DATEDIF(L945,S945,"m")&gt;12,DATEDIF(L945,S945,"y"),(DATEDIF(L945,S945,"m")/12))</f>
        <v>1</v>
      </c>
      <c r="I945" s="7">
        <f>DATEDIF(L945,S945,"M")</f>
        <v>17</v>
      </c>
      <c r="J945" s="7">
        <f>DATEDIF(L945,S945,"D")</f>
        <v>526</v>
      </c>
      <c r="K945" s="3" t="s">
        <v>64</v>
      </c>
      <c r="L945" s="8">
        <v>44490</v>
      </c>
      <c r="M945" s="3" t="s">
        <v>45</v>
      </c>
      <c r="N945" s="3" t="s">
        <v>73</v>
      </c>
      <c r="O945" s="3" t="s">
        <v>52</v>
      </c>
      <c r="P945" s="3" t="s">
        <v>737</v>
      </c>
      <c r="Q945" s="7">
        <v>0</v>
      </c>
      <c r="R945" s="8">
        <v>45020</v>
      </c>
      <c r="S945" s="8">
        <v>45016</v>
      </c>
      <c r="T945" s="3" t="s">
        <v>54</v>
      </c>
      <c r="U945" s="3" t="s">
        <v>55</v>
      </c>
      <c r="V945" s="9"/>
      <c r="W945" s="10">
        <v>45022</v>
      </c>
      <c r="X945" s="7">
        <v>2</v>
      </c>
      <c r="Y945" s="7">
        <v>4</v>
      </c>
      <c r="Z945" s="7">
        <v>3</v>
      </c>
      <c r="AA945" s="7">
        <f>INT((S945-DATE(YEAR(S945-WEEKDAY(S945-0)+4),1,4)+WEEKDAY(DATE(YEAR(S945-WEEKDAY(S945-0)+4),1,4))+6)/7)</f>
        <v>13</v>
      </c>
      <c r="AB945" s="3" t="s">
        <v>738</v>
      </c>
      <c r="AC945" s="7">
        <v>176</v>
      </c>
      <c r="AD945" s="7">
        <v>0</v>
      </c>
      <c r="AE945" s="7">
        <v>0</v>
      </c>
      <c r="AF945" s="3" t="s">
        <v>48</v>
      </c>
      <c r="AG945" s="7">
        <v>2023</v>
      </c>
      <c r="AH945" s="3" t="s">
        <v>57</v>
      </c>
      <c r="AI945" s="3" t="s">
        <v>48</v>
      </c>
      <c r="AJ945" s="3" t="s">
        <v>48</v>
      </c>
      <c r="AK945" s="3" t="s">
        <v>144</v>
      </c>
      <c r="AL945" s="3" t="s">
        <v>59</v>
      </c>
      <c r="AM945" s="3" t="s">
        <v>60</v>
      </c>
      <c r="AN945" s="3" t="s">
        <v>61</v>
      </c>
      <c r="AO945" s="3" t="s">
        <v>62</v>
      </c>
      <c r="AP945" s="3" t="s">
        <v>61</v>
      </c>
      <c r="AQ945" s="3" t="s">
        <v>61</v>
      </c>
      <c r="AR945" s="3" t="s">
        <v>48</v>
      </c>
    </row>
    <row r="946" spans="1:44" ht="30" customHeight="1">
      <c r="A946" s="3" t="s">
        <v>44</v>
      </c>
      <c r="B946" s="3" t="s">
        <v>45</v>
      </c>
      <c r="C946" s="3" t="s">
        <v>46</v>
      </c>
      <c r="D946" s="3" t="s">
        <v>108</v>
      </c>
      <c r="E946" s="3" t="s">
        <v>48</v>
      </c>
      <c r="F946" s="3" t="s">
        <v>108</v>
      </c>
      <c r="G946" s="3" t="s">
        <v>1181</v>
      </c>
      <c r="H946" s="5">
        <f>IF(DATEDIF(L946,S946,"m")&gt;12,DATEDIF(L946,S946,"y"),(DATEDIF(L946,S946,"m")/12))</f>
        <v>0.5</v>
      </c>
      <c r="I946" s="7">
        <f>DATEDIF(L946,S946,"M")</f>
        <v>6</v>
      </c>
      <c r="J946" s="7">
        <f>DATEDIF(L946,S946,"D")</f>
        <v>200</v>
      </c>
      <c r="K946" s="3" t="s">
        <v>64</v>
      </c>
      <c r="L946" s="8">
        <v>44799</v>
      </c>
      <c r="M946" s="3" t="s">
        <v>45</v>
      </c>
      <c r="N946" s="3" t="s">
        <v>73</v>
      </c>
      <c r="O946" s="3" t="s">
        <v>52</v>
      </c>
      <c r="P946" s="3" t="s">
        <v>255</v>
      </c>
      <c r="Q946" s="7">
        <v>0</v>
      </c>
      <c r="R946" s="8">
        <v>45000</v>
      </c>
      <c r="S946" s="8">
        <v>44999</v>
      </c>
      <c r="T946" s="3" t="s">
        <v>54</v>
      </c>
      <c r="U946" s="3" t="s">
        <v>55</v>
      </c>
      <c r="V946" s="9"/>
      <c r="W946" s="13">
        <v>45115</v>
      </c>
      <c r="X946" s="7">
        <v>5</v>
      </c>
      <c r="Y946" s="7">
        <v>1</v>
      </c>
      <c r="Z946" s="7">
        <v>3</v>
      </c>
      <c r="AA946" s="7">
        <f>INT((S946-DATE(YEAR(S946-WEEKDAY(S946-0)+4),1,4)+WEEKDAY(DATE(YEAR(S946-WEEKDAY(S946-0)+4),1,4))+6)/7)</f>
        <v>11</v>
      </c>
      <c r="AB946" s="3" t="s">
        <v>1182</v>
      </c>
      <c r="AC946" s="7">
        <v>370</v>
      </c>
      <c r="AD946" s="7">
        <v>0</v>
      </c>
      <c r="AE946" s="7">
        <v>0</v>
      </c>
      <c r="AF946" s="3" t="s">
        <v>48</v>
      </c>
      <c r="AG946" s="7">
        <v>2023</v>
      </c>
      <c r="AH946" s="3" t="s">
        <v>112</v>
      </c>
      <c r="AI946" s="3" t="s">
        <v>113</v>
      </c>
      <c r="AJ946" s="3" t="s">
        <v>48</v>
      </c>
      <c r="AK946" s="3" t="s">
        <v>144</v>
      </c>
      <c r="AL946" s="3" t="s">
        <v>59</v>
      </c>
      <c r="AM946" s="3" t="s">
        <v>115</v>
      </c>
      <c r="AN946" s="3" t="s">
        <v>61</v>
      </c>
      <c r="AO946" s="3" t="s">
        <v>62</v>
      </c>
      <c r="AP946" s="3" t="s">
        <v>69</v>
      </c>
      <c r="AQ946" s="3" t="s">
        <v>61</v>
      </c>
      <c r="AR946" s="3" t="s">
        <v>48</v>
      </c>
    </row>
    <row r="947" spans="1:44" ht="30" customHeight="1">
      <c r="A947" s="3" t="s">
        <v>44</v>
      </c>
      <c r="B947" s="3" t="s">
        <v>45</v>
      </c>
      <c r="C947" s="3" t="s">
        <v>46</v>
      </c>
      <c r="D947" s="3" t="s">
        <v>108</v>
      </c>
      <c r="E947" s="3" t="s">
        <v>48</v>
      </c>
      <c r="F947" s="3" t="s">
        <v>108</v>
      </c>
      <c r="G947" s="3" t="s">
        <v>992</v>
      </c>
      <c r="H947" s="4">
        <f>IF(DATEDIF(L947,S947,"m")&gt;12,DATEDIF(L947,S947,"y"),(DATEDIF(L947,S947,"m")/12))</f>
        <v>34</v>
      </c>
      <c r="I947" s="7">
        <f>DATEDIF(L947,S947,"M")</f>
        <v>417</v>
      </c>
      <c r="J947" s="7">
        <f>DATEDIF(L947,S947,"D")</f>
        <v>12715</v>
      </c>
      <c r="K947" s="3" t="s">
        <v>51</v>
      </c>
      <c r="L947" s="8">
        <v>32224</v>
      </c>
      <c r="M947" s="3" t="s">
        <v>45</v>
      </c>
      <c r="N947" s="3" t="s">
        <v>73</v>
      </c>
      <c r="O947" s="3" t="s">
        <v>52</v>
      </c>
      <c r="P947" s="3" t="s">
        <v>110</v>
      </c>
      <c r="Q947" s="7">
        <v>0</v>
      </c>
      <c r="R947" s="8">
        <v>44942</v>
      </c>
      <c r="S947" s="8">
        <v>44939</v>
      </c>
      <c r="T947" s="3" t="s">
        <v>54</v>
      </c>
      <c r="U947" s="3" t="s">
        <v>55</v>
      </c>
      <c r="V947" s="9"/>
      <c r="W947" s="10">
        <v>44949</v>
      </c>
      <c r="X947" s="7">
        <v>7</v>
      </c>
      <c r="Y947" s="7">
        <v>3</v>
      </c>
      <c r="Z947" s="7">
        <v>1</v>
      </c>
      <c r="AA947" s="7">
        <f>INT((S947-DATE(YEAR(S947-WEEKDAY(S947-0)+4),1,4)+WEEKDAY(DATE(YEAR(S947-WEEKDAY(S947-0)+4),1,4))+6)/7)</f>
        <v>2</v>
      </c>
      <c r="AB947" s="3" t="s">
        <v>993</v>
      </c>
      <c r="AC947" s="7">
        <v>139</v>
      </c>
      <c r="AD947" s="7">
        <v>0</v>
      </c>
      <c r="AE947" s="7">
        <v>0</v>
      </c>
      <c r="AF947" s="3" t="s">
        <v>48</v>
      </c>
      <c r="AG947" s="7">
        <v>2023</v>
      </c>
      <c r="AH947" s="3" t="s">
        <v>112</v>
      </c>
      <c r="AI947" s="3" t="s">
        <v>113</v>
      </c>
      <c r="AJ947" s="3" t="s">
        <v>48</v>
      </c>
      <c r="AK947" s="3" t="s">
        <v>235</v>
      </c>
      <c r="AL947" s="3" t="s">
        <v>59</v>
      </c>
      <c r="AM947" s="3" t="s">
        <v>115</v>
      </c>
      <c r="AN947" s="3" t="s">
        <v>61</v>
      </c>
      <c r="AO947" s="3" t="s">
        <v>62</v>
      </c>
      <c r="AP947" s="3" t="s">
        <v>69</v>
      </c>
      <c r="AQ947" s="3" t="s">
        <v>61</v>
      </c>
      <c r="AR947" s="3" t="s">
        <v>48</v>
      </c>
    </row>
    <row r="948" spans="1:44" ht="30" customHeight="1">
      <c r="A948" s="3" t="s">
        <v>44</v>
      </c>
      <c r="B948" s="3" t="s">
        <v>45</v>
      </c>
      <c r="C948" s="3" t="s">
        <v>46</v>
      </c>
      <c r="D948" s="3" t="s">
        <v>108</v>
      </c>
      <c r="E948" s="3" t="s">
        <v>48</v>
      </c>
      <c r="F948" s="3" t="s">
        <v>108</v>
      </c>
      <c r="G948" s="3" t="s">
        <v>356</v>
      </c>
      <c r="H948" s="4">
        <f>IF(DATEDIF(L948,S948,"m")&gt;12,DATEDIF(L948,S948,"y"),(DATEDIF(L948,S948,"m")/12))</f>
        <v>8</v>
      </c>
      <c r="I948" s="7">
        <f>DATEDIF(L948,S948,"M")</f>
        <v>105</v>
      </c>
      <c r="J948" s="7">
        <f>DATEDIF(L948,S948,"D")</f>
        <v>3214</v>
      </c>
      <c r="K948" s="3" t="s">
        <v>51</v>
      </c>
      <c r="L948" s="8">
        <v>41729</v>
      </c>
      <c r="M948" s="3" t="s">
        <v>45</v>
      </c>
      <c r="N948" s="3" t="s">
        <v>73</v>
      </c>
      <c r="O948" s="3" t="s">
        <v>52</v>
      </c>
      <c r="P948" s="3" t="s">
        <v>357</v>
      </c>
      <c r="Q948" s="7">
        <v>0</v>
      </c>
      <c r="R948" s="8">
        <v>44944</v>
      </c>
      <c r="S948" s="8">
        <v>44943</v>
      </c>
      <c r="T948" s="3" t="s">
        <v>54</v>
      </c>
      <c r="U948" s="3" t="s">
        <v>55</v>
      </c>
      <c r="V948" s="9"/>
      <c r="W948" s="10">
        <v>44950</v>
      </c>
      <c r="X948" s="7">
        <v>6</v>
      </c>
      <c r="Y948" s="7">
        <v>1</v>
      </c>
      <c r="Z948" s="7">
        <v>1</v>
      </c>
      <c r="AA948" s="7">
        <f>INT((S948-DATE(YEAR(S948-WEEKDAY(S948-0)+4),1,4)+WEEKDAY(DATE(YEAR(S948-WEEKDAY(S948-0)+4),1,4))+6)/7)</f>
        <v>3</v>
      </c>
      <c r="AB948" s="3" t="s">
        <v>358</v>
      </c>
      <c r="AC948" s="7">
        <v>157</v>
      </c>
      <c r="AD948" s="7">
        <v>0</v>
      </c>
      <c r="AE948" s="7">
        <v>0</v>
      </c>
      <c r="AF948" s="3" t="s">
        <v>48</v>
      </c>
      <c r="AG948" s="7">
        <v>2023</v>
      </c>
      <c r="AH948" s="3" t="s">
        <v>286</v>
      </c>
      <c r="AI948" s="3" t="s">
        <v>113</v>
      </c>
      <c r="AJ948" s="3" t="s">
        <v>48</v>
      </c>
      <c r="AK948" s="3" t="s">
        <v>235</v>
      </c>
      <c r="AL948" s="3" t="s">
        <v>59</v>
      </c>
      <c r="AM948" s="3" t="s">
        <v>115</v>
      </c>
      <c r="AN948" s="3" t="s">
        <v>61</v>
      </c>
      <c r="AO948" s="3" t="s">
        <v>62</v>
      </c>
      <c r="AP948" s="3" t="s">
        <v>69</v>
      </c>
      <c r="AQ948" s="3" t="s">
        <v>61</v>
      </c>
      <c r="AR948" s="3" t="s">
        <v>48</v>
      </c>
    </row>
    <row r="949" spans="1:44" ht="30" customHeight="1">
      <c r="A949" s="3" t="s">
        <v>44</v>
      </c>
      <c r="B949" s="3" t="s">
        <v>45</v>
      </c>
      <c r="C949" s="3" t="s">
        <v>46</v>
      </c>
      <c r="D949" s="3" t="s">
        <v>108</v>
      </c>
      <c r="E949" s="3" t="s">
        <v>48</v>
      </c>
      <c r="F949" s="3" t="s">
        <v>108</v>
      </c>
      <c r="G949" s="3" t="s">
        <v>440</v>
      </c>
      <c r="H949" s="4">
        <f>IF(DATEDIF(L949,S949,"m")&gt;12,DATEDIF(L949,S949,"y"),(DATEDIF(L949,S949,"m")/12))</f>
        <v>2</v>
      </c>
      <c r="I949" s="7">
        <f>DATEDIF(L949,S949,"M")</f>
        <v>27</v>
      </c>
      <c r="J949" s="7">
        <f>DATEDIF(L949,S949,"D")</f>
        <v>850</v>
      </c>
      <c r="K949" s="3" t="s">
        <v>51</v>
      </c>
      <c r="L949" s="8">
        <v>44092</v>
      </c>
      <c r="M949" s="3" t="s">
        <v>45</v>
      </c>
      <c r="N949" s="3" t="s">
        <v>73</v>
      </c>
      <c r="O949" s="3" t="s">
        <v>52</v>
      </c>
      <c r="P949" s="3" t="s">
        <v>91</v>
      </c>
      <c r="Q949" s="7">
        <v>0</v>
      </c>
      <c r="R949" s="8">
        <v>44942</v>
      </c>
      <c r="S949" s="8">
        <v>44942</v>
      </c>
      <c r="T949" s="3" t="s">
        <v>54</v>
      </c>
      <c r="U949" s="3" t="s">
        <v>55</v>
      </c>
      <c r="V949" s="9"/>
      <c r="W949" s="10">
        <v>44950</v>
      </c>
      <c r="X949" s="7">
        <v>8</v>
      </c>
      <c r="Y949" s="7">
        <v>0</v>
      </c>
      <c r="Z949" s="7">
        <v>1</v>
      </c>
      <c r="AA949" s="7">
        <f>INT((S949-DATE(YEAR(S949-WEEKDAY(S949-0)+4),1,4)+WEEKDAY(DATE(YEAR(S949-WEEKDAY(S949-0)+4),1,4))+6)/7)</f>
        <v>3</v>
      </c>
      <c r="AB949" s="3" t="s">
        <v>441</v>
      </c>
      <c r="AC949" s="7">
        <v>145</v>
      </c>
      <c r="AD949" s="7">
        <v>0</v>
      </c>
      <c r="AE949" s="7">
        <v>0</v>
      </c>
      <c r="AF949" s="3" t="s">
        <v>48</v>
      </c>
      <c r="AG949" s="7">
        <v>2023</v>
      </c>
      <c r="AH949" s="3" t="s">
        <v>112</v>
      </c>
      <c r="AI949" s="3" t="s">
        <v>113</v>
      </c>
      <c r="AJ949" s="3" t="s">
        <v>48</v>
      </c>
      <c r="AK949" s="3" t="s">
        <v>235</v>
      </c>
      <c r="AL949" s="3" t="s">
        <v>59</v>
      </c>
      <c r="AM949" s="3" t="s">
        <v>115</v>
      </c>
      <c r="AN949" s="3" t="s">
        <v>61</v>
      </c>
      <c r="AO949" s="3" t="s">
        <v>62</v>
      </c>
      <c r="AP949" s="3" t="s">
        <v>69</v>
      </c>
      <c r="AQ949" s="3" t="s">
        <v>61</v>
      </c>
      <c r="AR949" s="3" t="s">
        <v>48</v>
      </c>
    </row>
    <row r="950" spans="1:44" ht="30" customHeight="1">
      <c r="A950" s="3" t="s">
        <v>44</v>
      </c>
      <c r="B950" s="3" t="s">
        <v>45</v>
      </c>
      <c r="C950" s="3" t="s">
        <v>46</v>
      </c>
      <c r="D950" s="3" t="s">
        <v>108</v>
      </c>
      <c r="E950" s="3" t="s">
        <v>48</v>
      </c>
      <c r="F950" s="3" t="s">
        <v>108</v>
      </c>
      <c r="G950" s="3" t="s">
        <v>2205</v>
      </c>
      <c r="H950" s="4">
        <f>IF(DATEDIF(L950,S950,"m")&gt;12,DATEDIF(L950,S950,"y"),(DATEDIF(L950,S950,"m")/12))</f>
        <v>14</v>
      </c>
      <c r="I950" s="7">
        <f>DATEDIF(L950,S950,"M")</f>
        <v>176</v>
      </c>
      <c r="J950" s="7">
        <f>DATEDIF(L950,S950,"D")</f>
        <v>5367</v>
      </c>
      <c r="K950" s="3" t="s">
        <v>51</v>
      </c>
      <c r="L950" s="8">
        <v>39575</v>
      </c>
      <c r="M950" s="3" t="s">
        <v>45</v>
      </c>
      <c r="N950" s="3" t="s">
        <v>73</v>
      </c>
      <c r="O950" s="3" t="s">
        <v>52</v>
      </c>
      <c r="P950" s="3" t="s">
        <v>110</v>
      </c>
      <c r="Q950" s="7">
        <v>0</v>
      </c>
      <c r="R950" s="8">
        <v>44943</v>
      </c>
      <c r="S950" s="8">
        <v>44942</v>
      </c>
      <c r="T950" s="3" t="s">
        <v>54</v>
      </c>
      <c r="U950" s="3" t="s">
        <v>55</v>
      </c>
      <c r="V950" s="9"/>
      <c r="W950" s="10">
        <v>44950</v>
      </c>
      <c r="X950" s="7">
        <v>7</v>
      </c>
      <c r="Y950" s="7">
        <v>1</v>
      </c>
      <c r="Z950" s="7">
        <v>1</v>
      </c>
      <c r="AA950" s="7">
        <f>INT((S950-DATE(YEAR(S950-WEEKDAY(S950-0)+4),1,4)+WEEKDAY(DATE(YEAR(S950-WEEKDAY(S950-0)+4),1,4))+6)/7)</f>
        <v>3</v>
      </c>
      <c r="AB950" s="3" t="s">
        <v>2206</v>
      </c>
      <c r="AC950" s="7">
        <v>150</v>
      </c>
      <c r="AD950" s="7">
        <v>0</v>
      </c>
      <c r="AE950" s="7">
        <v>0</v>
      </c>
      <c r="AF950" s="3" t="s">
        <v>48</v>
      </c>
      <c r="AG950" s="7">
        <v>2023</v>
      </c>
      <c r="AH950" s="3" t="s">
        <v>112</v>
      </c>
      <c r="AI950" s="3" t="s">
        <v>113</v>
      </c>
      <c r="AJ950" s="3" t="s">
        <v>48</v>
      </c>
      <c r="AK950" s="3" t="s">
        <v>235</v>
      </c>
      <c r="AL950" s="3" t="s">
        <v>59</v>
      </c>
      <c r="AM950" s="3" t="s">
        <v>115</v>
      </c>
      <c r="AN950" s="3" t="s">
        <v>61</v>
      </c>
      <c r="AO950" s="3" t="s">
        <v>62</v>
      </c>
      <c r="AP950" s="3" t="s">
        <v>69</v>
      </c>
      <c r="AQ950" s="3" t="s">
        <v>61</v>
      </c>
      <c r="AR950" s="3" t="s">
        <v>48</v>
      </c>
    </row>
    <row r="951" spans="1:44" ht="30" customHeight="1">
      <c r="A951" s="3" t="s">
        <v>44</v>
      </c>
      <c r="B951" s="3" t="s">
        <v>45</v>
      </c>
      <c r="C951" s="3" t="s">
        <v>46</v>
      </c>
      <c r="D951" s="3" t="s">
        <v>47</v>
      </c>
      <c r="E951" s="3" t="s">
        <v>48</v>
      </c>
      <c r="F951" s="3" t="s">
        <v>49</v>
      </c>
      <c r="G951" s="3" t="s">
        <v>2272</v>
      </c>
      <c r="H951" s="4">
        <f>IF(DATEDIF(L951,S951,"m")&gt;12,DATEDIF(L951,S951,"y"),(DATEDIF(L951,S951,"m")/12))</f>
        <v>22</v>
      </c>
      <c r="I951" s="7">
        <f>DATEDIF(L951,S951,"M")</f>
        <v>267</v>
      </c>
      <c r="J951" s="7">
        <f>DATEDIF(L951,S951,"D")</f>
        <v>8155</v>
      </c>
      <c r="K951" s="3" t="s">
        <v>64</v>
      </c>
      <c r="L951" s="8">
        <v>36790</v>
      </c>
      <c r="M951" s="3" t="s">
        <v>45</v>
      </c>
      <c r="N951" s="3" t="s">
        <v>73</v>
      </c>
      <c r="O951" s="3" t="s">
        <v>52</v>
      </c>
      <c r="P951" s="3" t="s">
        <v>1994</v>
      </c>
      <c r="Q951" s="7">
        <v>0</v>
      </c>
      <c r="R951" s="8">
        <v>44948</v>
      </c>
      <c r="S951" s="8">
        <v>44945</v>
      </c>
      <c r="T951" s="3" t="s">
        <v>54</v>
      </c>
      <c r="U951" s="3" t="s">
        <v>55</v>
      </c>
      <c r="V951" s="9"/>
      <c r="W951" s="10">
        <v>44956</v>
      </c>
      <c r="X951" s="7">
        <v>8</v>
      </c>
      <c r="Y951" s="7">
        <v>3</v>
      </c>
      <c r="Z951" s="7">
        <v>1</v>
      </c>
      <c r="AA951" s="7">
        <f>INT((S951-DATE(YEAR(S951-WEEKDAY(S951-0)+4),1,4)+WEEKDAY(DATE(YEAR(S951-WEEKDAY(S951-0)+4),1,4))+6)/7)</f>
        <v>3</v>
      </c>
      <c r="AB951" s="3" t="s">
        <v>2273</v>
      </c>
      <c r="AC951" s="7">
        <v>13</v>
      </c>
      <c r="AD951" s="7">
        <v>0</v>
      </c>
      <c r="AE951" s="7">
        <v>0</v>
      </c>
      <c r="AF951" s="3" t="s">
        <v>48</v>
      </c>
      <c r="AG951" s="7">
        <v>2023</v>
      </c>
      <c r="AH951" s="3" t="s">
        <v>57</v>
      </c>
      <c r="AI951" s="3" t="s">
        <v>48</v>
      </c>
      <c r="AJ951" s="3" t="s">
        <v>48</v>
      </c>
      <c r="AK951" s="3" t="s">
        <v>235</v>
      </c>
      <c r="AL951" s="3" t="s">
        <v>59</v>
      </c>
      <c r="AM951" s="3" t="s">
        <v>60</v>
      </c>
      <c r="AN951" s="3" t="s">
        <v>61</v>
      </c>
      <c r="AO951" s="3" t="s">
        <v>62</v>
      </c>
      <c r="AP951" s="3" t="s">
        <v>69</v>
      </c>
      <c r="AQ951" s="3" t="s">
        <v>61</v>
      </c>
      <c r="AR951" s="3" t="s">
        <v>48</v>
      </c>
    </row>
    <row r="952" spans="1:44" ht="30" customHeight="1">
      <c r="A952" s="3" t="s">
        <v>44</v>
      </c>
      <c r="B952" s="3" t="s">
        <v>45</v>
      </c>
      <c r="C952" s="3" t="s">
        <v>46</v>
      </c>
      <c r="D952" s="3" t="s">
        <v>47</v>
      </c>
      <c r="E952" s="3" t="s">
        <v>48</v>
      </c>
      <c r="F952" s="3" t="s">
        <v>49</v>
      </c>
      <c r="G952" s="3" t="s">
        <v>1955</v>
      </c>
      <c r="H952" s="4">
        <f>IF(DATEDIF(L952,S952,"m")&gt;12,DATEDIF(L952,S952,"y"),(DATEDIF(L952,S952,"m")/12))</f>
        <v>31</v>
      </c>
      <c r="I952" s="7">
        <f>DATEDIF(L952,S952,"M")</f>
        <v>378</v>
      </c>
      <c r="J952" s="7">
        <f>DATEDIF(L952,S952,"D")</f>
        <v>11530</v>
      </c>
      <c r="K952" s="3" t="s">
        <v>64</v>
      </c>
      <c r="L952" s="8">
        <v>33424</v>
      </c>
      <c r="M952" s="3" t="s">
        <v>45</v>
      </c>
      <c r="N952" s="3" t="s">
        <v>73</v>
      </c>
      <c r="O952" s="3" t="s">
        <v>52</v>
      </c>
      <c r="P952" s="3" t="s">
        <v>406</v>
      </c>
      <c r="Q952" s="7">
        <v>0</v>
      </c>
      <c r="R952" s="8">
        <v>44958</v>
      </c>
      <c r="S952" s="8">
        <v>44954</v>
      </c>
      <c r="T952" s="3" t="s">
        <v>54</v>
      </c>
      <c r="U952" s="3" t="s">
        <v>55</v>
      </c>
      <c r="V952" s="9"/>
      <c r="W952" s="10">
        <v>44963</v>
      </c>
      <c r="X952" s="7">
        <v>5</v>
      </c>
      <c r="Y952" s="7">
        <v>4</v>
      </c>
      <c r="Z952" s="7">
        <v>1</v>
      </c>
      <c r="AA952" s="7">
        <f>INT((S952-DATE(YEAR(S952-WEEKDAY(S952-0)+4),1,4)+WEEKDAY(DATE(YEAR(S952-WEEKDAY(S952-0)+4),1,4))+6)/7)</f>
        <v>4</v>
      </c>
      <c r="AB952" s="3" t="s">
        <v>1956</v>
      </c>
      <c r="AC952" s="7">
        <v>26</v>
      </c>
      <c r="AD952" s="7">
        <v>0</v>
      </c>
      <c r="AE952" s="7">
        <v>0</v>
      </c>
      <c r="AF952" s="3" t="s">
        <v>48</v>
      </c>
      <c r="AG952" s="7">
        <v>2023</v>
      </c>
      <c r="AH952" s="3" t="s">
        <v>57</v>
      </c>
      <c r="AI952" s="3" t="s">
        <v>48</v>
      </c>
      <c r="AJ952" s="3" t="s">
        <v>48</v>
      </c>
      <c r="AK952" s="3" t="s">
        <v>235</v>
      </c>
      <c r="AL952" s="3" t="s">
        <v>59</v>
      </c>
      <c r="AM952" s="3" t="s">
        <v>60</v>
      </c>
      <c r="AN952" s="3" t="s">
        <v>61</v>
      </c>
      <c r="AO952" s="3" t="s">
        <v>62</v>
      </c>
      <c r="AP952" s="3" t="s">
        <v>69</v>
      </c>
      <c r="AQ952" s="3" t="s">
        <v>61</v>
      </c>
      <c r="AR952" s="3" t="s">
        <v>48</v>
      </c>
    </row>
    <row r="953" spans="1:44" ht="30" customHeight="1">
      <c r="A953" s="3" t="s">
        <v>44</v>
      </c>
      <c r="B953" s="3" t="s">
        <v>45</v>
      </c>
      <c r="C953" s="3" t="s">
        <v>46</v>
      </c>
      <c r="D953" s="3" t="s">
        <v>47</v>
      </c>
      <c r="E953" s="3" t="s">
        <v>48</v>
      </c>
      <c r="F953" s="3" t="s">
        <v>49</v>
      </c>
      <c r="G953" s="3" t="s">
        <v>1957</v>
      </c>
      <c r="H953" s="4">
        <f>IF(DATEDIF(L953,S953,"m")&gt;12,DATEDIF(L953,S953,"y"),(DATEDIF(L953,S953,"m")/12))</f>
        <v>28</v>
      </c>
      <c r="I953" s="7">
        <f>DATEDIF(L953,S953,"M")</f>
        <v>346</v>
      </c>
      <c r="J953" s="7">
        <f>DATEDIF(L953,S953,"D")</f>
        <v>10543</v>
      </c>
      <c r="K953" s="3" t="s">
        <v>51</v>
      </c>
      <c r="L953" s="8">
        <v>34411</v>
      </c>
      <c r="M953" s="3" t="s">
        <v>45</v>
      </c>
      <c r="N953" s="3" t="s">
        <v>73</v>
      </c>
      <c r="O953" s="3" t="s">
        <v>52</v>
      </c>
      <c r="P953" s="3" t="s">
        <v>406</v>
      </c>
      <c r="Q953" s="7">
        <v>0</v>
      </c>
      <c r="R953" s="8">
        <v>44956</v>
      </c>
      <c r="S953" s="8">
        <v>44954</v>
      </c>
      <c r="T953" s="3" t="s">
        <v>54</v>
      </c>
      <c r="U953" s="3" t="s">
        <v>55</v>
      </c>
      <c r="V953" s="9"/>
      <c r="W953" s="10">
        <v>44963</v>
      </c>
      <c r="X953" s="7">
        <v>7</v>
      </c>
      <c r="Y953" s="7">
        <v>2</v>
      </c>
      <c r="Z953" s="7">
        <v>1</v>
      </c>
      <c r="AA953" s="7">
        <f>INT((S953-DATE(YEAR(S953-WEEKDAY(S953-0)+4),1,4)+WEEKDAY(DATE(YEAR(S953-WEEKDAY(S953-0)+4),1,4))+6)/7)</f>
        <v>4</v>
      </c>
      <c r="AB953" s="3" t="s">
        <v>1958</v>
      </c>
      <c r="AC953" s="7">
        <v>23</v>
      </c>
      <c r="AD953" s="7">
        <v>0</v>
      </c>
      <c r="AE953" s="7">
        <v>0</v>
      </c>
      <c r="AF953" s="3" t="s">
        <v>48</v>
      </c>
      <c r="AG953" s="7">
        <v>2023</v>
      </c>
      <c r="AH953" s="3" t="s">
        <v>57</v>
      </c>
      <c r="AI953" s="3" t="s">
        <v>48</v>
      </c>
      <c r="AJ953" s="3" t="s">
        <v>48</v>
      </c>
      <c r="AK953" s="3" t="s">
        <v>235</v>
      </c>
      <c r="AL953" s="3" t="s">
        <v>59</v>
      </c>
      <c r="AM953" s="3" t="s">
        <v>60</v>
      </c>
      <c r="AN953" s="3" t="s">
        <v>61</v>
      </c>
      <c r="AO953" s="3" t="s">
        <v>62</v>
      </c>
      <c r="AP953" s="3" t="s">
        <v>69</v>
      </c>
      <c r="AQ953" s="3" t="s">
        <v>61</v>
      </c>
      <c r="AR953" s="3" t="s">
        <v>48</v>
      </c>
    </row>
    <row r="954" spans="1:44" ht="30" customHeight="1">
      <c r="A954" s="3" t="s">
        <v>44</v>
      </c>
      <c r="B954" s="3" t="s">
        <v>45</v>
      </c>
      <c r="C954" s="3" t="s">
        <v>46</v>
      </c>
      <c r="D954" s="3" t="s">
        <v>108</v>
      </c>
      <c r="E954" s="3" t="s">
        <v>48</v>
      </c>
      <c r="F954" s="3" t="s">
        <v>108</v>
      </c>
      <c r="G954" s="3" t="s">
        <v>236</v>
      </c>
      <c r="H954" s="4">
        <f>IF(DATEDIF(L954,S954,"m")&gt;12,DATEDIF(L954,S954,"y"),(DATEDIF(L954,S954,"m")/12))</f>
        <v>7</v>
      </c>
      <c r="I954" s="7">
        <f>DATEDIF(L954,S954,"M")</f>
        <v>85</v>
      </c>
      <c r="J954" s="7">
        <f>DATEDIF(L954,S954,"D")</f>
        <v>2611</v>
      </c>
      <c r="K954" s="3" t="s">
        <v>64</v>
      </c>
      <c r="L954" s="8">
        <v>42352</v>
      </c>
      <c r="M954" s="3" t="s">
        <v>45</v>
      </c>
      <c r="N954" s="3" t="s">
        <v>73</v>
      </c>
      <c r="O954" s="3" t="s">
        <v>52</v>
      </c>
      <c r="P954" s="3" t="s">
        <v>237</v>
      </c>
      <c r="Q954" s="7">
        <v>0</v>
      </c>
      <c r="R954" s="8">
        <v>44964</v>
      </c>
      <c r="S954" s="8">
        <v>44963</v>
      </c>
      <c r="T954" s="3" t="s">
        <v>54</v>
      </c>
      <c r="U954" s="3" t="s">
        <v>55</v>
      </c>
      <c r="V954" s="9"/>
      <c r="W954" s="10">
        <v>44971</v>
      </c>
      <c r="X954" s="7">
        <v>7</v>
      </c>
      <c r="Y954" s="7">
        <v>1</v>
      </c>
      <c r="Z954" s="7">
        <v>2</v>
      </c>
      <c r="AA954" s="7">
        <f>INT((S954-DATE(YEAR(S954-WEEKDAY(S954-0)+4),1,4)+WEEKDAY(DATE(YEAR(S954-WEEKDAY(S954-0)+4),1,4))+6)/7)</f>
        <v>6</v>
      </c>
      <c r="AB954" s="3" t="s">
        <v>238</v>
      </c>
      <c r="AC954" s="7">
        <v>234</v>
      </c>
      <c r="AD954" s="7">
        <v>0</v>
      </c>
      <c r="AE954" s="7">
        <v>0</v>
      </c>
      <c r="AF954" s="3" t="s">
        <v>48</v>
      </c>
      <c r="AG954" s="7">
        <v>2023</v>
      </c>
      <c r="AH954" s="3" t="s">
        <v>112</v>
      </c>
      <c r="AI954" s="3" t="s">
        <v>113</v>
      </c>
      <c r="AJ954" s="3" t="s">
        <v>48</v>
      </c>
      <c r="AK954" s="3" t="s">
        <v>235</v>
      </c>
      <c r="AL954" s="3" t="s">
        <v>59</v>
      </c>
      <c r="AM954" s="3" t="s">
        <v>115</v>
      </c>
      <c r="AN954" s="3" t="s">
        <v>61</v>
      </c>
      <c r="AO954" s="3" t="s">
        <v>62</v>
      </c>
      <c r="AP954" s="3" t="s">
        <v>69</v>
      </c>
      <c r="AQ954" s="3" t="s">
        <v>61</v>
      </c>
      <c r="AR954" s="3" t="s">
        <v>48</v>
      </c>
    </row>
    <row r="955" spans="1:44" ht="30" customHeight="1">
      <c r="A955" s="3" t="s">
        <v>44</v>
      </c>
      <c r="B955" s="3" t="s">
        <v>45</v>
      </c>
      <c r="C955" s="3" t="s">
        <v>46</v>
      </c>
      <c r="D955" s="3" t="s">
        <v>108</v>
      </c>
      <c r="E955" s="3" t="s">
        <v>48</v>
      </c>
      <c r="F955" s="3" t="s">
        <v>108</v>
      </c>
      <c r="G955" s="3" t="s">
        <v>506</v>
      </c>
      <c r="H955" s="4">
        <f>IF(DATEDIF(L955,S955,"m")&gt;12,DATEDIF(L955,S955,"y"),(DATEDIF(L955,S955,"m")/12))</f>
        <v>17</v>
      </c>
      <c r="I955" s="7">
        <f>DATEDIF(L955,S955,"M")</f>
        <v>212</v>
      </c>
      <c r="J955" s="7">
        <f>DATEDIF(L955,S955,"D")</f>
        <v>6483</v>
      </c>
      <c r="K955" s="3" t="s">
        <v>64</v>
      </c>
      <c r="L955" s="8">
        <v>38473</v>
      </c>
      <c r="M955" s="3" t="s">
        <v>45</v>
      </c>
      <c r="N955" s="3" t="s">
        <v>73</v>
      </c>
      <c r="O955" s="3" t="s">
        <v>52</v>
      </c>
      <c r="P955" s="3" t="s">
        <v>354</v>
      </c>
      <c r="Q955" s="7">
        <v>0</v>
      </c>
      <c r="R955" s="8">
        <v>44963</v>
      </c>
      <c r="S955" s="8">
        <v>44956</v>
      </c>
      <c r="T955" s="3" t="s">
        <v>54</v>
      </c>
      <c r="U955" s="3" t="s">
        <v>55</v>
      </c>
      <c r="V955" s="9"/>
      <c r="W955" s="10">
        <v>44971</v>
      </c>
      <c r="X955" s="7">
        <v>8</v>
      </c>
      <c r="Y955" s="7">
        <v>7</v>
      </c>
      <c r="Z955" s="7">
        <v>1</v>
      </c>
      <c r="AA955" s="7">
        <f>INT((S955-DATE(YEAR(S955-WEEKDAY(S955-0)+4),1,4)+WEEKDAY(DATE(YEAR(S955-WEEKDAY(S955-0)+4),1,4))+6)/7)</f>
        <v>5</v>
      </c>
      <c r="AB955" s="3" t="s">
        <v>507</v>
      </c>
      <c r="AC955" s="7">
        <v>211</v>
      </c>
      <c r="AD955" s="7">
        <v>0</v>
      </c>
      <c r="AE955" s="7">
        <v>0</v>
      </c>
      <c r="AF955" s="3" t="s">
        <v>48</v>
      </c>
      <c r="AG955" s="7">
        <v>2023</v>
      </c>
      <c r="AH955" s="3" t="s">
        <v>112</v>
      </c>
      <c r="AI955" s="3" t="s">
        <v>113</v>
      </c>
      <c r="AJ955" s="3" t="s">
        <v>48</v>
      </c>
      <c r="AK955" s="3" t="s">
        <v>235</v>
      </c>
      <c r="AL955" s="3" t="s">
        <v>59</v>
      </c>
      <c r="AM955" s="3" t="s">
        <v>115</v>
      </c>
      <c r="AN955" s="3" t="s">
        <v>61</v>
      </c>
      <c r="AO955" s="3" t="s">
        <v>62</v>
      </c>
      <c r="AP955" s="3" t="s">
        <v>69</v>
      </c>
      <c r="AQ955" s="3" t="s">
        <v>61</v>
      </c>
      <c r="AR955" s="3" t="s">
        <v>48</v>
      </c>
    </row>
    <row r="956" spans="1:44" ht="30" customHeight="1">
      <c r="A956" s="3" t="s">
        <v>44</v>
      </c>
      <c r="B956" s="3" t="s">
        <v>45</v>
      </c>
      <c r="C956" s="3" t="s">
        <v>46</v>
      </c>
      <c r="D956" s="3" t="s">
        <v>108</v>
      </c>
      <c r="E956" s="3" t="s">
        <v>48</v>
      </c>
      <c r="F956" s="3" t="s">
        <v>108</v>
      </c>
      <c r="G956" s="3" t="s">
        <v>599</v>
      </c>
      <c r="H956" s="4">
        <f>IF(DATEDIF(L956,S956,"m")&gt;12,DATEDIF(L956,S956,"y"),(DATEDIF(L956,S956,"m")/12))</f>
        <v>29</v>
      </c>
      <c r="I956" s="7">
        <f>DATEDIF(L956,S956,"M")</f>
        <v>350</v>
      </c>
      <c r="J956" s="7">
        <f>DATEDIF(L956,S956,"D")</f>
        <v>10671</v>
      </c>
      <c r="K956" s="3" t="s">
        <v>64</v>
      </c>
      <c r="L956" s="8">
        <v>34290</v>
      </c>
      <c r="M956" s="3" t="s">
        <v>45</v>
      </c>
      <c r="N956" s="3" t="s">
        <v>73</v>
      </c>
      <c r="O956" s="3" t="s">
        <v>52</v>
      </c>
      <c r="P956" s="3" t="s">
        <v>600</v>
      </c>
      <c r="Q956" s="7">
        <v>0</v>
      </c>
      <c r="R956" s="8">
        <v>44964</v>
      </c>
      <c r="S956" s="8">
        <v>44961</v>
      </c>
      <c r="T956" s="3" t="s">
        <v>54</v>
      </c>
      <c r="U956" s="3" t="s">
        <v>55</v>
      </c>
      <c r="V956" s="9"/>
      <c r="W956" s="10">
        <v>44971</v>
      </c>
      <c r="X956" s="7">
        <v>7</v>
      </c>
      <c r="Y956" s="7">
        <v>3</v>
      </c>
      <c r="Z956" s="7">
        <v>2</v>
      </c>
      <c r="AA956" s="7">
        <f>INT((S956-DATE(YEAR(S956-WEEKDAY(S956-0)+4),1,4)+WEEKDAY(DATE(YEAR(S956-WEEKDAY(S956-0)+4),1,4))+6)/7)</f>
        <v>5</v>
      </c>
      <c r="AB956" s="3" t="s">
        <v>601</v>
      </c>
      <c r="AC956" s="7">
        <v>229</v>
      </c>
      <c r="AD956" s="7">
        <v>0</v>
      </c>
      <c r="AE956" s="7">
        <v>0</v>
      </c>
      <c r="AF956" s="3" t="s">
        <v>48</v>
      </c>
      <c r="AG956" s="7">
        <v>2023</v>
      </c>
      <c r="AH956" s="3" t="s">
        <v>112</v>
      </c>
      <c r="AI956" s="3" t="s">
        <v>113</v>
      </c>
      <c r="AJ956" s="3" t="s">
        <v>48</v>
      </c>
      <c r="AK956" s="3" t="s">
        <v>235</v>
      </c>
      <c r="AL956" s="3" t="s">
        <v>59</v>
      </c>
      <c r="AM956" s="3" t="s">
        <v>115</v>
      </c>
      <c r="AN956" s="3" t="s">
        <v>61</v>
      </c>
      <c r="AO956" s="3" t="s">
        <v>62</v>
      </c>
      <c r="AP956" s="3" t="s">
        <v>69</v>
      </c>
      <c r="AQ956" s="3" t="s">
        <v>61</v>
      </c>
      <c r="AR956" s="3" t="s">
        <v>48</v>
      </c>
    </row>
    <row r="957" spans="1:44" ht="30" customHeight="1">
      <c r="A957" s="3" t="s">
        <v>44</v>
      </c>
      <c r="B957" s="3" t="s">
        <v>45</v>
      </c>
      <c r="C957" s="3" t="s">
        <v>46</v>
      </c>
      <c r="D957" s="3" t="s">
        <v>47</v>
      </c>
      <c r="E957" s="3" t="s">
        <v>48</v>
      </c>
      <c r="F957" s="3" t="s">
        <v>1226</v>
      </c>
      <c r="G957" s="3" t="s">
        <v>1718</v>
      </c>
      <c r="H957" s="4">
        <f>IF(DATEDIF(L957,S957,"m")&gt;12,DATEDIF(L957,S957,"y"),(DATEDIF(L957,S957,"m")/12))</f>
        <v>1</v>
      </c>
      <c r="I957" s="7">
        <f>DATEDIF(L957,S957,"M")</f>
        <v>12</v>
      </c>
      <c r="J957" s="7">
        <f>DATEDIF(L957,S957,"D")</f>
        <v>369</v>
      </c>
      <c r="K957" s="3" t="s">
        <v>64</v>
      </c>
      <c r="L957" s="8">
        <v>44662</v>
      </c>
      <c r="M957" s="3" t="s">
        <v>45</v>
      </c>
      <c r="N957" s="3" t="s">
        <v>65</v>
      </c>
      <c r="O957" s="3" t="s">
        <v>52</v>
      </c>
      <c r="P957" s="3" t="s">
        <v>84</v>
      </c>
      <c r="Q957" s="7">
        <v>1</v>
      </c>
      <c r="R957" s="8">
        <v>45035</v>
      </c>
      <c r="S957" s="8">
        <v>45031</v>
      </c>
      <c r="T957" s="3" t="s">
        <v>54</v>
      </c>
      <c r="U957" s="3" t="s">
        <v>55</v>
      </c>
      <c r="V957" s="9"/>
      <c r="W957" s="10">
        <v>45040</v>
      </c>
      <c r="X957" s="7">
        <v>5</v>
      </c>
      <c r="Y957" s="7">
        <v>4</v>
      </c>
      <c r="Z957" s="7">
        <v>4</v>
      </c>
      <c r="AA957" s="7">
        <f>INT((S957-DATE(YEAR(S957-WEEKDAY(S957-0)+4),1,4)+WEEKDAY(DATE(YEAR(S957-WEEKDAY(S957-0)+4),1,4))+6)/7)</f>
        <v>15</v>
      </c>
      <c r="AB957" s="3" t="s">
        <v>1719</v>
      </c>
      <c r="AC957" s="7">
        <v>189</v>
      </c>
      <c r="AD957" s="7">
        <v>0</v>
      </c>
      <c r="AE957" s="7">
        <v>0</v>
      </c>
      <c r="AF957" s="3" t="s">
        <v>48</v>
      </c>
      <c r="AG957" s="7">
        <v>2023</v>
      </c>
      <c r="AH957" s="3" t="s">
        <v>1229</v>
      </c>
      <c r="AI957" s="3" t="s">
        <v>48</v>
      </c>
      <c r="AJ957" s="3" t="s">
        <v>48</v>
      </c>
      <c r="AK957" s="3" t="s">
        <v>1720</v>
      </c>
      <c r="AL957" s="3" t="s">
        <v>59</v>
      </c>
      <c r="AM957" s="3" t="s">
        <v>60</v>
      </c>
      <c r="AN957" s="3" t="s">
        <v>61</v>
      </c>
      <c r="AO957" s="3" t="s">
        <v>62</v>
      </c>
      <c r="AP957" s="3" t="s">
        <v>61</v>
      </c>
      <c r="AQ957" s="3" t="s">
        <v>61</v>
      </c>
      <c r="AR957" s="3" t="s">
        <v>48</v>
      </c>
    </row>
    <row r="958" spans="1:44" ht="30" customHeight="1">
      <c r="A958" s="3" t="s">
        <v>44</v>
      </c>
      <c r="B958" s="3" t="s">
        <v>45</v>
      </c>
      <c r="C958" s="3" t="s">
        <v>46</v>
      </c>
      <c r="D958" s="3" t="s">
        <v>47</v>
      </c>
      <c r="E958" s="3" t="s">
        <v>48</v>
      </c>
      <c r="F958" s="3" t="s">
        <v>1226</v>
      </c>
      <c r="G958" s="3" t="s">
        <v>1725</v>
      </c>
      <c r="H958" s="4">
        <f>IF(DATEDIF(L958,S958,"m")&gt;12,DATEDIF(L958,S958,"y"),(DATEDIF(L958,S958,"m")/12))</f>
        <v>35</v>
      </c>
      <c r="I958" s="7">
        <f>DATEDIF(L958,S958,"M")</f>
        <v>422</v>
      </c>
      <c r="J958" s="7">
        <f>DATEDIF(L958,S958,"D")</f>
        <v>12854</v>
      </c>
      <c r="K958" s="3" t="s">
        <v>51</v>
      </c>
      <c r="L958" s="8">
        <v>32175</v>
      </c>
      <c r="M958" s="3" t="s">
        <v>45</v>
      </c>
      <c r="N958" s="3" t="s">
        <v>49</v>
      </c>
      <c r="O958" s="3" t="s">
        <v>52</v>
      </c>
      <c r="P958" s="3" t="s">
        <v>1726</v>
      </c>
      <c r="Q958" s="7">
        <v>0</v>
      </c>
      <c r="R958" s="8">
        <v>45033</v>
      </c>
      <c r="S958" s="8">
        <v>45029</v>
      </c>
      <c r="T958" s="3" t="s">
        <v>54</v>
      </c>
      <c r="U958" s="3" t="s">
        <v>55</v>
      </c>
      <c r="V958" s="9"/>
      <c r="W958" s="10">
        <v>45040</v>
      </c>
      <c r="X958" s="7">
        <v>7</v>
      </c>
      <c r="Y958" s="7">
        <v>4</v>
      </c>
      <c r="Z958" s="7">
        <v>4</v>
      </c>
      <c r="AA958" s="7">
        <f>INT((S958-DATE(YEAR(S958-WEEKDAY(S958-0)+4),1,4)+WEEKDAY(DATE(YEAR(S958-WEEKDAY(S958-0)+4),1,4))+6)/7)</f>
        <v>15</v>
      </c>
      <c r="AB958" s="3" t="s">
        <v>1727</v>
      </c>
      <c r="AC958" s="7">
        <v>191</v>
      </c>
      <c r="AD958" s="7">
        <v>0</v>
      </c>
      <c r="AE958" s="7">
        <v>0</v>
      </c>
      <c r="AF958" s="3" t="s">
        <v>48</v>
      </c>
      <c r="AG958" s="7">
        <v>2023</v>
      </c>
      <c r="AH958" s="3" t="s">
        <v>1229</v>
      </c>
      <c r="AI958" s="3" t="s">
        <v>48</v>
      </c>
      <c r="AJ958" s="3" t="s">
        <v>48</v>
      </c>
      <c r="AK958" s="3" t="s">
        <v>58</v>
      </c>
      <c r="AL958" s="3" t="s">
        <v>59</v>
      </c>
      <c r="AM958" s="3" t="s">
        <v>60</v>
      </c>
      <c r="AN958" s="3" t="s">
        <v>61</v>
      </c>
      <c r="AO958" s="3" t="s">
        <v>62</v>
      </c>
      <c r="AP958" s="3" t="s">
        <v>61</v>
      </c>
      <c r="AQ958" s="3" t="s">
        <v>61</v>
      </c>
      <c r="AR958" s="3" t="s">
        <v>48</v>
      </c>
    </row>
    <row r="959" spans="1:44" ht="30" customHeight="1">
      <c r="A959" s="3" t="s">
        <v>44</v>
      </c>
      <c r="B959" s="3" t="s">
        <v>45</v>
      </c>
      <c r="C959" s="3" t="s">
        <v>46</v>
      </c>
      <c r="D959" s="3" t="s">
        <v>47</v>
      </c>
      <c r="E959" s="3" t="s">
        <v>48</v>
      </c>
      <c r="F959" s="3" t="s">
        <v>1226</v>
      </c>
      <c r="G959" s="3" t="s">
        <v>1905</v>
      </c>
      <c r="H959" s="4">
        <f>IF(DATEDIF(L959,S959,"m")&gt;12,DATEDIF(L959,S959,"y"),(DATEDIF(L959,S959,"m")/12))</f>
        <v>65</v>
      </c>
      <c r="I959" s="7">
        <f>DATEDIF(L959,S959,"M")</f>
        <v>781</v>
      </c>
      <c r="J959" s="7">
        <f>DATEDIF(L959,S959,"D")</f>
        <v>23793</v>
      </c>
      <c r="K959" s="3" t="s">
        <v>64</v>
      </c>
      <c r="L959" s="8">
        <v>21237</v>
      </c>
      <c r="M959" s="3" t="s">
        <v>45</v>
      </c>
      <c r="N959" s="3" t="s">
        <v>49</v>
      </c>
      <c r="O959" s="3" t="s">
        <v>52</v>
      </c>
      <c r="P959" s="3" t="s">
        <v>1906</v>
      </c>
      <c r="Q959" s="7">
        <v>0</v>
      </c>
      <c r="R959" s="8">
        <v>45033</v>
      </c>
      <c r="S959" s="8">
        <v>45030</v>
      </c>
      <c r="T959" s="3" t="s">
        <v>54</v>
      </c>
      <c r="U959" s="3" t="s">
        <v>55</v>
      </c>
      <c r="V959" s="9"/>
      <c r="W959" s="10">
        <v>45040</v>
      </c>
      <c r="X959" s="7">
        <v>7</v>
      </c>
      <c r="Y959" s="7">
        <v>3</v>
      </c>
      <c r="Z959" s="7">
        <v>4</v>
      </c>
      <c r="AA959" s="7">
        <f>INT((S959-DATE(YEAR(S959-WEEKDAY(S959-0)+4),1,4)+WEEKDAY(DATE(YEAR(S959-WEEKDAY(S959-0)+4),1,4))+6)/7)</f>
        <v>15</v>
      </c>
      <c r="AB959" s="3" t="s">
        <v>1907</v>
      </c>
      <c r="AC959" s="7">
        <v>193</v>
      </c>
      <c r="AD959" s="7">
        <v>0</v>
      </c>
      <c r="AE959" s="7">
        <v>0</v>
      </c>
      <c r="AF959" s="3" t="s">
        <v>48</v>
      </c>
      <c r="AG959" s="7">
        <v>2023</v>
      </c>
      <c r="AH959" s="3" t="s">
        <v>1229</v>
      </c>
      <c r="AI959" s="3" t="s">
        <v>48</v>
      </c>
      <c r="AJ959" s="3" t="s">
        <v>48</v>
      </c>
      <c r="AK959" s="3" t="s">
        <v>58</v>
      </c>
      <c r="AL959" s="3" t="s">
        <v>59</v>
      </c>
      <c r="AM959" s="3" t="s">
        <v>60</v>
      </c>
      <c r="AN959" s="3" t="s">
        <v>61</v>
      </c>
      <c r="AO959" s="3" t="s">
        <v>62</v>
      </c>
      <c r="AP959" s="3" t="s">
        <v>61</v>
      </c>
      <c r="AQ959" s="3" t="s">
        <v>61</v>
      </c>
      <c r="AR959" s="3" t="s">
        <v>48</v>
      </c>
    </row>
    <row r="960" spans="1:44" ht="30" customHeight="1">
      <c r="A960" s="3" t="s">
        <v>44</v>
      </c>
      <c r="B960" s="3" t="s">
        <v>45</v>
      </c>
      <c r="C960" s="3" t="s">
        <v>46</v>
      </c>
      <c r="D960" s="3" t="s">
        <v>108</v>
      </c>
      <c r="E960" s="3" t="s">
        <v>48</v>
      </c>
      <c r="F960" s="3" t="s">
        <v>108</v>
      </c>
      <c r="G960" s="3" t="s">
        <v>783</v>
      </c>
      <c r="H960" s="4">
        <f>IF(DATEDIF(L960,S960,"m")&gt;12,DATEDIF(L960,S960,"y"),(DATEDIF(L960,S960,"m")/12))</f>
        <v>2</v>
      </c>
      <c r="I960" s="7">
        <f>DATEDIF(L960,S960,"M")</f>
        <v>34</v>
      </c>
      <c r="J960" s="7">
        <f>DATEDIF(L960,S960,"D")</f>
        <v>1049</v>
      </c>
      <c r="K960" s="3" t="s">
        <v>51</v>
      </c>
      <c r="L960" s="8">
        <v>43913</v>
      </c>
      <c r="M960" s="3" t="s">
        <v>45</v>
      </c>
      <c r="N960" s="3" t="s">
        <v>73</v>
      </c>
      <c r="O960" s="3" t="s">
        <v>52</v>
      </c>
      <c r="P960" s="3" t="s">
        <v>354</v>
      </c>
      <c r="Q960" s="7">
        <v>0</v>
      </c>
      <c r="R960" s="8">
        <v>44965</v>
      </c>
      <c r="S960" s="8">
        <v>44962</v>
      </c>
      <c r="T960" s="3" t="s">
        <v>54</v>
      </c>
      <c r="U960" s="3" t="s">
        <v>55</v>
      </c>
      <c r="V960" s="9"/>
      <c r="W960" s="10">
        <v>44971</v>
      </c>
      <c r="X960" s="7">
        <v>6</v>
      </c>
      <c r="Y960" s="7">
        <v>3</v>
      </c>
      <c r="Z960" s="7">
        <v>2</v>
      </c>
      <c r="AA960" s="7">
        <f>INT((S960-DATE(YEAR(S960-WEEKDAY(S960-0)+4),1,4)+WEEKDAY(DATE(YEAR(S960-WEEKDAY(S960-0)+4),1,4))+6)/7)</f>
        <v>6</v>
      </c>
      <c r="AB960" s="3" t="s">
        <v>784</v>
      </c>
      <c r="AC960" s="7">
        <v>240</v>
      </c>
      <c r="AD960" s="7">
        <v>0</v>
      </c>
      <c r="AE960" s="7">
        <v>0</v>
      </c>
      <c r="AF960" s="3" t="s">
        <v>48</v>
      </c>
      <c r="AG960" s="7">
        <v>2023</v>
      </c>
      <c r="AH960" s="3" t="s">
        <v>112</v>
      </c>
      <c r="AI960" s="3" t="s">
        <v>113</v>
      </c>
      <c r="AJ960" s="3" t="s">
        <v>48</v>
      </c>
      <c r="AK960" s="3" t="s">
        <v>235</v>
      </c>
      <c r="AL960" s="3" t="s">
        <v>59</v>
      </c>
      <c r="AM960" s="3" t="s">
        <v>115</v>
      </c>
      <c r="AN960" s="3" t="s">
        <v>61</v>
      </c>
      <c r="AO960" s="3" t="s">
        <v>62</v>
      </c>
      <c r="AP960" s="3" t="s">
        <v>69</v>
      </c>
      <c r="AQ960" s="3" t="s">
        <v>61</v>
      </c>
      <c r="AR960" s="3" t="s">
        <v>48</v>
      </c>
    </row>
    <row r="961" spans="1:44" ht="30" customHeight="1">
      <c r="A961" s="3" t="s">
        <v>44</v>
      </c>
      <c r="B961" s="3" t="s">
        <v>45</v>
      </c>
      <c r="C961" s="3" t="s">
        <v>46</v>
      </c>
      <c r="D961" s="3" t="s">
        <v>100</v>
      </c>
      <c r="E961" s="3" t="s">
        <v>48</v>
      </c>
      <c r="F961" s="3" t="s">
        <v>48</v>
      </c>
      <c r="G961" s="3" t="s">
        <v>1144</v>
      </c>
      <c r="H961" s="4">
        <f>IF(DATEDIF(L961,S961,"m")&gt;12,DATEDIF(L961,S961,"y"),(DATEDIF(L961,S961,"m")/12))</f>
        <v>2</v>
      </c>
      <c r="I961" s="7">
        <f>DATEDIF(L961,S961,"M")</f>
        <v>29</v>
      </c>
      <c r="J961" s="7">
        <f>DATEDIF(L961,S961,"D")</f>
        <v>906</v>
      </c>
      <c r="K961" s="3" t="s">
        <v>51</v>
      </c>
      <c r="L961" s="8">
        <v>44127</v>
      </c>
      <c r="M961" s="3" t="s">
        <v>45</v>
      </c>
      <c r="N961" s="3" t="s">
        <v>101</v>
      </c>
      <c r="O961" s="3" t="s">
        <v>52</v>
      </c>
      <c r="P961" s="3" t="s">
        <v>255</v>
      </c>
      <c r="Q961" s="7">
        <v>1</v>
      </c>
      <c r="R961" s="8">
        <v>45035</v>
      </c>
      <c r="S961" s="8">
        <v>45033</v>
      </c>
      <c r="T961" s="3" t="s">
        <v>54</v>
      </c>
      <c r="U961" s="3" t="s">
        <v>55</v>
      </c>
      <c r="V961" s="9"/>
      <c r="W961" s="10">
        <v>45041</v>
      </c>
      <c r="X961" s="7">
        <v>6</v>
      </c>
      <c r="Y961" s="7">
        <v>2</v>
      </c>
      <c r="Z961" s="7">
        <v>4</v>
      </c>
      <c r="AA961" s="7">
        <f>INT((S961-DATE(YEAR(S961-WEEKDAY(S961-0)+4),1,4)+WEEKDAY(DATE(YEAR(S961-WEEKDAY(S961-0)+4),1,4))+6)/7)</f>
        <v>16</v>
      </c>
      <c r="AB961" s="3" t="s">
        <v>1145</v>
      </c>
      <c r="AC961" s="7">
        <v>198</v>
      </c>
      <c r="AD961" s="7">
        <v>0</v>
      </c>
      <c r="AE961" s="7">
        <v>0</v>
      </c>
      <c r="AF961" s="3" t="s">
        <v>48</v>
      </c>
      <c r="AG961" s="7">
        <v>2023</v>
      </c>
      <c r="AH961" s="3" t="s">
        <v>223</v>
      </c>
      <c r="AI961" s="3" t="s">
        <v>106</v>
      </c>
      <c r="AJ961" s="3" t="s">
        <v>100</v>
      </c>
      <c r="AK961" s="3" t="s">
        <v>316</v>
      </c>
      <c r="AL961" s="3" t="s">
        <v>59</v>
      </c>
      <c r="AM961" s="3" t="s">
        <v>99</v>
      </c>
      <c r="AN961" s="3" t="s">
        <v>48</v>
      </c>
      <c r="AO961" s="3" t="s">
        <v>62</v>
      </c>
      <c r="AP961" s="3" t="s">
        <v>61</v>
      </c>
      <c r="AQ961" s="3" t="s">
        <v>61</v>
      </c>
      <c r="AR961" s="3" t="s">
        <v>48</v>
      </c>
    </row>
    <row r="962" spans="1:44" ht="30" customHeight="1">
      <c r="A962" s="3" t="s">
        <v>44</v>
      </c>
      <c r="B962" s="3" t="s">
        <v>45</v>
      </c>
      <c r="C962" s="3" t="s">
        <v>46</v>
      </c>
      <c r="D962" s="3" t="s">
        <v>108</v>
      </c>
      <c r="E962" s="3" t="s">
        <v>48</v>
      </c>
      <c r="F962" s="3" t="s">
        <v>108</v>
      </c>
      <c r="G962" s="3" t="s">
        <v>990</v>
      </c>
      <c r="H962" s="4">
        <f>IF(DATEDIF(L962,S962,"m")&gt;12,DATEDIF(L962,S962,"y"),(DATEDIF(L962,S962,"m")/12))</f>
        <v>34</v>
      </c>
      <c r="I962" s="7">
        <f>DATEDIF(L962,S962,"M")</f>
        <v>418</v>
      </c>
      <c r="J962" s="7">
        <f>DATEDIF(L962,S962,"D")</f>
        <v>12737</v>
      </c>
      <c r="K962" s="3" t="s">
        <v>64</v>
      </c>
      <c r="L962" s="8">
        <v>32224</v>
      </c>
      <c r="M962" s="3" t="s">
        <v>45</v>
      </c>
      <c r="N962" s="3" t="s">
        <v>73</v>
      </c>
      <c r="O962" s="3" t="s">
        <v>52</v>
      </c>
      <c r="P962" s="3" t="s">
        <v>426</v>
      </c>
      <c r="Q962" s="7">
        <v>0</v>
      </c>
      <c r="R962" s="8">
        <v>44964</v>
      </c>
      <c r="S962" s="8">
        <v>44961</v>
      </c>
      <c r="T962" s="3" t="s">
        <v>54</v>
      </c>
      <c r="U962" s="3" t="s">
        <v>55</v>
      </c>
      <c r="V962" s="9"/>
      <c r="W962" s="10">
        <v>44971</v>
      </c>
      <c r="X962" s="7">
        <v>7</v>
      </c>
      <c r="Y962" s="7">
        <v>3</v>
      </c>
      <c r="Z962" s="7">
        <v>2</v>
      </c>
      <c r="AA962" s="7">
        <f>INT((S962-DATE(YEAR(S962-WEEKDAY(S962-0)+4),1,4)+WEEKDAY(DATE(YEAR(S962-WEEKDAY(S962-0)+4),1,4))+6)/7)</f>
        <v>5</v>
      </c>
      <c r="AB962" s="3" t="s">
        <v>991</v>
      </c>
      <c r="AC962" s="7">
        <v>233</v>
      </c>
      <c r="AD962" s="7">
        <v>0</v>
      </c>
      <c r="AE962" s="7">
        <v>0</v>
      </c>
      <c r="AF962" s="3" t="s">
        <v>48</v>
      </c>
      <c r="AG962" s="7">
        <v>2023</v>
      </c>
      <c r="AH962" s="3" t="s">
        <v>112</v>
      </c>
      <c r="AI962" s="3" t="s">
        <v>113</v>
      </c>
      <c r="AJ962" s="3" t="s">
        <v>48</v>
      </c>
      <c r="AK962" s="3" t="s">
        <v>235</v>
      </c>
      <c r="AL962" s="3" t="s">
        <v>59</v>
      </c>
      <c r="AM962" s="3" t="s">
        <v>115</v>
      </c>
      <c r="AN962" s="3" t="s">
        <v>61</v>
      </c>
      <c r="AO962" s="3" t="s">
        <v>62</v>
      </c>
      <c r="AP962" s="3" t="s">
        <v>69</v>
      </c>
      <c r="AQ962" s="3" t="s">
        <v>61</v>
      </c>
      <c r="AR962" s="3" t="s">
        <v>48</v>
      </c>
    </row>
    <row r="963" spans="1:44" ht="30" customHeight="1">
      <c r="A963" s="3" t="s">
        <v>44</v>
      </c>
      <c r="B963" s="3" t="s">
        <v>45</v>
      </c>
      <c r="C963" s="3" t="s">
        <v>46</v>
      </c>
      <c r="D963" s="3" t="s">
        <v>108</v>
      </c>
      <c r="E963" s="3" t="s">
        <v>48</v>
      </c>
      <c r="F963" s="3" t="s">
        <v>108</v>
      </c>
      <c r="G963" s="3" t="s">
        <v>1885</v>
      </c>
      <c r="H963" s="4">
        <f>IF(DATEDIF(L963,S963,"m")&gt;12,DATEDIF(L963,S963,"y"),(DATEDIF(L963,S963,"m")/12))</f>
        <v>5</v>
      </c>
      <c r="I963" s="7">
        <f>DATEDIF(L963,S963,"M")</f>
        <v>70</v>
      </c>
      <c r="J963" s="7">
        <f>DATEDIF(L963,S963,"D")</f>
        <v>2158</v>
      </c>
      <c r="K963" s="3" t="s">
        <v>64</v>
      </c>
      <c r="L963" s="8">
        <v>42804</v>
      </c>
      <c r="M963" s="3" t="s">
        <v>45</v>
      </c>
      <c r="N963" s="3" t="s">
        <v>73</v>
      </c>
      <c r="O963" s="3" t="s">
        <v>52</v>
      </c>
      <c r="P963" s="3" t="s">
        <v>537</v>
      </c>
      <c r="Q963" s="7">
        <v>0</v>
      </c>
      <c r="R963" s="8">
        <v>44964</v>
      </c>
      <c r="S963" s="8">
        <v>44962</v>
      </c>
      <c r="T963" s="3" t="s">
        <v>54</v>
      </c>
      <c r="U963" s="3" t="s">
        <v>55</v>
      </c>
      <c r="V963" s="9"/>
      <c r="W963" s="10">
        <v>44971</v>
      </c>
      <c r="X963" s="7">
        <v>7</v>
      </c>
      <c r="Y963" s="7">
        <v>2</v>
      </c>
      <c r="Z963" s="7">
        <v>2</v>
      </c>
      <c r="AA963" s="7">
        <f>INT((S963-DATE(YEAR(S963-WEEKDAY(S963-0)+4),1,4)+WEEKDAY(DATE(YEAR(S963-WEEKDAY(S963-0)+4),1,4))+6)/7)</f>
        <v>6</v>
      </c>
      <c r="AB963" s="3" t="s">
        <v>1886</v>
      </c>
      <c r="AC963" s="7">
        <v>225</v>
      </c>
      <c r="AD963" s="7">
        <v>0</v>
      </c>
      <c r="AE963" s="7">
        <v>0</v>
      </c>
      <c r="AF963" s="3" t="s">
        <v>48</v>
      </c>
      <c r="AG963" s="7">
        <v>2023</v>
      </c>
      <c r="AH963" s="3" t="s">
        <v>112</v>
      </c>
      <c r="AI963" s="3" t="s">
        <v>113</v>
      </c>
      <c r="AJ963" s="3" t="s">
        <v>48</v>
      </c>
      <c r="AK963" s="3" t="s">
        <v>235</v>
      </c>
      <c r="AL963" s="3" t="s">
        <v>59</v>
      </c>
      <c r="AM963" s="3" t="s">
        <v>115</v>
      </c>
      <c r="AN963" s="3" t="s">
        <v>61</v>
      </c>
      <c r="AO963" s="3" t="s">
        <v>62</v>
      </c>
      <c r="AP963" s="3" t="s">
        <v>69</v>
      </c>
      <c r="AQ963" s="3" t="s">
        <v>61</v>
      </c>
      <c r="AR963" s="3" t="s">
        <v>48</v>
      </c>
    </row>
    <row r="964" spans="1:44" ht="30" customHeight="1">
      <c r="A964" s="3" t="s">
        <v>44</v>
      </c>
      <c r="B964" s="3" t="s">
        <v>45</v>
      </c>
      <c r="C964" s="3" t="s">
        <v>46</v>
      </c>
      <c r="D964" s="3" t="s">
        <v>100</v>
      </c>
      <c r="E964" s="3" t="s">
        <v>48</v>
      </c>
      <c r="F964" s="3" t="s">
        <v>48</v>
      </c>
      <c r="G964" s="3" t="s">
        <v>2232</v>
      </c>
      <c r="H964" s="4">
        <f>IF(DATEDIF(L964,S964,"m")&gt;12,DATEDIF(L964,S964,"y"),(DATEDIF(L964,S964,"m")/12))</f>
        <v>3</v>
      </c>
      <c r="I964" s="7">
        <f>DATEDIF(L964,S964,"M")</f>
        <v>39</v>
      </c>
      <c r="J964" s="7">
        <f>DATEDIF(L964,S964,"D")</f>
        <v>1213</v>
      </c>
      <c r="K964" s="3" t="s">
        <v>64</v>
      </c>
      <c r="L964" s="8">
        <v>43813</v>
      </c>
      <c r="M964" s="3" t="s">
        <v>45</v>
      </c>
      <c r="N964" s="3" t="s">
        <v>101</v>
      </c>
      <c r="O964" s="3" t="s">
        <v>52</v>
      </c>
      <c r="P964" s="3" t="s">
        <v>137</v>
      </c>
      <c r="Q964" s="7">
        <v>1</v>
      </c>
      <c r="R964" s="8">
        <v>45030</v>
      </c>
      <c r="S964" s="8">
        <v>45026</v>
      </c>
      <c r="T964" s="3" t="s">
        <v>54</v>
      </c>
      <c r="U964" s="3" t="s">
        <v>55</v>
      </c>
      <c r="V964" s="9"/>
      <c r="W964" s="10">
        <v>45041</v>
      </c>
      <c r="X964" s="7">
        <v>11</v>
      </c>
      <c r="Y964" s="7">
        <v>4</v>
      </c>
      <c r="Z964" s="7">
        <v>4</v>
      </c>
      <c r="AA964" s="7">
        <f>INT((S964-DATE(YEAR(S964-WEEKDAY(S964-0)+4),1,4)+WEEKDAY(DATE(YEAR(S964-WEEKDAY(S964-0)+4),1,4))+6)/7)</f>
        <v>15</v>
      </c>
      <c r="AB964" s="3" t="s">
        <v>2233</v>
      </c>
      <c r="AC964" s="7">
        <v>197</v>
      </c>
      <c r="AD964" s="7">
        <v>0</v>
      </c>
      <c r="AE964" s="7">
        <v>0</v>
      </c>
      <c r="AF964" s="3" t="s">
        <v>48</v>
      </c>
      <c r="AG964" s="7">
        <v>2023</v>
      </c>
      <c r="AH964" s="3" t="s">
        <v>223</v>
      </c>
      <c r="AI964" s="3" t="s">
        <v>106</v>
      </c>
      <c r="AJ964" s="3" t="s">
        <v>100</v>
      </c>
      <c r="AK964" s="3" t="s">
        <v>906</v>
      </c>
      <c r="AL964" s="3" t="s">
        <v>59</v>
      </c>
      <c r="AM964" s="3" t="s">
        <v>99</v>
      </c>
      <c r="AN964" s="3" t="s">
        <v>48</v>
      </c>
      <c r="AO964" s="3" t="s">
        <v>62</v>
      </c>
      <c r="AP964" s="3" t="s">
        <v>61</v>
      </c>
      <c r="AQ964" s="3" t="s">
        <v>61</v>
      </c>
      <c r="AR964" s="3" t="s">
        <v>48</v>
      </c>
    </row>
    <row r="965" spans="1:44" ht="30" customHeight="1">
      <c r="A965" s="3" t="s">
        <v>44</v>
      </c>
      <c r="B965" s="3" t="s">
        <v>45</v>
      </c>
      <c r="C965" s="3" t="s">
        <v>46</v>
      </c>
      <c r="D965" s="3" t="s">
        <v>108</v>
      </c>
      <c r="E965" s="3" t="s">
        <v>48</v>
      </c>
      <c r="F965" s="3" t="s">
        <v>108</v>
      </c>
      <c r="G965" s="3" t="s">
        <v>2403</v>
      </c>
      <c r="H965" s="5">
        <f>IF(DATEDIF(L965,S965,"m")&gt;12,DATEDIF(L965,S965,"y"),(DATEDIF(L965,S965,"m")/12))</f>
        <v>0.33333333333333331</v>
      </c>
      <c r="I965" s="7">
        <f>DATEDIF(L965,S965,"M")</f>
        <v>4</v>
      </c>
      <c r="J965" s="7">
        <f>DATEDIF(L965,S965,"D")</f>
        <v>148</v>
      </c>
      <c r="K965" s="3" t="s">
        <v>64</v>
      </c>
      <c r="L965" s="8">
        <v>44816</v>
      </c>
      <c r="M965" s="3" t="s">
        <v>45</v>
      </c>
      <c r="N965" s="3" t="s">
        <v>73</v>
      </c>
      <c r="O965" s="3" t="s">
        <v>52</v>
      </c>
      <c r="P965" s="3" t="s">
        <v>432</v>
      </c>
      <c r="Q965" s="7">
        <v>0</v>
      </c>
      <c r="R965" s="8">
        <v>44967</v>
      </c>
      <c r="S965" s="8">
        <v>44964</v>
      </c>
      <c r="T965" s="3" t="s">
        <v>54</v>
      </c>
      <c r="U965" s="3" t="s">
        <v>55</v>
      </c>
      <c r="V965" s="9"/>
      <c r="W965" s="10">
        <v>44971</v>
      </c>
      <c r="X965" s="7">
        <v>4</v>
      </c>
      <c r="Y965" s="7">
        <v>3</v>
      </c>
      <c r="Z965" s="7">
        <v>2</v>
      </c>
      <c r="AA965" s="7">
        <f>INT((S965-DATE(YEAR(S965-WEEKDAY(S965-0)+4),1,4)+WEEKDAY(DATE(YEAR(S965-WEEKDAY(S965-0)+4),1,4))+6)/7)</f>
        <v>6</v>
      </c>
      <c r="AB965" s="3" t="s">
        <v>2404</v>
      </c>
      <c r="AC965" s="7">
        <v>252</v>
      </c>
      <c r="AD965" s="7">
        <v>0</v>
      </c>
      <c r="AE965" s="7">
        <v>0</v>
      </c>
      <c r="AF965" s="3" t="s">
        <v>48</v>
      </c>
      <c r="AG965" s="7">
        <v>2023</v>
      </c>
      <c r="AH965" s="3" t="s">
        <v>112</v>
      </c>
      <c r="AI965" s="3" t="s">
        <v>113</v>
      </c>
      <c r="AJ965" s="3" t="s">
        <v>48</v>
      </c>
      <c r="AK965" s="3" t="s">
        <v>235</v>
      </c>
      <c r="AL965" s="3" t="s">
        <v>59</v>
      </c>
      <c r="AM965" s="3" t="s">
        <v>115</v>
      </c>
      <c r="AN965" s="3" t="s">
        <v>61</v>
      </c>
      <c r="AO965" s="3" t="s">
        <v>62</v>
      </c>
      <c r="AP965" s="3" t="s">
        <v>69</v>
      </c>
      <c r="AQ965" s="3" t="s">
        <v>61</v>
      </c>
      <c r="AR965" s="3" t="s">
        <v>48</v>
      </c>
    </row>
    <row r="966" spans="1:44" ht="30" customHeight="1">
      <c r="A966" s="3" t="s">
        <v>44</v>
      </c>
      <c r="B966" s="3" t="s">
        <v>45</v>
      </c>
      <c r="C966" s="3" t="s">
        <v>46</v>
      </c>
      <c r="D966" s="3" t="s">
        <v>100</v>
      </c>
      <c r="E966" s="3" t="s">
        <v>48</v>
      </c>
      <c r="F966" s="3" t="s">
        <v>101</v>
      </c>
      <c r="G966" s="3" t="s">
        <v>1247</v>
      </c>
      <c r="H966" s="4">
        <f>IF(DATEDIF(L966,S966,"m")&gt;12,DATEDIF(L966,S966,"y"),(DATEDIF(L966,S966,"m")/12))</f>
        <v>9</v>
      </c>
      <c r="I966" s="7">
        <f>DATEDIF(L966,S966,"M")</f>
        <v>118</v>
      </c>
      <c r="J966" s="7">
        <f>DATEDIF(L966,S966,"D")</f>
        <v>3614</v>
      </c>
      <c r="K966" s="3" t="s">
        <v>64</v>
      </c>
      <c r="L966" s="8">
        <v>41319</v>
      </c>
      <c r="M966" s="3" t="s">
        <v>45</v>
      </c>
      <c r="N966" s="3" t="s">
        <v>65</v>
      </c>
      <c r="O966" s="3" t="s">
        <v>52</v>
      </c>
      <c r="P966" s="3" t="s">
        <v>103</v>
      </c>
      <c r="Q966" s="7">
        <v>0</v>
      </c>
      <c r="R966" s="8">
        <v>44935</v>
      </c>
      <c r="S966" s="8">
        <v>44933</v>
      </c>
      <c r="T966" s="3" t="s">
        <v>54</v>
      </c>
      <c r="U966" s="3" t="s">
        <v>55</v>
      </c>
      <c r="V966" s="9"/>
      <c r="W966" s="13">
        <v>45112</v>
      </c>
      <c r="X966" s="7">
        <v>22</v>
      </c>
      <c r="Y966" s="7">
        <v>2</v>
      </c>
      <c r="Z966" s="7">
        <v>1</v>
      </c>
      <c r="AA966" s="7">
        <f>INT((S966-DATE(YEAR(S966-WEEKDAY(S966-0)+4),1,4)+WEEKDAY(DATE(YEAR(S966-WEEKDAY(S966-0)+4),1,4))+6)/7)</f>
        <v>1</v>
      </c>
      <c r="AB966" s="3" t="s">
        <v>1248</v>
      </c>
      <c r="AC966" s="7">
        <v>113</v>
      </c>
      <c r="AD966" s="7">
        <v>0</v>
      </c>
      <c r="AE966" s="7">
        <v>0</v>
      </c>
      <c r="AF966" s="3" t="s">
        <v>48</v>
      </c>
      <c r="AG966" s="7">
        <v>2023</v>
      </c>
      <c r="AH966" s="3" t="s">
        <v>105</v>
      </c>
      <c r="AI966" s="3" t="s">
        <v>106</v>
      </c>
      <c r="AJ966" s="3" t="s">
        <v>252</v>
      </c>
      <c r="AK966" s="3" t="s">
        <v>903</v>
      </c>
      <c r="AL966" s="3" t="s">
        <v>59</v>
      </c>
      <c r="AM966" s="3" t="s">
        <v>99</v>
      </c>
      <c r="AN966" s="3" t="s">
        <v>61</v>
      </c>
      <c r="AO966" s="3" t="s">
        <v>62</v>
      </c>
      <c r="AP966" s="3" t="s">
        <v>69</v>
      </c>
      <c r="AQ966" s="3" t="s">
        <v>61</v>
      </c>
      <c r="AR966" s="3" t="s">
        <v>48</v>
      </c>
    </row>
    <row r="967" spans="1:44" ht="30" customHeight="1">
      <c r="A967" s="3" t="s">
        <v>44</v>
      </c>
      <c r="B967" s="3" t="s">
        <v>45</v>
      </c>
      <c r="C967" s="3" t="s">
        <v>46</v>
      </c>
      <c r="D967" s="3" t="s">
        <v>108</v>
      </c>
      <c r="E967" s="3" t="s">
        <v>48</v>
      </c>
      <c r="F967" s="3" t="s">
        <v>108</v>
      </c>
      <c r="G967" s="3" t="s">
        <v>2102</v>
      </c>
      <c r="H967" s="4">
        <f>IF(DATEDIF(L967,S967,"m")&gt;12,DATEDIF(L967,S967,"y"),(DATEDIF(L967,S967,"m")/12))</f>
        <v>1</v>
      </c>
      <c r="I967" s="7">
        <f>DATEDIF(L967,S967,"M")</f>
        <v>13</v>
      </c>
      <c r="J967" s="7">
        <f>DATEDIF(L967,S967,"D")</f>
        <v>404</v>
      </c>
      <c r="K967" s="3" t="s">
        <v>51</v>
      </c>
      <c r="L967" s="8">
        <v>44571</v>
      </c>
      <c r="M967" s="3" t="s">
        <v>45</v>
      </c>
      <c r="N967" s="3" t="s">
        <v>73</v>
      </c>
      <c r="O967" s="3" t="s">
        <v>52</v>
      </c>
      <c r="P967" s="3" t="s">
        <v>2103</v>
      </c>
      <c r="Q967" s="7">
        <v>0</v>
      </c>
      <c r="R967" s="8">
        <v>44980</v>
      </c>
      <c r="S967" s="8">
        <v>44975</v>
      </c>
      <c r="T967" s="3" t="s">
        <v>54</v>
      </c>
      <c r="U967" s="3" t="s">
        <v>55</v>
      </c>
      <c r="V967" s="9"/>
      <c r="W967" s="10">
        <v>44984</v>
      </c>
      <c r="X967" s="7">
        <v>4</v>
      </c>
      <c r="Y967" s="7">
        <v>5</v>
      </c>
      <c r="Z967" s="7">
        <v>2</v>
      </c>
      <c r="AA967" s="7">
        <f>INT((S967-DATE(YEAR(S967-WEEKDAY(S967-0)+4),1,4)+WEEKDAY(DATE(YEAR(S967-WEEKDAY(S967-0)+4),1,4))+6)/7)</f>
        <v>7</v>
      </c>
      <c r="AB967" s="3" t="s">
        <v>2104</v>
      </c>
      <c r="AC967" s="7">
        <v>300</v>
      </c>
      <c r="AD967" s="7">
        <v>0</v>
      </c>
      <c r="AE967" s="7">
        <v>0</v>
      </c>
      <c r="AF967" s="3" t="s">
        <v>48</v>
      </c>
      <c r="AG967" s="7">
        <v>2023</v>
      </c>
      <c r="AH967" s="3" t="s">
        <v>112</v>
      </c>
      <c r="AI967" s="3" t="s">
        <v>113</v>
      </c>
      <c r="AJ967" s="3" t="s">
        <v>48</v>
      </c>
      <c r="AK967" s="3" t="s">
        <v>235</v>
      </c>
      <c r="AL967" s="3" t="s">
        <v>59</v>
      </c>
      <c r="AM967" s="3" t="s">
        <v>115</v>
      </c>
      <c r="AN967" s="3" t="s">
        <v>61</v>
      </c>
      <c r="AO967" s="3" t="s">
        <v>62</v>
      </c>
      <c r="AP967" s="3" t="s">
        <v>69</v>
      </c>
      <c r="AQ967" s="3" t="s">
        <v>61</v>
      </c>
      <c r="AR967" s="3" t="s">
        <v>48</v>
      </c>
    </row>
    <row r="968" spans="1:44" ht="30" customHeight="1">
      <c r="A968" s="3" t="s">
        <v>44</v>
      </c>
      <c r="B968" s="3" t="s">
        <v>45</v>
      </c>
      <c r="C968" s="3" t="s">
        <v>46</v>
      </c>
      <c r="D968" s="3" t="s">
        <v>47</v>
      </c>
      <c r="E968" s="3" t="s">
        <v>48</v>
      </c>
      <c r="F968" s="3" t="s">
        <v>49</v>
      </c>
      <c r="G968" s="3" t="s">
        <v>1272</v>
      </c>
      <c r="H968" s="5">
        <f>IF(DATEDIF(L968,S968,"m")&gt;12,DATEDIF(L968,S968,"y"),(DATEDIF(L968,S968,"m")/12))</f>
        <v>0.41666666666666669</v>
      </c>
      <c r="I968" s="7">
        <f>DATEDIF(L968,S968,"M")</f>
        <v>5</v>
      </c>
      <c r="J968" s="7">
        <f>DATEDIF(L968,S968,"D")</f>
        <v>160</v>
      </c>
      <c r="K968" s="3" t="s">
        <v>64</v>
      </c>
      <c r="L968" s="8">
        <v>44807</v>
      </c>
      <c r="M968" s="3" t="s">
        <v>45</v>
      </c>
      <c r="N968" s="3" t="s">
        <v>49</v>
      </c>
      <c r="O968" s="3" t="s">
        <v>52</v>
      </c>
      <c r="P968" s="3" t="s">
        <v>1273</v>
      </c>
      <c r="Q968" s="7">
        <v>0</v>
      </c>
      <c r="R968" s="8">
        <v>44967</v>
      </c>
      <c r="S968" s="8">
        <v>44967</v>
      </c>
      <c r="T968" s="3" t="s">
        <v>54</v>
      </c>
      <c r="U968" s="3" t="s">
        <v>55</v>
      </c>
      <c r="V968" s="9"/>
      <c r="W968" s="13">
        <v>45112</v>
      </c>
      <c r="X968" s="7">
        <v>3</v>
      </c>
      <c r="Y968" s="7">
        <v>0</v>
      </c>
      <c r="Z968" s="7">
        <v>2</v>
      </c>
      <c r="AA968" s="7">
        <f>INT((S968-DATE(YEAR(S968-WEEKDAY(S968-0)+4),1,4)+WEEKDAY(DATE(YEAR(S968-WEEKDAY(S968-0)+4),1,4))+6)/7)</f>
        <v>6</v>
      </c>
      <c r="AB968" s="3" t="s">
        <v>1274</v>
      </c>
      <c r="AC968" s="7">
        <v>42</v>
      </c>
      <c r="AD968" s="7">
        <v>0</v>
      </c>
      <c r="AE968" s="7">
        <v>0</v>
      </c>
      <c r="AF968" s="3" t="s">
        <v>48</v>
      </c>
      <c r="AG968" s="7">
        <v>2023</v>
      </c>
      <c r="AH968" s="3" t="s">
        <v>57</v>
      </c>
      <c r="AI968" s="3" t="s">
        <v>48</v>
      </c>
      <c r="AJ968" s="3" t="s">
        <v>48</v>
      </c>
      <c r="AK968" s="3" t="s">
        <v>58</v>
      </c>
      <c r="AL968" s="3" t="s">
        <v>59</v>
      </c>
      <c r="AM968" s="3" t="s">
        <v>60</v>
      </c>
      <c r="AN968" s="3" t="s">
        <v>61</v>
      </c>
      <c r="AO968" s="3" t="s">
        <v>62</v>
      </c>
      <c r="AP968" s="3" t="s">
        <v>69</v>
      </c>
      <c r="AQ968" s="3" t="s">
        <v>61</v>
      </c>
      <c r="AR968" s="3" t="s">
        <v>48</v>
      </c>
    </row>
    <row r="969" spans="1:44" ht="30" customHeight="1">
      <c r="A969" s="3" t="s">
        <v>44</v>
      </c>
      <c r="B969" s="3" t="s">
        <v>45</v>
      </c>
      <c r="C969" s="3" t="s">
        <v>80</v>
      </c>
      <c r="D969" s="3" t="s">
        <v>81</v>
      </c>
      <c r="E969" s="3" t="s">
        <v>48</v>
      </c>
      <c r="F969" s="3" t="s">
        <v>81</v>
      </c>
      <c r="G969" s="3" t="s">
        <v>1183</v>
      </c>
      <c r="H969" s="5">
        <f>IF(DATEDIF(L969,S969,"m")&gt;12,DATEDIF(L969,S969,"y"),(DATEDIF(L969,S969,"m")/12))</f>
        <v>0.75</v>
      </c>
      <c r="I969" s="7">
        <f>DATEDIF(L969,S969,"M")</f>
        <v>9</v>
      </c>
      <c r="J969" s="7">
        <f>DATEDIF(L969,S969,"D")</f>
        <v>278</v>
      </c>
      <c r="K969" s="3" t="s">
        <v>64</v>
      </c>
      <c r="L969" s="8">
        <v>44675</v>
      </c>
      <c r="M969" s="3" t="s">
        <v>45</v>
      </c>
      <c r="N969" s="3" t="s">
        <v>90</v>
      </c>
      <c r="O969" s="3" t="s">
        <v>52</v>
      </c>
      <c r="P969" s="3" t="s">
        <v>255</v>
      </c>
      <c r="Q969" s="7">
        <v>1</v>
      </c>
      <c r="R969" s="8">
        <v>44959</v>
      </c>
      <c r="S969" s="8">
        <v>44953</v>
      </c>
      <c r="T969" s="3" t="s">
        <v>54</v>
      </c>
      <c r="U969" s="3" t="s">
        <v>55</v>
      </c>
      <c r="V969" s="9"/>
      <c r="W969" s="13">
        <v>45113</v>
      </c>
      <c r="X969" s="7">
        <v>4</v>
      </c>
      <c r="Y969" s="7">
        <v>6</v>
      </c>
      <c r="Z969" s="7">
        <v>1</v>
      </c>
      <c r="AA969" s="7">
        <f>INT((S969-DATE(YEAR(S969-WEEKDAY(S969-0)+4),1,4)+WEEKDAY(DATE(YEAR(S969-WEEKDAY(S969-0)+4),1,4))+6)/7)</f>
        <v>4</v>
      </c>
      <c r="AB969" s="3" t="s">
        <v>1184</v>
      </c>
      <c r="AC969" s="7">
        <v>13927</v>
      </c>
      <c r="AD969" s="7">
        <v>0</v>
      </c>
      <c r="AE969" s="7">
        <v>0</v>
      </c>
      <c r="AF969" s="3" t="s">
        <v>48</v>
      </c>
      <c r="AG969" s="7">
        <v>2023</v>
      </c>
      <c r="AH969" s="3" t="s">
        <v>86</v>
      </c>
      <c r="AI969" s="3" t="s">
        <v>48</v>
      </c>
      <c r="AJ969" s="3" t="s">
        <v>48</v>
      </c>
      <c r="AK969" s="3" t="s">
        <v>1185</v>
      </c>
      <c r="AL969" s="3" t="s">
        <v>59</v>
      </c>
      <c r="AM969" s="3" t="s">
        <v>60</v>
      </c>
      <c r="AN969" s="3" t="s">
        <v>61</v>
      </c>
      <c r="AO969" s="3" t="s">
        <v>62</v>
      </c>
      <c r="AP969" s="3" t="s">
        <v>69</v>
      </c>
      <c r="AQ969" s="3" t="s">
        <v>61</v>
      </c>
      <c r="AR969" s="3" t="s">
        <v>48</v>
      </c>
    </row>
    <row r="970" spans="1:44" ht="30" customHeight="1">
      <c r="A970" s="3" t="s">
        <v>44</v>
      </c>
      <c r="B970" s="3" t="s">
        <v>45</v>
      </c>
      <c r="C970" s="3" t="s">
        <v>46</v>
      </c>
      <c r="D970" s="3" t="s">
        <v>100</v>
      </c>
      <c r="E970" s="3" t="s">
        <v>48</v>
      </c>
      <c r="F970" s="3" t="s">
        <v>101</v>
      </c>
      <c r="G970" s="3" t="s">
        <v>1232</v>
      </c>
      <c r="H970" s="4">
        <f>IF(DATEDIF(L970,S970,"m")&gt;12,DATEDIF(L970,S970,"y"),(DATEDIF(L970,S970,"m")/12))</f>
        <v>80</v>
      </c>
      <c r="I970" s="7">
        <f>DATEDIF(L970,S970,"M")</f>
        <v>966</v>
      </c>
      <c r="J970" s="7">
        <f>DATEDIF(L970,S970,"D")</f>
        <v>29422</v>
      </c>
      <c r="K970" s="3" t="s">
        <v>51</v>
      </c>
      <c r="L970" s="8">
        <v>15536</v>
      </c>
      <c r="M970" s="3" t="s">
        <v>45</v>
      </c>
      <c r="N970" s="3" t="s">
        <v>101</v>
      </c>
      <c r="O970" s="3" t="s">
        <v>52</v>
      </c>
      <c r="P970" s="3" t="s">
        <v>295</v>
      </c>
      <c r="Q970" s="7">
        <v>0</v>
      </c>
      <c r="R970" s="8">
        <v>44963</v>
      </c>
      <c r="S970" s="8">
        <v>44958</v>
      </c>
      <c r="T970" s="3" t="s">
        <v>54</v>
      </c>
      <c r="U970" s="3" t="s">
        <v>55</v>
      </c>
      <c r="V970" s="9"/>
      <c r="W970" s="13">
        <v>45113</v>
      </c>
      <c r="X970" s="7">
        <v>7</v>
      </c>
      <c r="Y970" s="7">
        <v>5</v>
      </c>
      <c r="Z970" s="7">
        <v>2</v>
      </c>
      <c r="AA970" s="7">
        <f>INT((S970-DATE(YEAR(S970-WEEKDAY(S970-0)+4),1,4)+WEEKDAY(DATE(YEAR(S970-WEEKDAY(S970-0)+4),1,4))+6)/7)</f>
        <v>5</v>
      </c>
      <c r="AB970" s="3" t="s">
        <v>1233</v>
      </c>
      <c r="AC970" s="7">
        <v>21</v>
      </c>
      <c r="AD970" s="7">
        <v>0</v>
      </c>
      <c r="AE970" s="7">
        <v>0</v>
      </c>
      <c r="AF970" s="3" t="s">
        <v>48</v>
      </c>
      <c r="AG970" s="7">
        <v>2023</v>
      </c>
      <c r="AH970" s="3" t="s">
        <v>105</v>
      </c>
      <c r="AI970" s="3" t="s">
        <v>106</v>
      </c>
      <c r="AJ970" s="3" t="s">
        <v>100</v>
      </c>
      <c r="AK970" s="3" t="s">
        <v>162</v>
      </c>
      <c r="AL970" s="3" t="s">
        <v>59</v>
      </c>
      <c r="AM970" s="3" t="s">
        <v>99</v>
      </c>
      <c r="AN970" s="3" t="s">
        <v>61</v>
      </c>
      <c r="AO970" s="3" t="s">
        <v>62</v>
      </c>
      <c r="AP970" s="3" t="s">
        <v>69</v>
      </c>
      <c r="AQ970" s="3" t="s">
        <v>61</v>
      </c>
      <c r="AR970" s="3" t="s">
        <v>48</v>
      </c>
    </row>
    <row r="971" spans="1:44" ht="30" customHeight="1">
      <c r="A971" s="3" t="s">
        <v>44</v>
      </c>
      <c r="B971" s="3" t="s">
        <v>45</v>
      </c>
      <c r="C971" s="3" t="s">
        <v>46</v>
      </c>
      <c r="D971" s="3" t="s">
        <v>47</v>
      </c>
      <c r="E971" s="3" t="s">
        <v>48</v>
      </c>
      <c r="F971" s="3" t="s">
        <v>1226</v>
      </c>
      <c r="G971" s="3" t="s">
        <v>1236</v>
      </c>
      <c r="H971" s="4">
        <f>IF(DATEDIF(L971,S971,"m")&gt;12,DATEDIF(L971,S971,"y"),(DATEDIF(L971,S971,"m")/12))</f>
        <v>49</v>
      </c>
      <c r="I971" s="7">
        <f>DATEDIF(L971,S971,"M")</f>
        <v>598</v>
      </c>
      <c r="J971" s="7">
        <f>DATEDIF(L971,S971,"D")</f>
        <v>18222</v>
      </c>
      <c r="K971" s="3" t="s">
        <v>64</v>
      </c>
      <c r="L971" s="8">
        <v>26804</v>
      </c>
      <c r="M971" s="3" t="s">
        <v>45</v>
      </c>
      <c r="N971" s="3" t="s">
        <v>65</v>
      </c>
      <c r="O971" s="3" t="s">
        <v>52</v>
      </c>
      <c r="P971" s="3" t="s">
        <v>176</v>
      </c>
      <c r="Q971" s="7">
        <v>0</v>
      </c>
      <c r="R971" s="8">
        <v>45034</v>
      </c>
      <c r="S971" s="8">
        <v>45026</v>
      </c>
      <c r="T971" s="3" t="s">
        <v>54</v>
      </c>
      <c r="U971" s="3" t="s">
        <v>55</v>
      </c>
      <c r="V971" s="9"/>
      <c r="W971" s="13">
        <v>45113</v>
      </c>
      <c r="X971" s="7">
        <v>6</v>
      </c>
      <c r="Y971" s="7">
        <v>8</v>
      </c>
      <c r="Z971" s="7">
        <v>4</v>
      </c>
      <c r="AA971" s="7">
        <f>INT((S971-DATE(YEAR(S971-WEEKDAY(S971-0)+4),1,4)+WEEKDAY(DATE(YEAR(S971-WEEKDAY(S971-0)+4),1,4))+6)/7)</f>
        <v>15</v>
      </c>
      <c r="AB971" s="3" t="s">
        <v>1237</v>
      </c>
      <c r="AC971" s="7">
        <v>194</v>
      </c>
      <c r="AD971" s="7">
        <v>0</v>
      </c>
      <c r="AE971" s="7">
        <v>0</v>
      </c>
      <c r="AF971" s="3" t="s">
        <v>48</v>
      </c>
      <c r="AG971" s="7">
        <v>2023</v>
      </c>
      <c r="AH971" s="3" t="s">
        <v>1229</v>
      </c>
      <c r="AI971" s="3" t="s">
        <v>48</v>
      </c>
      <c r="AJ971" s="3" t="s">
        <v>48</v>
      </c>
      <c r="AK971" s="3" t="s">
        <v>162</v>
      </c>
      <c r="AL971" s="3" t="s">
        <v>59</v>
      </c>
      <c r="AM971" s="3" t="s">
        <v>60</v>
      </c>
      <c r="AN971" s="3" t="s">
        <v>61</v>
      </c>
      <c r="AO971" s="3" t="s">
        <v>62</v>
      </c>
      <c r="AP971" s="3" t="s">
        <v>61</v>
      </c>
      <c r="AQ971" s="3" t="s">
        <v>61</v>
      </c>
      <c r="AR971" s="3" t="s">
        <v>48</v>
      </c>
    </row>
    <row r="972" spans="1:44" ht="30" customHeight="1">
      <c r="A972" s="3" t="s">
        <v>44</v>
      </c>
      <c r="B972" s="3" t="s">
        <v>45</v>
      </c>
      <c r="C972" s="3" t="s">
        <v>46</v>
      </c>
      <c r="D972" s="3" t="s">
        <v>100</v>
      </c>
      <c r="E972" s="3" t="s">
        <v>48</v>
      </c>
      <c r="F972" s="3" t="s">
        <v>48</v>
      </c>
      <c r="G972" s="3" t="s">
        <v>1238</v>
      </c>
      <c r="H972" s="4">
        <f>IF(DATEDIF(L972,S972,"m")&gt;12,DATEDIF(L972,S972,"y"),(DATEDIF(L972,S972,"m")/12))</f>
        <v>34</v>
      </c>
      <c r="I972" s="7">
        <f>DATEDIF(L972,S972,"M")</f>
        <v>411</v>
      </c>
      <c r="J972" s="7">
        <f>DATEDIF(L972,S972,"D")</f>
        <v>12533</v>
      </c>
      <c r="K972" s="3" t="s">
        <v>64</v>
      </c>
      <c r="L972" s="8">
        <v>32453</v>
      </c>
      <c r="M972" s="3" t="s">
        <v>45</v>
      </c>
      <c r="N972" s="3" t="s">
        <v>101</v>
      </c>
      <c r="O972" s="3" t="s">
        <v>52</v>
      </c>
      <c r="P972" s="3" t="s">
        <v>169</v>
      </c>
      <c r="Q972" s="7">
        <v>1</v>
      </c>
      <c r="R972" s="8">
        <v>44988</v>
      </c>
      <c r="S972" s="8">
        <v>44986</v>
      </c>
      <c r="T972" s="3" t="s">
        <v>54</v>
      </c>
      <c r="U972" s="3" t="s">
        <v>55</v>
      </c>
      <c r="V972" s="9"/>
      <c r="W972" s="13">
        <v>45113</v>
      </c>
      <c r="X972" s="7">
        <v>11</v>
      </c>
      <c r="Y972" s="7">
        <v>2</v>
      </c>
      <c r="Z972" s="7">
        <v>3</v>
      </c>
      <c r="AA972" s="7">
        <f>INT((S972-DATE(YEAR(S972-WEEKDAY(S972-0)+4),1,4)+WEEKDAY(DATE(YEAR(S972-WEEKDAY(S972-0)+4),1,4))+6)/7)</f>
        <v>9</v>
      </c>
      <c r="AB972" s="3" t="s">
        <v>1239</v>
      </c>
      <c r="AC972" s="7">
        <v>116</v>
      </c>
      <c r="AD972" s="7">
        <v>0</v>
      </c>
      <c r="AE972" s="7">
        <v>0</v>
      </c>
      <c r="AF972" s="3" t="s">
        <v>48</v>
      </c>
      <c r="AG972" s="7">
        <v>2023</v>
      </c>
      <c r="AH972" s="3" t="s">
        <v>223</v>
      </c>
      <c r="AI972" s="3" t="s">
        <v>106</v>
      </c>
      <c r="AJ972" s="3" t="s">
        <v>100</v>
      </c>
      <c r="AK972" s="3" t="s">
        <v>282</v>
      </c>
      <c r="AL972" s="3" t="s">
        <v>59</v>
      </c>
      <c r="AM972" s="3" t="s">
        <v>99</v>
      </c>
      <c r="AN972" s="3" t="s">
        <v>61</v>
      </c>
      <c r="AO972" s="3" t="s">
        <v>62</v>
      </c>
      <c r="AP972" s="3" t="s">
        <v>69</v>
      </c>
      <c r="AQ972" s="3" t="s">
        <v>61</v>
      </c>
      <c r="AR972" s="3" t="s">
        <v>48</v>
      </c>
    </row>
    <row r="973" spans="1:44" ht="30" customHeight="1">
      <c r="A973" s="3" t="s">
        <v>44</v>
      </c>
      <c r="B973" s="3" t="s">
        <v>45</v>
      </c>
      <c r="C973" s="3" t="s">
        <v>46</v>
      </c>
      <c r="D973" s="3" t="s">
        <v>47</v>
      </c>
      <c r="E973" s="3" t="s">
        <v>48</v>
      </c>
      <c r="F973" s="3" t="s">
        <v>49</v>
      </c>
      <c r="G973" s="3" t="s">
        <v>1240</v>
      </c>
      <c r="H973" s="4">
        <f>IF(DATEDIF(L973,S973,"m")&gt;12,DATEDIF(L973,S973,"y"),(DATEDIF(L973,S973,"m")/12))</f>
        <v>14</v>
      </c>
      <c r="I973" s="7">
        <f>DATEDIF(L973,S973,"M")</f>
        <v>174</v>
      </c>
      <c r="J973" s="7">
        <f>DATEDIF(L973,S973,"D")</f>
        <v>5322</v>
      </c>
      <c r="K973" s="3" t="s">
        <v>64</v>
      </c>
      <c r="L973" s="8">
        <v>39662</v>
      </c>
      <c r="M973" s="3" t="s">
        <v>45</v>
      </c>
      <c r="N973" s="3" t="s">
        <v>49</v>
      </c>
      <c r="O973" s="3" t="s">
        <v>52</v>
      </c>
      <c r="P973" s="3" t="s">
        <v>255</v>
      </c>
      <c r="Q973" s="7">
        <v>0</v>
      </c>
      <c r="R973" s="8">
        <v>44986</v>
      </c>
      <c r="S973" s="8">
        <v>44984</v>
      </c>
      <c r="T973" s="3" t="s">
        <v>54</v>
      </c>
      <c r="U973" s="3" t="s">
        <v>55</v>
      </c>
      <c r="V973" s="9"/>
      <c r="W973" s="13">
        <v>45113</v>
      </c>
      <c r="X973" s="7">
        <v>2</v>
      </c>
      <c r="Y973" s="7">
        <v>2</v>
      </c>
      <c r="Z973" s="7">
        <v>2</v>
      </c>
      <c r="AA973" s="7">
        <f>INT((S973-DATE(YEAR(S973-WEEKDAY(S973-0)+4),1,4)+WEEKDAY(DATE(YEAR(S973-WEEKDAY(S973-0)+4),1,4))+6)/7)</f>
        <v>9</v>
      </c>
      <c r="AB973" s="3" t="s">
        <v>1241</v>
      </c>
      <c r="AC973" s="7">
        <v>78</v>
      </c>
      <c r="AD973" s="7">
        <v>0</v>
      </c>
      <c r="AE973" s="7">
        <v>0</v>
      </c>
      <c r="AF973" s="3" t="s">
        <v>48</v>
      </c>
      <c r="AG973" s="7">
        <v>2023</v>
      </c>
      <c r="AH973" s="3" t="s">
        <v>57</v>
      </c>
      <c r="AI973" s="3" t="s">
        <v>48</v>
      </c>
      <c r="AJ973" s="3" t="s">
        <v>48</v>
      </c>
      <c r="AK973" s="3" t="s">
        <v>1172</v>
      </c>
      <c r="AL973" s="3" t="s">
        <v>59</v>
      </c>
      <c r="AM973" s="3" t="s">
        <v>60</v>
      </c>
      <c r="AN973" s="3" t="s">
        <v>61</v>
      </c>
      <c r="AO973" s="3" t="s">
        <v>62</v>
      </c>
      <c r="AP973" s="3" t="s">
        <v>69</v>
      </c>
      <c r="AQ973" s="3" t="s">
        <v>61</v>
      </c>
      <c r="AR973" s="3" t="s">
        <v>48</v>
      </c>
    </row>
    <row r="974" spans="1:44" ht="30" customHeight="1">
      <c r="A974" s="3" t="s">
        <v>44</v>
      </c>
      <c r="B974" s="3" t="s">
        <v>45</v>
      </c>
      <c r="C974" s="3" t="s">
        <v>46</v>
      </c>
      <c r="D974" s="3" t="s">
        <v>108</v>
      </c>
      <c r="E974" s="3" t="s">
        <v>48</v>
      </c>
      <c r="F974" s="3" t="s">
        <v>108</v>
      </c>
      <c r="G974" s="3" t="s">
        <v>654</v>
      </c>
      <c r="H974" s="5">
        <f>IF(DATEDIF(L974,S974,"m")&gt;12,DATEDIF(L974,S974,"y"),(DATEDIF(L974,S974,"m")/12))</f>
        <v>8.3333333333333329E-2</v>
      </c>
      <c r="I974" s="7">
        <f>DATEDIF(L974,S974,"M")</f>
        <v>1</v>
      </c>
      <c r="J974" s="7">
        <f>DATEDIF(L974,S974,"D")</f>
        <v>61</v>
      </c>
      <c r="K974" s="3" t="s">
        <v>51</v>
      </c>
      <c r="L974" s="8">
        <v>44918</v>
      </c>
      <c r="M974" s="3" t="s">
        <v>45</v>
      </c>
      <c r="N974" s="3" t="s">
        <v>73</v>
      </c>
      <c r="O974" s="3" t="s">
        <v>52</v>
      </c>
      <c r="P974" s="3" t="s">
        <v>655</v>
      </c>
      <c r="Q974" s="7">
        <v>0</v>
      </c>
      <c r="R974" s="8">
        <v>44984</v>
      </c>
      <c r="S974" s="8">
        <v>44979</v>
      </c>
      <c r="T974" s="3" t="s">
        <v>54</v>
      </c>
      <c r="U974" s="3" t="s">
        <v>55</v>
      </c>
      <c r="V974" s="9"/>
      <c r="W974" s="10">
        <v>44991</v>
      </c>
      <c r="X974" s="7">
        <v>7</v>
      </c>
      <c r="Y974" s="7">
        <v>5</v>
      </c>
      <c r="Z974" s="7">
        <v>2</v>
      </c>
      <c r="AA974" s="7">
        <f>INT((S974-DATE(YEAR(S974-WEEKDAY(S974-0)+4),1,4)+WEEKDAY(DATE(YEAR(S974-WEEKDAY(S974-0)+4),1,4))+6)/7)</f>
        <v>8</v>
      </c>
      <c r="AB974" s="3" t="s">
        <v>656</v>
      </c>
      <c r="AC974" s="7">
        <v>309</v>
      </c>
      <c r="AD974" s="7">
        <v>0</v>
      </c>
      <c r="AE974" s="7">
        <v>0</v>
      </c>
      <c r="AF974" s="3" t="s">
        <v>48</v>
      </c>
      <c r="AG974" s="7">
        <v>2023</v>
      </c>
      <c r="AH974" s="3" t="s">
        <v>112</v>
      </c>
      <c r="AI974" s="3" t="s">
        <v>113</v>
      </c>
      <c r="AJ974" s="3" t="s">
        <v>48</v>
      </c>
      <c r="AK974" s="26" t="s">
        <v>235</v>
      </c>
      <c r="AL974" s="3" t="s">
        <v>59</v>
      </c>
      <c r="AM974" s="3" t="s">
        <v>115</v>
      </c>
      <c r="AN974" s="3" t="s">
        <v>61</v>
      </c>
      <c r="AO974" s="3" t="s">
        <v>62</v>
      </c>
      <c r="AP974" s="3" t="s">
        <v>69</v>
      </c>
      <c r="AQ974" s="3" t="s">
        <v>61</v>
      </c>
      <c r="AR974" s="3" t="s">
        <v>48</v>
      </c>
    </row>
    <row r="975" spans="1:44" ht="30" customHeight="1">
      <c r="A975" s="3" t="s">
        <v>44</v>
      </c>
      <c r="B975" s="3" t="s">
        <v>45</v>
      </c>
      <c r="C975" s="3" t="s">
        <v>46</v>
      </c>
      <c r="D975" s="3" t="s">
        <v>108</v>
      </c>
      <c r="E975" s="3" t="s">
        <v>48</v>
      </c>
      <c r="F975" s="3" t="s">
        <v>108</v>
      </c>
      <c r="G975" s="3" t="s">
        <v>2054</v>
      </c>
      <c r="H975" s="4">
        <f>IF(DATEDIF(L975,S975,"m")&gt;12,DATEDIF(L975,S975,"y"),(DATEDIF(L975,S975,"m")/12))</f>
        <v>3</v>
      </c>
      <c r="I975" s="7">
        <f>DATEDIF(L975,S975,"M")</f>
        <v>44</v>
      </c>
      <c r="J975" s="7">
        <f>DATEDIF(L975,S975,"D")</f>
        <v>1345</v>
      </c>
      <c r="K975" s="3" t="s">
        <v>51</v>
      </c>
      <c r="L975" s="8">
        <v>43632</v>
      </c>
      <c r="M975" s="3" t="s">
        <v>45</v>
      </c>
      <c r="N975" s="3" t="s">
        <v>73</v>
      </c>
      <c r="O975" s="3" t="s">
        <v>52</v>
      </c>
      <c r="P975" s="3" t="s">
        <v>1696</v>
      </c>
      <c r="Q975" s="7">
        <v>0</v>
      </c>
      <c r="R975" s="8">
        <v>44987</v>
      </c>
      <c r="S975" s="8">
        <v>44977</v>
      </c>
      <c r="T975" s="3" t="s">
        <v>54</v>
      </c>
      <c r="U975" s="3" t="s">
        <v>55</v>
      </c>
      <c r="V975" s="9"/>
      <c r="W975" s="10">
        <v>44991</v>
      </c>
      <c r="X975" s="7">
        <v>4</v>
      </c>
      <c r="Y975" s="7">
        <v>10</v>
      </c>
      <c r="Z975" s="7">
        <v>2</v>
      </c>
      <c r="AA975" s="7">
        <f>INT((S975-DATE(YEAR(S975-WEEKDAY(S975-0)+4),1,4)+WEEKDAY(DATE(YEAR(S975-WEEKDAY(S975-0)+4),1,4))+6)/7)</f>
        <v>8</v>
      </c>
      <c r="AB975" s="3" t="s">
        <v>2055</v>
      </c>
      <c r="AC975" s="7">
        <v>320</v>
      </c>
      <c r="AD975" s="7">
        <v>0</v>
      </c>
      <c r="AE975" s="7">
        <v>0</v>
      </c>
      <c r="AF975" s="3" t="s">
        <v>48</v>
      </c>
      <c r="AG975" s="7">
        <v>2023</v>
      </c>
      <c r="AH975" s="3" t="s">
        <v>112</v>
      </c>
      <c r="AI975" s="3" t="s">
        <v>113</v>
      </c>
      <c r="AJ975" s="3" t="s">
        <v>48</v>
      </c>
      <c r="AK975" s="3" t="s">
        <v>235</v>
      </c>
      <c r="AL975" s="3" t="s">
        <v>59</v>
      </c>
      <c r="AM975" s="3" t="s">
        <v>115</v>
      </c>
      <c r="AN975" s="3" t="s">
        <v>61</v>
      </c>
      <c r="AO975" s="3" t="s">
        <v>62</v>
      </c>
      <c r="AP975" s="3" t="s">
        <v>69</v>
      </c>
      <c r="AQ975" s="3" t="s">
        <v>61</v>
      </c>
      <c r="AR975" s="3" t="s">
        <v>48</v>
      </c>
    </row>
    <row r="976" spans="1:44" ht="30" customHeight="1">
      <c r="A976" s="3" t="s">
        <v>44</v>
      </c>
      <c r="B976" s="3" t="s">
        <v>45</v>
      </c>
      <c r="C976" s="3" t="s">
        <v>46</v>
      </c>
      <c r="D976" s="3" t="s">
        <v>108</v>
      </c>
      <c r="E976" s="3" t="s">
        <v>48</v>
      </c>
      <c r="F976" s="3" t="s">
        <v>108</v>
      </c>
      <c r="G976" s="3" t="s">
        <v>654</v>
      </c>
      <c r="H976" s="4">
        <f>IF(DATEDIF(L976,S976,"m")&gt;12,DATEDIF(L976,S976,"y"),(DATEDIF(L976,S976,"m")/12))</f>
        <v>14</v>
      </c>
      <c r="I976" s="7">
        <f>DATEDIF(L976,S976,"M")</f>
        <v>168</v>
      </c>
      <c r="J976" s="7">
        <f>DATEDIF(L976,S976,"D")</f>
        <v>5138</v>
      </c>
      <c r="K976" s="3" t="s">
        <v>51</v>
      </c>
      <c r="L976" s="8">
        <v>39840</v>
      </c>
      <c r="M976" s="3" t="s">
        <v>45</v>
      </c>
      <c r="N976" s="3" t="s">
        <v>73</v>
      </c>
      <c r="O976" s="3" t="s">
        <v>52</v>
      </c>
      <c r="P976" s="3" t="s">
        <v>655</v>
      </c>
      <c r="Q976" s="7">
        <v>0</v>
      </c>
      <c r="R976" s="8">
        <v>44980</v>
      </c>
      <c r="S976" s="8">
        <v>44978</v>
      </c>
      <c r="T976" s="3" t="s">
        <v>54</v>
      </c>
      <c r="U976" s="3" t="s">
        <v>55</v>
      </c>
      <c r="V976" s="9"/>
      <c r="W976" s="10">
        <v>44991</v>
      </c>
      <c r="X976" s="7">
        <v>11</v>
      </c>
      <c r="Y976" s="7">
        <v>2</v>
      </c>
      <c r="Z976" s="7">
        <v>2</v>
      </c>
      <c r="AA976" s="7">
        <f>INT((S976-DATE(YEAR(S976-WEEKDAY(S976-0)+4),1,4)+WEEKDAY(DATE(YEAR(S976-WEEKDAY(S976-0)+4),1,4))+6)/7)</f>
        <v>8</v>
      </c>
      <c r="AB976" s="3" t="s">
        <v>2201</v>
      </c>
      <c r="AC976" s="7">
        <v>308</v>
      </c>
      <c r="AD976" s="7">
        <v>0</v>
      </c>
      <c r="AE976" s="7">
        <v>0</v>
      </c>
      <c r="AF976" s="3" t="s">
        <v>48</v>
      </c>
      <c r="AG976" s="7">
        <v>2023</v>
      </c>
      <c r="AH976" s="3" t="s">
        <v>112</v>
      </c>
      <c r="AI976" s="3" t="s">
        <v>113</v>
      </c>
      <c r="AJ976" s="3" t="s">
        <v>48</v>
      </c>
      <c r="AK976" s="3" t="s">
        <v>235</v>
      </c>
      <c r="AL976" s="3" t="s">
        <v>59</v>
      </c>
      <c r="AM976" s="3" t="s">
        <v>115</v>
      </c>
      <c r="AN976" s="3" t="s">
        <v>61</v>
      </c>
      <c r="AO976" s="3" t="s">
        <v>62</v>
      </c>
      <c r="AP976" s="3" t="s">
        <v>69</v>
      </c>
      <c r="AQ976" s="3" t="s">
        <v>61</v>
      </c>
      <c r="AR976" s="3" t="s">
        <v>48</v>
      </c>
    </row>
    <row r="977" spans="1:44" ht="30" customHeight="1">
      <c r="A977" s="3" t="s">
        <v>44</v>
      </c>
      <c r="B977" s="3" t="s">
        <v>45</v>
      </c>
      <c r="C977" s="3" t="s">
        <v>46</v>
      </c>
      <c r="D977" s="3" t="s">
        <v>70</v>
      </c>
      <c r="E977" s="3" t="s">
        <v>48</v>
      </c>
      <c r="F977" s="3" t="s">
        <v>71</v>
      </c>
      <c r="G977" s="3" t="s">
        <v>1265</v>
      </c>
      <c r="H977" s="4">
        <f>IF(DATEDIF(L977,S977,"m")&gt;12,DATEDIF(L977,S977,"y"),(DATEDIF(L977,S977,"m")/12))</f>
        <v>4</v>
      </c>
      <c r="I977" s="7">
        <f>DATEDIF(L977,S977,"M")</f>
        <v>51</v>
      </c>
      <c r="J977" s="7">
        <f>DATEDIF(L977,S977,"D")</f>
        <v>1568</v>
      </c>
      <c r="K977" s="3" t="s">
        <v>64</v>
      </c>
      <c r="L977" s="8">
        <v>43359</v>
      </c>
      <c r="M977" s="3" t="s">
        <v>45</v>
      </c>
      <c r="N977" s="3" t="s">
        <v>329</v>
      </c>
      <c r="O977" s="3" t="s">
        <v>52</v>
      </c>
      <c r="P977" s="3" t="s">
        <v>74</v>
      </c>
      <c r="Q977" s="7">
        <v>1</v>
      </c>
      <c r="R977" s="8">
        <v>44928</v>
      </c>
      <c r="S977" s="8">
        <v>44927</v>
      </c>
      <c r="T977" s="3" t="s">
        <v>54</v>
      </c>
      <c r="U977" s="3" t="s">
        <v>55</v>
      </c>
      <c r="V977" s="9"/>
      <c r="W977" s="13">
        <v>45113</v>
      </c>
      <c r="X977" s="7">
        <v>4</v>
      </c>
      <c r="Y977" s="7">
        <v>1</v>
      </c>
      <c r="Z977" s="7">
        <v>1</v>
      </c>
      <c r="AA977" s="7">
        <f>INT((S977-DATE(YEAR(S977-WEEKDAY(S977-0)+4),1,4)+WEEKDAY(DATE(YEAR(S977-WEEKDAY(S977-0)+4),1,4))+6)/7)</f>
        <v>1</v>
      </c>
      <c r="AB977" s="3" t="s">
        <v>1266</v>
      </c>
      <c r="AC977" s="7">
        <v>592</v>
      </c>
      <c r="AD977" s="7">
        <v>0</v>
      </c>
      <c r="AE977" s="7">
        <v>1</v>
      </c>
      <c r="AF977" s="3" t="s">
        <v>48</v>
      </c>
      <c r="AG977" s="7">
        <v>2023</v>
      </c>
      <c r="AH977" s="3" t="s">
        <v>76</v>
      </c>
      <c r="AI977" s="3" t="s">
        <v>166</v>
      </c>
      <c r="AJ977" s="3" t="s">
        <v>78</v>
      </c>
      <c r="AK977" s="3" t="s">
        <v>162</v>
      </c>
      <c r="AL977" s="3" t="s">
        <v>59</v>
      </c>
      <c r="AM977" s="3" t="s">
        <v>60</v>
      </c>
      <c r="AN977" s="3" t="s">
        <v>61</v>
      </c>
      <c r="AO977" s="3" t="s">
        <v>62</v>
      </c>
      <c r="AP977" s="3" t="s">
        <v>69</v>
      </c>
      <c r="AQ977" s="3" t="s">
        <v>61</v>
      </c>
      <c r="AR977" s="3" t="s">
        <v>48</v>
      </c>
    </row>
    <row r="978" spans="1:44" ht="30" customHeight="1">
      <c r="A978" s="3" t="s">
        <v>44</v>
      </c>
      <c r="B978" s="3" t="s">
        <v>45</v>
      </c>
      <c r="C978" s="3" t="s">
        <v>46</v>
      </c>
      <c r="D978" s="3" t="s">
        <v>70</v>
      </c>
      <c r="E978" s="3" t="s">
        <v>48</v>
      </c>
      <c r="F978" s="3" t="s">
        <v>71</v>
      </c>
      <c r="G978" s="3" t="s">
        <v>1267</v>
      </c>
      <c r="H978" s="5">
        <f>IF(DATEDIF(L978,S978,"m")&gt;12,DATEDIF(L978,S978,"y"),(DATEDIF(L978,S978,"m")/12))</f>
        <v>0.66666666666666663</v>
      </c>
      <c r="I978" s="7">
        <f>DATEDIF(L978,S978,"M")</f>
        <v>8</v>
      </c>
      <c r="J978" s="7">
        <f>DATEDIF(L978,S978,"D")</f>
        <v>246</v>
      </c>
      <c r="K978" s="3" t="s">
        <v>64</v>
      </c>
      <c r="L978" s="8">
        <v>44692</v>
      </c>
      <c r="M978" s="3" t="s">
        <v>45</v>
      </c>
      <c r="N978" s="3" t="s">
        <v>164</v>
      </c>
      <c r="O978" s="3" t="s">
        <v>52</v>
      </c>
      <c r="P978" s="3" t="s">
        <v>84</v>
      </c>
      <c r="Q978" s="7">
        <v>1</v>
      </c>
      <c r="R978" s="8">
        <v>44939</v>
      </c>
      <c r="S978" s="8">
        <v>44938</v>
      </c>
      <c r="T978" s="3" t="s">
        <v>54</v>
      </c>
      <c r="U978" s="3" t="s">
        <v>55</v>
      </c>
      <c r="V978" s="9"/>
      <c r="W978" s="13">
        <v>45113</v>
      </c>
      <c r="X978" s="7">
        <v>0</v>
      </c>
      <c r="Y978" s="7">
        <v>1</v>
      </c>
      <c r="Z978" s="7">
        <v>1</v>
      </c>
      <c r="AA978" s="7">
        <f>INT((S978-DATE(YEAR(S978-WEEKDAY(S978-0)+4),1,4)+WEEKDAY(DATE(YEAR(S978-WEEKDAY(S978-0)+4),1,4))+6)/7)</f>
        <v>2</v>
      </c>
      <c r="AB978" s="3" t="s">
        <v>1268</v>
      </c>
      <c r="AC978" s="7">
        <v>610</v>
      </c>
      <c r="AD978" s="7">
        <v>0</v>
      </c>
      <c r="AE978" s="7">
        <v>1</v>
      </c>
      <c r="AF978" s="3" t="s">
        <v>48</v>
      </c>
      <c r="AG978" s="7">
        <v>2023</v>
      </c>
      <c r="AH978" s="3" t="s">
        <v>76</v>
      </c>
      <c r="AI978" s="3" t="s">
        <v>166</v>
      </c>
      <c r="AJ978" s="3" t="s">
        <v>78</v>
      </c>
      <c r="AK978" s="3" t="s">
        <v>282</v>
      </c>
      <c r="AL978" s="3" t="s">
        <v>59</v>
      </c>
      <c r="AM978" s="3" t="s">
        <v>60</v>
      </c>
      <c r="AN978" s="3" t="s">
        <v>61</v>
      </c>
      <c r="AO978" s="3" t="s">
        <v>62</v>
      </c>
      <c r="AP978" s="3" t="s">
        <v>69</v>
      </c>
      <c r="AQ978" s="3" t="s">
        <v>61</v>
      </c>
      <c r="AR978" s="3" t="s">
        <v>48</v>
      </c>
    </row>
    <row r="979" spans="1:44" ht="30" customHeight="1">
      <c r="A979" s="3" t="s">
        <v>44</v>
      </c>
      <c r="B979" s="3" t="s">
        <v>45</v>
      </c>
      <c r="C979" s="3" t="s">
        <v>46</v>
      </c>
      <c r="D979" s="3" t="s">
        <v>47</v>
      </c>
      <c r="E979" s="3" t="s">
        <v>48</v>
      </c>
      <c r="F979" s="3" t="s">
        <v>49</v>
      </c>
      <c r="G979" s="3" t="s">
        <v>2113</v>
      </c>
      <c r="H979" s="4">
        <f>IF(DATEDIF(L979,S979,"m")&gt;12,DATEDIF(L979,S979,"y"),(DATEDIF(L979,S979,"m")/12))</f>
        <v>11</v>
      </c>
      <c r="I979" s="7">
        <f>DATEDIF(L979,S979,"M")</f>
        <v>137</v>
      </c>
      <c r="J979" s="7">
        <f>DATEDIF(L979,S979,"D")</f>
        <v>4183</v>
      </c>
      <c r="K979" s="3" t="s">
        <v>51</v>
      </c>
      <c r="L979" s="8">
        <v>40805</v>
      </c>
      <c r="M979" s="3" t="s">
        <v>45</v>
      </c>
      <c r="N979" s="3" t="s">
        <v>73</v>
      </c>
      <c r="O979" s="3" t="s">
        <v>52</v>
      </c>
      <c r="P979" s="3" t="s">
        <v>2114</v>
      </c>
      <c r="Q979" s="7">
        <v>1</v>
      </c>
      <c r="R979" s="8">
        <v>44991</v>
      </c>
      <c r="S979" s="8">
        <v>44988</v>
      </c>
      <c r="T979" s="3" t="s">
        <v>54</v>
      </c>
      <c r="U979" s="3" t="s">
        <v>55</v>
      </c>
      <c r="V979" s="9"/>
      <c r="W979" s="10">
        <v>44995</v>
      </c>
      <c r="X979" s="7">
        <v>4</v>
      </c>
      <c r="Y979" s="7">
        <v>3</v>
      </c>
      <c r="Z979" s="7">
        <v>3</v>
      </c>
      <c r="AA979" s="7">
        <f>INT((S979-DATE(YEAR(S979-WEEKDAY(S979-0)+4),1,4)+WEEKDAY(DATE(YEAR(S979-WEEKDAY(S979-0)+4),1,4))+6)/7)</f>
        <v>9</v>
      </c>
      <c r="AB979" s="3" t="s">
        <v>2115</v>
      </c>
      <c r="AC979" s="7">
        <v>101</v>
      </c>
      <c r="AD979" s="7">
        <v>0</v>
      </c>
      <c r="AE979" s="7">
        <v>0</v>
      </c>
      <c r="AF979" s="3" t="s">
        <v>48</v>
      </c>
      <c r="AG979" s="7">
        <v>2023</v>
      </c>
      <c r="AH979" s="3" t="s">
        <v>57</v>
      </c>
      <c r="AI979" s="3" t="s">
        <v>48</v>
      </c>
      <c r="AJ979" s="3" t="s">
        <v>48</v>
      </c>
      <c r="AK979" s="3" t="s">
        <v>235</v>
      </c>
      <c r="AL979" s="3" t="s">
        <v>59</v>
      </c>
      <c r="AM979" s="3" t="s">
        <v>60</v>
      </c>
      <c r="AN979" s="3" t="s">
        <v>61</v>
      </c>
      <c r="AO979" s="3" t="s">
        <v>62</v>
      </c>
      <c r="AP979" s="3" t="s">
        <v>69</v>
      </c>
      <c r="AQ979" s="3" t="s">
        <v>61</v>
      </c>
      <c r="AR979" s="3" t="s">
        <v>48</v>
      </c>
    </row>
    <row r="980" spans="1:44" ht="30" customHeight="1">
      <c r="A980" s="3" t="s">
        <v>44</v>
      </c>
      <c r="B980" s="3" t="s">
        <v>45</v>
      </c>
      <c r="C980" s="3" t="s">
        <v>46</v>
      </c>
      <c r="D980" s="3" t="s">
        <v>70</v>
      </c>
      <c r="E980" s="3" t="s">
        <v>48</v>
      </c>
      <c r="F980" s="3" t="s">
        <v>71</v>
      </c>
      <c r="G980" s="3" t="s">
        <v>1220</v>
      </c>
      <c r="H980" s="4">
        <f>IF(DATEDIF(L980,S980,"m")&gt;12,DATEDIF(L980,S980,"y"),(DATEDIF(L980,S980,"m")/12))</f>
        <v>73</v>
      </c>
      <c r="I980" s="7">
        <f>DATEDIF(L980,S980,"M")</f>
        <v>880</v>
      </c>
      <c r="J980" s="7">
        <f>DATEDIF(L980,S980,"D")</f>
        <v>26810</v>
      </c>
      <c r="K980" s="3" t="s">
        <v>51</v>
      </c>
      <c r="L980" s="8">
        <v>18158</v>
      </c>
      <c r="M980" s="3" t="s">
        <v>45</v>
      </c>
      <c r="N980" s="3" t="s">
        <v>329</v>
      </c>
      <c r="O980" s="3" t="s">
        <v>52</v>
      </c>
      <c r="P980" s="3" t="s">
        <v>169</v>
      </c>
      <c r="Q980" s="7">
        <v>1</v>
      </c>
      <c r="R980" s="8">
        <v>44969</v>
      </c>
      <c r="S980" s="8">
        <v>44968</v>
      </c>
      <c r="T980" s="3" t="s">
        <v>54</v>
      </c>
      <c r="U980" s="3" t="s">
        <v>55</v>
      </c>
      <c r="V980" s="9"/>
      <c r="W980" s="13">
        <v>45114</v>
      </c>
      <c r="X980" s="7">
        <v>2</v>
      </c>
      <c r="Y980" s="7">
        <v>1</v>
      </c>
      <c r="Z980" s="7">
        <v>2</v>
      </c>
      <c r="AA980" s="7">
        <f>INT((S980-DATE(YEAR(S980-WEEKDAY(S980-0)+4),1,4)+WEEKDAY(DATE(YEAR(S980-WEEKDAY(S980-0)+4),1,4))+6)/7)</f>
        <v>6</v>
      </c>
      <c r="AB980" s="3" t="s">
        <v>1221</v>
      </c>
      <c r="AC980" s="7">
        <v>668</v>
      </c>
      <c r="AD980" s="7">
        <v>0</v>
      </c>
      <c r="AE980" s="7">
        <v>1</v>
      </c>
      <c r="AF980" s="3" t="s">
        <v>48</v>
      </c>
      <c r="AG980" s="7">
        <v>2023</v>
      </c>
      <c r="AH980" s="3" t="s">
        <v>76</v>
      </c>
      <c r="AI980" s="3" t="s">
        <v>166</v>
      </c>
      <c r="AJ980" s="3" t="s">
        <v>78</v>
      </c>
      <c r="AK980" s="3" t="s">
        <v>1222</v>
      </c>
      <c r="AL980" s="3" t="s">
        <v>59</v>
      </c>
      <c r="AM980" s="3" t="s">
        <v>60</v>
      </c>
      <c r="AN980" s="3" t="s">
        <v>61</v>
      </c>
      <c r="AO980" s="3" t="s">
        <v>62</v>
      </c>
      <c r="AP980" s="3" t="s">
        <v>69</v>
      </c>
      <c r="AQ980" s="3" t="s">
        <v>61</v>
      </c>
      <c r="AR980" s="3" t="s">
        <v>48</v>
      </c>
    </row>
    <row r="981" spans="1:44" ht="30" customHeight="1">
      <c r="A981" s="3" t="s">
        <v>44</v>
      </c>
      <c r="B981" s="3" t="s">
        <v>45</v>
      </c>
      <c r="C981" s="3" t="s">
        <v>46</v>
      </c>
      <c r="D981" s="3" t="s">
        <v>130</v>
      </c>
      <c r="E981" s="3" t="s">
        <v>48</v>
      </c>
      <c r="F981" s="3" t="s">
        <v>130</v>
      </c>
      <c r="G981" s="3" t="s">
        <v>1223</v>
      </c>
      <c r="H981" s="4">
        <f>IF(DATEDIF(L981,S981,"m")&gt;12,DATEDIF(L981,S981,"y"),(DATEDIF(L981,S981,"m")/12))</f>
        <v>8</v>
      </c>
      <c r="I981" s="7">
        <f>DATEDIF(L981,S981,"M")</f>
        <v>102</v>
      </c>
      <c r="J981" s="7">
        <f>DATEDIF(L981,S981,"D")</f>
        <v>3126</v>
      </c>
      <c r="K981" s="3" t="s">
        <v>64</v>
      </c>
      <c r="L981" s="8">
        <v>41859</v>
      </c>
      <c r="M981" s="3" t="s">
        <v>45</v>
      </c>
      <c r="N981" s="3" t="s">
        <v>83</v>
      </c>
      <c r="O981" s="3" t="s">
        <v>52</v>
      </c>
      <c r="P981" s="3" t="s">
        <v>103</v>
      </c>
      <c r="Q981" s="7">
        <v>0</v>
      </c>
      <c r="R981" s="8">
        <v>44987</v>
      </c>
      <c r="S981" s="8">
        <v>44985</v>
      </c>
      <c r="T981" s="3" t="s">
        <v>54</v>
      </c>
      <c r="U981" s="3" t="s">
        <v>55</v>
      </c>
      <c r="V981" s="9"/>
      <c r="W981" s="13">
        <v>45114</v>
      </c>
      <c r="X981" s="7">
        <v>1</v>
      </c>
      <c r="Y981" s="7">
        <v>2</v>
      </c>
      <c r="Z981" s="7">
        <v>2</v>
      </c>
      <c r="AA981" s="7">
        <f>INT((S981-DATE(YEAR(S981-WEEKDAY(S981-0)+4),1,4)+WEEKDAY(DATE(YEAR(S981-WEEKDAY(S981-0)+4),1,4))+6)/7)</f>
        <v>9</v>
      </c>
      <c r="AB981" s="3" t="s">
        <v>1224</v>
      </c>
      <c r="AC981" s="7">
        <v>103</v>
      </c>
      <c r="AD981" s="7">
        <v>0</v>
      </c>
      <c r="AE981" s="7">
        <v>0</v>
      </c>
      <c r="AF981" s="3" t="s">
        <v>48</v>
      </c>
      <c r="AG981" s="7">
        <v>2023</v>
      </c>
      <c r="AH981" s="3" t="s">
        <v>139</v>
      </c>
      <c r="AI981" s="3" t="s">
        <v>113</v>
      </c>
      <c r="AJ981" s="3" t="s">
        <v>48</v>
      </c>
      <c r="AK981" s="3" t="s">
        <v>1225</v>
      </c>
      <c r="AL981" s="3" t="s">
        <v>59</v>
      </c>
      <c r="AM981" s="3" t="s">
        <v>60</v>
      </c>
      <c r="AN981" s="3" t="s">
        <v>61</v>
      </c>
      <c r="AO981" s="3" t="s">
        <v>62</v>
      </c>
      <c r="AP981" s="3" t="s">
        <v>69</v>
      </c>
      <c r="AQ981" s="3" t="s">
        <v>61</v>
      </c>
      <c r="AR981" s="3" t="s">
        <v>48</v>
      </c>
    </row>
    <row r="982" spans="1:44" ht="30" customHeight="1">
      <c r="A982" s="3" t="s">
        <v>44</v>
      </c>
      <c r="B982" s="3" t="s">
        <v>45</v>
      </c>
      <c r="C982" s="3" t="s">
        <v>46</v>
      </c>
      <c r="D982" s="3" t="s">
        <v>108</v>
      </c>
      <c r="E982" s="3" t="s">
        <v>48</v>
      </c>
      <c r="F982" s="3" t="s">
        <v>108</v>
      </c>
      <c r="G982" s="3" t="s">
        <v>681</v>
      </c>
      <c r="H982" s="4">
        <f>IF(DATEDIF(L982,S982,"m")&gt;12,DATEDIF(L982,S982,"y"),(DATEDIF(L982,S982,"m")/12))</f>
        <v>1</v>
      </c>
      <c r="I982" s="7">
        <f>DATEDIF(L982,S982,"M")</f>
        <v>15</v>
      </c>
      <c r="J982" s="7">
        <f>DATEDIF(L982,S982,"D")</f>
        <v>458</v>
      </c>
      <c r="K982" s="3" t="s">
        <v>51</v>
      </c>
      <c r="L982" s="8">
        <v>44531</v>
      </c>
      <c r="M982" s="3" t="s">
        <v>45</v>
      </c>
      <c r="N982" s="3" t="s">
        <v>73</v>
      </c>
      <c r="O982" s="3" t="s">
        <v>52</v>
      </c>
      <c r="P982" s="3" t="s">
        <v>682</v>
      </c>
      <c r="Q982" s="7">
        <v>0</v>
      </c>
      <c r="R982" s="8">
        <v>44992</v>
      </c>
      <c r="S982" s="8">
        <v>44989</v>
      </c>
      <c r="T982" s="3" t="s">
        <v>54</v>
      </c>
      <c r="U982" s="3" t="s">
        <v>55</v>
      </c>
      <c r="V982" s="9"/>
      <c r="W982" s="10">
        <v>44998</v>
      </c>
      <c r="X982" s="7">
        <v>6</v>
      </c>
      <c r="Y982" s="7">
        <v>3</v>
      </c>
      <c r="Z982" s="7">
        <v>3</v>
      </c>
      <c r="AA982" s="7">
        <f>INT((S982-DATE(YEAR(S982-WEEKDAY(S982-0)+4),1,4)+WEEKDAY(DATE(YEAR(S982-WEEKDAY(S982-0)+4),1,4))+6)/7)</f>
        <v>9</v>
      </c>
      <c r="AB982" s="3" t="s">
        <v>683</v>
      </c>
      <c r="AC982" s="7">
        <v>343</v>
      </c>
      <c r="AD982" s="7">
        <v>0</v>
      </c>
      <c r="AE982" s="7">
        <v>0</v>
      </c>
      <c r="AF982" s="3" t="s">
        <v>48</v>
      </c>
      <c r="AG982" s="7">
        <v>2023</v>
      </c>
      <c r="AH982" s="3" t="s">
        <v>112</v>
      </c>
      <c r="AI982" s="3" t="s">
        <v>113</v>
      </c>
      <c r="AJ982" s="3" t="s">
        <v>48</v>
      </c>
      <c r="AK982" s="3" t="s">
        <v>235</v>
      </c>
      <c r="AL982" s="3" t="s">
        <v>59</v>
      </c>
      <c r="AM982" s="3" t="s">
        <v>115</v>
      </c>
      <c r="AN982" s="3" t="s">
        <v>61</v>
      </c>
      <c r="AO982" s="3" t="s">
        <v>62</v>
      </c>
      <c r="AP982" s="3" t="s">
        <v>69</v>
      </c>
      <c r="AQ982" s="3" t="s">
        <v>61</v>
      </c>
      <c r="AR982" s="3" t="s">
        <v>48</v>
      </c>
    </row>
    <row r="983" spans="1:44" ht="30" customHeight="1">
      <c r="A983" s="3" t="s">
        <v>44</v>
      </c>
      <c r="B983" s="3" t="s">
        <v>45</v>
      </c>
      <c r="C983" s="3" t="s">
        <v>46</v>
      </c>
      <c r="D983" s="3" t="s">
        <v>108</v>
      </c>
      <c r="E983" s="3" t="s">
        <v>48</v>
      </c>
      <c r="F983" s="3" t="s">
        <v>108</v>
      </c>
      <c r="G983" s="3" t="s">
        <v>767</v>
      </c>
      <c r="H983" s="4">
        <f>IF(DATEDIF(L983,S983,"m")&gt;12,DATEDIF(L983,S983,"y"),(DATEDIF(L983,S983,"m")/12))</f>
        <v>3</v>
      </c>
      <c r="I983" s="7">
        <f>DATEDIF(L983,S983,"M")</f>
        <v>46</v>
      </c>
      <c r="J983" s="7">
        <f>DATEDIF(L983,S983,"D")</f>
        <v>1425</v>
      </c>
      <c r="K983" s="3" t="s">
        <v>64</v>
      </c>
      <c r="L983" s="8">
        <v>43566</v>
      </c>
      <c r="M983" s="3" t="s">
        <v>45</v>
      </c>
      <c r="N983" s="3" t="s">
        <v>73</v>
      </c>
      <c r="O983" s="3" t="s">
        <v>52</v>
      </c>
      <c r="P983" s="3" t="s">
        <v>176</v>
      </c>
      <c r="Q983" s="7">
        <v>0</v>
      </c>
      <c r="R983" s="8">
        <v>44994</v>
      </c>
      <c r="S983" s="8">
        <v>44991</v>
      </c>
      <c r="T983" s="3" t="s">
        <v>54</v>
      </c>
      <c r="U983" s="3" t="s">
        <v>55</v>
      </c>
      <c r="V983" s="9"/>
      <c r="W983" s="10">
        <v>44998</v>
      </c>
      <c r="X983" s="7">
        <v>4</v>
      </c>
      <c r="Y983" s="7">
        <v>3</v>
      </c>
      <c r="Z983" s="7">
        <v>3</v>
      </c>
      <c r="AA983" s="7">
        <f>INT((S983-DATE(YEAR(S983-WEEKDAY(S983-0)+4),1,4)+WEEKDAY(DATE(YEAR(S983-WEEKDAY(S983-0)+4),1,4))+6)/7)</f>
        <v>10</v>
      </c>
      <c r="AB983" s="3" t="s">
        <v>768</v>
      </c>
      <c r="AC983" s="7">
        <v>347</v>
      </c>
      <c r="AD983" s="7">
        <v>0</v>
      </c>
      <c r="AE983" s="7">
        <v>0</v>
      </c>
      <c r="AF983" s="3" t="s">
        <v>48</v>
      </c>
      <c r="AG983" s="7">
        <v>2023</v>
      </c>
      <c r="AH983" s="3" t="s">
        <v>112</v>
      </c>
      <c r="AI983" s="3" t="s">
        <v>113</v>
      </c>
      <c r="AJ983" s="3" t="s">
        <v>48</v>
      </c>
      <c r="AK983" s="3" t="s">
        <v>235</v>
      </c>
      <c r="AL983" s="3" t="s">
        <v>59</v>
      </c>
      <c r="AM983" s="3" t="s">
        <v>115</v>
      </c>
      <c r="AN983" s="3" t="s">
        <v>61</v>
      </c>
      <c r="AO983" s="3" t="s">
        <v>62</v>
      </c>
      <c r="AP983" s="3" t="s">
        <v>69</v>
      </c>
      <c r="AQ983" s="3" t="s">
        <v>61</v>
      </c>
      <c r="AR983" s="3" t="s">
        <v>48</v>
      </c>
    </row>
    <row r="984" spans="1:44" ht="30" customHeight="1">
      <c r="A984" s="3" t="s">
        <v>44</v>
      </c>
      <c r="B984" s="3" t="s">
        <v>45</v>
      </c>
      <c r="C984" s="3" t="s">
        <v>46</v>
      </c>
      <c r="D984" s="3" t="s">
        <v>108</v>
      </c>
      <c r="E984" s="3" t="s">
        <v>48</v>
      </c>
      <c r="F984" s="3" t="s">
        <v>108</v>
      </c>
      <c r="G984" s="3" t="s">
        <v>1302</v>
      </c>
      <c r="H984" s="4">
        <f>IF(DATEDIF(L984,S984,"m")&gt;12,DATEDIF(L984,S984,"y"),(DATEDIF(L984,S984,"m")/12))</f>
        <v>3</v>
      </c>
      <c r="I984" s="7">
        <f>DATEDIF(L984,S984,"M")</f>
        <v>47</v>
      </c>
      <c r="J984" s="7">
        <f>DATEDIF(L984,S984,"D")</f>
        <v>1439</v>
      </c>
      <c r="K984" s="3" t="s">
        <v>64</v>
      </c>
      <c r="L984" s="8">
        <v>43553</v>
      </c>
      <c r="M984" s="3" t="s">
        <v>45</v>
      </c>
      <c r="N984" s="3" t="s">
        <v>73</v>
      </c>
      <c r="O984" s="3" t="s">
        <v>52</v>
      </c>
      <c r="P984" s="3" t="s">
        <v>84</v>
      </c>
      <c r="Q984" s="7">
        <v>0</v>
      </c>
      <c r="R984" s="8">
        <v>44994</v>
      </c>
      <c r="S984" s="8">
        <v>44992</v>
      </c>
      <c r="T984" s="3" t="s">
        <v>54</v>
      </c>
      <c r="U984" s="3" t="s">
        <v>55</v>
      </c>
      <c r="V984" s="9"/>
      <c r="W984" s="10">
        <v>44998</v>
      </c>
      <c r="X984" s="7">
        <v>4</v>
      </c>
      <c r="Y984" s="7">
        <v>2</v>
      </c>
      <c r="Z984" s="7">
        <v>3</v>
      </c>
      <c r="AA984" s="7">
        <f>INT((S984-DATE(YEAR(S984-WEEKDAY(S984-0)+4),1,4)+WEEKDAY(DATE(YEAR(S984-WEEKDAY(S984-0)+4),1,4))+6)/7)</f>
        <v>10</v>
      </c>
      <c r="AB984" s="3" t="s">
        <v>1303</v>
      </c>
      <c r="AC984" s="7">
        <v>346</v>
      </c>
      <c r="AD984" s="7">
        <v>0</v>
      </c>
      <c r="AE984" s="7">
        <v>0</v>
      </c>
      <c r="AF984" s="3" t="s">
        <v>48</v>
      </c>
      <c r="AG984" s="7">
        <v>2023</v>
      </c>
      <c r="AH984" s="3" t="s">
        <v>112</v>
      </c>
      <c r="AI984" s="3" t="s">
        <v>113</v>
      </c>
      <c r="AJ984" s="3" t="s">
        <v>48</v>
      </c>
      <c r="AK984" s="3" t="s">
        <v>235</v>
      </c>
      <c r="AL984" s="3" t="s">
        <v>59</v>
      </c>
      <c r="AM984" s="3" t="s">
        <v>115</v>
      </c>
      <c r="AN984" s="3" t="s">
        <v>61</v>
      </c>
      <c r="AO984" s="3" t="s">
        <v>62</v>
      </c>
      <c r="AP984" s="3" t="s">
        <v>69</v>
      </c>
      <c r="AQ984" s="3" t="s">
        <v>61</v>
      </c>
      <c r="AR984" s="3" t="s">
        <v>48</v>
      </c>
    </row>
    <row r="985" spans="1:44" ht="30" customHeight="1">
      <c r="A985" s="3" t="s">
        <v>44</v>
      </c>
      <c r="B985" s="3" t="s">
        <v>45</v>
      </c>
      <c r="C985" s="3" t="s">
        <v>46</v>
      </c>
      <c r="D985" s="3" t="s">
        <v>47</v>
      </c>
      <c r="E985" s="3" t="s">
        <v>48</v>
      </c>
      <c r="F985" s="3" t="s">
        <v>49</v>
      </c>
      <c r="G985" s="3" t="s">
        <v>1212</v>
      </c>
      <c r="H985" s="4">
        <f>IF(DATEDIF(L985,S985,"m")&gt;12,DATEDIF(L985,S985,"y"),(DATEDIF(L985,S985,"m")/12))</f>
        <v>6</v>
      </c>
      <c r="I985" s="7">
        <f>DATEDIF(L985,S985,"M")</f>
        <v>77</v>
      </c>
      <c r="J985" s="7">
        <f>DATEDIF(L985,S985,"D")</f>
        <v>2360</v>
      </c>
      <c r="K985" s="3" t="s">
        <v>64</v>
      </c>
      <c r="L985" s="8">
        <v>42629</v>
      </c>
      <c r="M985" s="3" t="s">
        <v>45</v>
      </c>
      <c r="N985" s="3" t="s">
        <v>65</v>
      </c>
      <c r="O985" s="3" t="s">
        <v>52</v>
      </c>
      <c r="P985" s="3" t="s">
        <v>169</v>
      </c>
      <c r="Q985" s="7">
        <v>0</v>
      </c>
      <c r="R985" s="8">
        <v>44990</v>
      </c>
      <c r="S985" s="8">
        <v>44989</v>
      </c>
      <c r="T985" s="3" t="s">
        <v>54</v>
      </c>
      <c r="U985" s="3" t="s">
        <v>55</v>
      </c>
      <c r="V985" s="9"/>
      <c r="W985" s="13">
        <v>45115</v>
      </c>
      <c r="X985" s="7">
        <v>4</v>
      </c>
      <c r="Y985" s="7">
        <v>1</v>
      </c>
      <c r="Z985" s="7">
        <v>3</v>
      </c>
      <c r="AA985" s="7">
        <f>INT((S985-DATE(YEAR(S985-WEEKDAY(S985-0)+4),1,4)+WEEKDAY(DATE(YEAR(S985-WEEKDAY(S985-0)+4),1,4))+6)/7)</f>
        <v>9</v>
      </c>
      <c r="AB985" s="3" t="s">
        <v>1213</v>
      </c>
      <c r="AC985" s="7">
        <v>85</v>
      </c>
      <c r="AD985" s="7">
        <v>0</v>
      </c>
      <c r="AE985" s="7">
        <v>0</v>
      </c>
      <c r="AF985" s="3" t="s">
        <v>48</v>
      </c>
      <c r="AG985" s="7">
        <v>2023</v>
      </c>
      <c r="AH985" s="3" t="s">
        <v>57</v>
      </c>
      <c r="AI985" s="3" t="s">
        <v>48</v>
      </c>
      <c r="AJ985" s="3" t="s">
        <v>48</v>
      </c>
      <c r="AK985" s="3" t="s">
        <v>1214</v>
      </c>
      <c r="AL985" s="3" t="s">
        <v>59</v>
      </c>
      <c r="AM985" s="3" t="s">
        <v>60</v>
      </c>
      <c r="AN985" s="3" t="s">
        <v>61</v>
      </c>
      <c r="AO985" s="3" t="s">
        <v>62</v>
      </c>
      <c r="AP985" s="3" t="s">
        <v>69</v>
      </c>
      <c r="AQ985" s="3" t="s">
        <v>61</v>
      </c>
      <c r="AR985" s="3" t="s">
        <v>48</v>
      </c>
    </row>
    <row r="986" spans="1:44" ht="30" customHeight="1">
      <c r="A986" s="3" t="s">
        <v>44</v>
      </c>
      <c r="B986" s="3" t="s">
        <v>45</v>
      </c>
      <c r="C986" s="3" t="s">
        <v>46</v>
      </c>
      <c r="D986" s="3" t="s">
        <v>47</v>
      </c>
      <c r="E986" s="3" t="s">
        <v>48</v>
      </c>
      <c r="F986" s="3" t="s">
        <v>49</v>
      </c>
      <c r="G986" s="3" t="s">
        <v>1215</v>
      </c>
      <c r="H986" s="5">
        <f>IF(DATEDIF(L986,S986,"m")&gt;12,DATEDIF(L986,S986,"y"),(DATEDIF(L986,S986,"m")/12))</f>
        <v>0.91666666666666663</v>
      </c>
      <c r="I986" s="7">
        <f>DATEDIF(L986,S986,"M")</f>
        <v>11</v>
      </c>
      <c r="J986" s="7">
        <f>DATEDIF(L986,S986,"D")</f>
        <v>340</v>
      </c>
      <c r="K986" s="3" t="s">
        <v>64</v>
      </c>
      <c r="L986" s="8">
        <v>44681</v>
      </c>
      <c r="M986" s="3" t="s">
        <v>45</v>
      </c>
      <c r="N986" s="3" t="s">
        <v>49</v>
      </c>
      <c r="O986" s="3" t="s">
        <v>52</v>
      </c>
      <c r="P986" s="3" t="s">
        <v>790</v>
      </c>
      <c r="Q986" s="7">
        <v>0</v>
      </c>
      <c r="R986" s="8">
        <v>45022</v>
      </c>
      <c r="S986" s="8">
        <v>45021</v>
      </c>
      <c r="T986" s="3" t="s">
        <v>54</v>
      </c>
      <c r="U986" s="3" t="s">
        <v>55</v>
      </c>
      <c r="V986" s="9"/>
      <c r="W986" s="13">
        <v>45115</v>
      </c>
      <c r="X986" s="7">
        <v>4</v>
      </c>
      <c r="Y986" s="7">
        <v>1</v>
      </c>
      <c r="Z986" s="7">
        <v>4</v>
      </c>
      <c r="AA986" s="7">
        <f>INT((S986-DATE(YEAR(S986-WEEKDAY(S986-0)+4),1,4)+WEEKDAY(DATE(YEAR(S986-WEEKDAY(S986-0)+4),1,4))+6)/7)</f>
        <v>14</v>
      </c>
      <c r="AB986" s="3" t="s">
        <v>1216</v>
      </c>
      <c r="AC986" s="7">
        <v>184</v>
      </c>
      <c r="AD986" s="7">
        <v>0</v>
      </c>
      <c r="AE986" s="7">
        <v>0</v>
      </c>
      <c r="AF986" s="3" t="s">
        <v>48</v>
      </c>
      <c r="AG986" s="7">
        <v>2023</v>
      </c>
      <c r="AH986" s="3" t="s">
        <v>57</v>
      </c>
      <c r="AI986" s="3" t="s">
        <v>48</v>
      </c>
      <c r="AJ986" s="3" t="s">
        <v>48</v>
      </c>
      <c r="AK986" s="3" t="s">
        <v>1217</v>
      </c>
      <c r="AL986" s="3" t="s">
        <v>59</v>
      </c>
      <c r="AM986" s="3" t="s">
        <v>60</v>
      </c>
      <c r="AN986" s="3" t="s">
        <v>61</v>
      </c>
      <c r="AO986" s="3" t="s">
        <v>62</v>
      </c>
      <c r="AP986" s="3" t="s">
        <v>61</v>
      </c>
      <c r="AQ986" s="3" t="s">
        <v>61</v>
      </c>
      <c r="AR986" s="3" t="s">
        <v>48</v>
      </c>
    </row>
    <row r="987" spans="1:44" ht="30" customHeight="1">
      <c r="A987" s="3" t="s">
        <v>44</v>
      </c>
      <c r="B987" s="3" t="s">
        <v>45</v>
      </c>
      <c r="C987" s="3" t="s">
        <v>46</v>
      </c>
      <c r="D987" s="3" t="s">
        <v>186</v>
      </c>
      <c r="E987" s="3" t="s">
        <v>48</v>
      </c>
      <c r="F987" s="3" t="s">
        <v>186</v>
      </c>
      <c r="G987" s="3" t="s">
        <v>48</v>
      </c>
      <c r="H987" s="4">
        <f>IF(DATEDIF(L987,S987,"m")&gt;12,DATEDIF(L987,S987,"y"),(DATEDIF(L987,S987,"m")/12))</f>
        <v>49</v>
      </c>
      <c r="I987" s="7">
        <f>DATEDIF(L987,S987,"M")</f>
        <v>598</v>
      </c>
      <c r="J987" s="7">
        <f>DATEDIF(L987,S987,"D")</f>
        <v>18222</v>
      </c>
      <c r="K987" s="3" t="s">
        <v>51</v>
      </c>
      <c r="L987" s="8">
        <v>26707</v>
      </c>
      <c r="M987" s="3" t="s">
        <v>45</v>
      </c>
      <c r="N987" s="3" t="s">
        <v>187</v>
      </c>
      <c r="O987" s="3" t="s">
        <v>52</v>
      </c>
      <c r="P987" s="3" t="s">
        <v>1218</v>
      </c>
      <c r="Q987" s="7">
        <v>0</v>
      </c>
      <c r="R987" s="8">
        <v>44936</v>
      </c>
      <c r="S987" s="8">
        <v>44929</v>
      </c>
      <c r="T987" s="3" t="s">
        <v>54</v>
      </c>
      <c r="U987" s="3" t="s">
        <v>55</v>
      </c>
      <c r="V987" s="9"/>
      <c r="W987" s="13">
        <v>45115</v>
      </c>
      <c r="X987" s="7">
        <v>3</v>
      </c>
      <c r="Y987" s="7">
        <v>7</v>
      </c>
      <c r="Z987" s="7">
        <v>1</v>
      </c>
      <c r="AA987" s="7">
        <f>INT((S987-DATE(YEAR(S987-WEEKDAY(S987-0)+4),1,4)+WEEKDAY(DATE(YEAR(S987-WEEKDAY(S987-0)+4),1,4))+6)/7)</f>
        <v>1</v>
      </c>
      <c r="AB987" s="3" t="s">
        <v>1219</v>
      </c>
      <c r="AC987" s="7">
        <v>68</v>
      </c>
      <c r="AD987" s="7">
        <v>0</v>
      </c>
      <c r="AE987" s="7">
        <v>0</v>
      </c>
      <c r="AF987" s="3" t="s">
        <v>48</v>
      </c>
      <c r="AG987" s="7">
        <v>2023</v>
      </c>
      <c r="AH987" s="3" t="s">
        <v>190</v>
      </c>
      <c r="AI987" s="3" t="s">
        <v>191</v>
      </c>
      <c r="AJ987" s="3" t="s">
        <v>186</v>
      </c>
      <c r="AK987" s="3" t="s">
        <v>192</v>
      </c>
      <c r="AL987" s="3" t="s">
        <v>59</v>
      </c>
      <c r="AM987" s="3" t="s">
        <v>115</v>
      </c>
      <c r="AN987" s="3" t="s">
        <v>61</v>
      </c>
      <c r="AO987" s="3" t="s">
        <v>62</v>
      </c>
      <c r="AP987" s="3" t="s">
        <v>69</v>
      </c>
      <c r="AQ987" s="3" t="s">
        <v>61</v>
      </c>
      <c r="AR987" s="3" t="s">
        <v>48</v>
      </c>
    </row>
    <row r="988" spans="1:44" ht="30" customHeight="1">
      <c r="A988" s="3" t="s">
        <v>44</v>
      </c>
      <c r="B988" s="3" t="s">
        <v>45</v>
      </c>
      <c r="C988" s="3" t="s">
        <v>46</v>
      </c>
      <c r="D988" s="3" t="s">
        <v>70</v>
      </c>
      <c r="E988" s="3" t="s">
        <v>48</v>
      </c>
      <c r="F988" s="3" t="s">
        <v>71</v>
      </c>
      <c r="G988" s="3" t="s">
        <v>1209</v>
      </c>
      <c r="H988" s="4">
        <f>IF(DATEDIF(L988,S988,"m")&gt;12,DATEDIF(L988,S988,"y"),(DATEDIF(L988,S988,"m")/12))</f>
        <v>10</v>
      </c>
      <c r="I988" s="7">
        <f>DATEDIF(L988,S988,"M")</f>
        <v>129</v>
      </c>
      <c r="J988" s="7">
        <f>DATEDIF(L988,S988,"D")</f>
        <v>3927</v>
      </c>
      <c r="K988" s="3" t="s">
        <v>51</v>
      </c>
      <c r="L988" s="8">
        <v>41091</v>
      </c>
      <c r="M988" s="3" t="s">
        <v>45</v>
      </c>
      <c r="N988" s="3" t="s">
        <v>90</v>
      </c>
      <c r="O988" s="3" t="s">
        <v>52</v>
      </c>
      <c r="P988" s="3" t="s">
        <v>169</v>
      </c>
      <c r="Q988" s="7">
        <v>1</v>
      </c>
      <c r="R988" s="8">
        <v>45019</v>
      </c>
      <c r="S988" s="8">
        <v>45018</v>
      </c>
      <c r="T988" s="3" t="s">
        <v>54</v>
      </c>
      <c r="U988" s="3" t="s">
        <v>55</v>
      </c>
      <c r="V988" s="9"/>
      <c r="W988" s="13">
        <v>45116</v>
      </c>
      <c r="X988" s="7">
        <v>8</v>
      </c>
      <c r="Y988" s="7">
        <v>1</v>
      </c>
      <c r="Z988" s="7">
        <v>4</v>
      </c>
      <c r="AA988" s="7">
        <f>INT((S988-DATE(YEAR(S988-WEEKDAY(S988-0)+4),1,4)+WEEKDAY(DATE(YEAR(S988-WEEKDAY(S988-0)+4),1,4))+6)/7)</f>
        <v>14</v>
      </c>
      <c r="AB988" s="3" t="s">
        <v>1210</v>
      </c>
      <c r="AC988" s="7">
        <v>752</v>
      </c>
      <c r="AD988" s="7">
        <v>0</v>
      </c>
      <c r="AE988" s="7">
        <v>1</v>
      </c>
      <c r="AF988" s="3" t="s">
        <v>48</v>
      </c>
      <c r="AG988" s="7">
        <v>2023</v>
      </c>
      <c r="AH988" s="3" t="s">
        <v>532</v>
      </c>
      <c r="AI988" s="3" t="s">
        <v>166</v>
      </c>
      <c r="AJ988" s="3" t="s">
        <v>78</v>
      </c>
      <c r="AK988" s="3" t="s">
        <v>1211</v>
      </c>
      <c r="AL988" s="3" t="s">
        <v>59</v>
      </c>
      <c r="AM988" s="3" t="s">
        <v>60</v>
      </c>
      <c r="AN988" s="3" t="s">
        <v>61</v>
      </c>
      <c r="AO988" s="3" t="s">
        <v>62</v>
      </c>
      <c r="AP988" s="3" t="s">
        <v>61</v>
      </c>
      <c r="AQ988" s="3" t="s">
        <v>61</v>
      </c>
      <c r="AR988" s="3" t="s">
        <v>48</v>
      </c>
    </row>
    <row r="989" spans="1:44" ht="30" customHeight="1">
      <c r="A989" s="3" t="s">
        <v>44</v>
      </c>
      <c r="B989" s="3" t="s">
        <v>45</v>
      </c>
      <c r="C989" s="3" t="s">
        <v>46</v>
      </c>
      <c r="D989" s="3" t="s">
        <v>47</v>
      </c>
      <c r="E989" s="3" t="s">
        <v>48</v>
      </c>
      <c r="F989" s="3" t="s">
        <v>49</v>
      </c>
      <c r="G989" s="3" t="s">
        <v>1202</v>
      </c>
      <c r="H989" s="4">
        <f>IF(DATEDIF(L989,S989,"m")&gt;12,DATEDIF(L989,S989,"y"),(DATEDIF(L989,S989,"m")/12))</f>
        <v>90</v>
      </c>
      <c r="I989" s="7">
        <f>DATEDIF(L989,S989,"M")</f>
        <v>1081</v>
      </c>
      <c r="J989" s="7">
        <f>DATEDIF(L989,S989,"D")</f>
        <v>32906</v>
      </c>
      <c r="K989" s="3" t="s">
        <v>51</v>
      </c>
      <c r="L989" s="8">
        <v>12082</v>
      </c>
      <c r="M989" s="3" t="s">
        <v>45</v>
      </c>
      <c r="N989" s="3" t="s">
        <v>65</v>
      </c>
      <c r="O989" s="3" t="s">
        <v>52</v>
      </c>
      <c r="P989" s="3" t="s">
        <v>1203</v>
      </c>
      <c r="Q989" s="7">
        <v>0</v>
      </c>
      <c r="R989" s="8">
        <v>44991</v>
      </c>
      <c r="S989" s="8">
        <v>44988</v>
      </c>
      <c r="T989" s="3" t="s">
        <v>54</v>
      </c>
      <c r="U989" s="3" t="s">
        <v>55</v>
      </c>
      <c r="V989" s="9"/>
      <c r="W989" s="13">
        <v>45117</v>
      </c>
      <c r="X989" s="7">
        <v>3</v>
      </c>
      <c r="Y989" s="7">
        <v>3</v>
      </c>
      <c r="Z989" s="7">
        <v>3</v>
      </c>
      <c r="AA989" s="7">
        <f>INT((S989-DATE(YEAR(S989-WEEKDAY(S989-0)+4),1,4)+WEEKDAY(DATE(YEAR(S989-WEEKDAY(S989-0)+4),1,4))+6)/7)</f>
        <v>9</v>
      </c>
      <c r="AB989" s="3" t="s">
        <v>1204</v>
      </c>
      <c r="AC989" s="7">
        <v>91</v>
      </c>
      <c r="AD989" s="7">
        <v>0</v>
      </c>
      <c r="AE989" s="7">
        <v>0</v>
      </c>
      <c r="AF989" s="3" t="s">
        <v>48</v>
      </c>
      <c r="AG989" s="7">
        <v>2023</v>
      </c>
      <c r="AH989" s="3" t="s">
        <v>57</v>
      </c>
      <c r="AI989" s="3" t="s">
        <v>48</v>
      </c>
      <c r="AJ989" s="3" t="s">
        <v>48</v>
      </c>
      <c r="AK989" s="3" t="s">
        <v>1205</v>
      </c>
      <c r="AL989" s="3" t="s">
        <v>59</v>
      </c>
      <c r="AM989" s="3" t="s">
        <v>60</v>
      </c>
      <c r="AN989" s="3" t="s">
        <v>61</v>
      </c>
      <c r="AO989" s="3" t="s">
        <v>62</v>
      </c>
      <c r="AP989" s="3" t="s">
        <v>69</v>
      </c>
      <c r="AQ989" s="3" t="s">
        <v>61</v>
      </c>
      <c r="AR989" s="3" t="s">
        <v>48</v>
      </c>
    </row>
    <row r="990" spans="1:44" ht="30" customHeight="1">
      <c r="A990" s="3" t="s">
        <v>44</v>
      </c>
      <c r="B990" s="3" t="s">
        <v>45</v>
      </c>
      <c r="C990" s="3" t="s">
        <v>80</v>
      </c>
      <c r="D990" s="3" t="s">
        <v>81</v>
      </c>
      <c r="E990" s="3" t="s">
        <v>48</v>
      </c>
      <c r="F990" s="3" t="s">
        <v>81</v>
      </c>
      <c r="G990" s="3" t="s">
        <v>1206</v>
      </c>
      <c r="H990" s="5">
        <f>IF(DATEDIF(L990,S990,"m")&gt;12,DATEDIF(L990,S990,"y"),(DATEDIF(L990,S990,"m")/12))</f>
        <v>0.41666666666666669</v>
      </c>
      <c r="I990" s="7">
        <f>DATEDIF(L990,S990,"M")</f>
        <v>5</v>
      </c>
      <c r="J990" s="7">
        <f>DATEDIF(L990,S990,"D")</f>
        <v>165</v>
      </c>
      <c r="K990" s="3" t="s">
        <v>51</v>
      </c>
      <c r="L990" s="8">
        <v>44806</v>
      </c>
      <c r="M990" s="3" t="s">
        <v>45</v>
      </c>
      <c r="N990" s="3" t="s">
        <v>49</v>
      </c>
      <c r="O990" s="3" t="s">
        <v>52</v>
      </c>
      <c r="P990" s="3" t="s">
        <v>84</v>
      </c>
      <c r="Q990" s="7">
        <v>1</v>
      </c>
      <c r="R990" s="8">
        <v>44972</v>
      </c>
      <c r="S990" s="8">
        <v>44971</v>
      </c>
      <c r="T990" s="3" t="s">
        <v>54</v>
      </c>
      <c r="U990" s="3" t="s">
        <v>55</v>
      </c>
      <c r="V990" s="9"/>
      <c r="W990" s="13">
        <v>45117</v>
      </c>
      <c r="X990" s="7">
        <v>8</v>
      </c>
      <c r="Y990" s="7">
        <v>1</v>
      </c>
      <c r="Z990" s="7">
        <v>2</v>
      </c>
      <c r="AA990" s="7">
        <f>INT((S990-DATE(YEAR(S990-WEEKDAY(S990-0)+4),1,4)+WEEKDAY(DATE(YEAR(S990-WEEKDAY(S990-0)+4),1,4))+6)/7)</f>
        <v>7</v>
      </c>
      <c r="AB990" s="3" t="s">
        <v>1207</v>
      </c>
      <c r="AC990" s="7">
        <v>13983</v>
      </c>
      <c r="AD990" s="7">
        <v>0</v>
      </c>
      <c r="AE990" s="7">
        <v>0</v>
      </c>
      <c r="AF990" s="3" t="s">
        <v>48</v>
      </c>
      <c r="AG990" s="7">
        <v>2023</v>
      </c>
      <c r="AH990" s="3" t="s">
        <v>86</v>
      </c>
      <c r="AI990" s="3" t="s">
        <v>48</v>
      </c>
      <c r="AJ990" s="3" t="s">
        <v>48</v>
      </c>
      <c r="AK990" s="3" t="s">
        <v>567</v>
      </c>
      <c r="AL990" s="3" t="s">
        <v>59</v>
      </c>
      <c r="AM990" s="3" t="s">
        <v>60</v>
      </c>
      <c r="AN990" s="3" t="s">
        <v>69</v>
      </c>
      <c r="AO990" s="3" t="s">
        <v>62</v>
      </c>
      <c r="AP990" s="3" t="s">
        <v>69</v>
      </c>
      <c r="AQ990" s="3" t="s">
        <v>61</v>
      </c>
      <c r="AR990" s="3" t="s">
        <v>48</v>
      </c>
    </row>
    <row r="991" spans="1:44" ht="30" customHeight="1">
      <c r="A991" s="3" t="s">
        <v>44</v>
      </c>
      <c r="B991" s="3" t="s">
        <v>45</v>
      </c>
      <c r="C991" s="3" t="s">
        <v>46</v>
      </c>
      <c r="D991" s="3" t="s">
        <v>130</v>
      </c>
      <c r="E991" s="3" t="s">
        <v>48</v>
      </c>
      <c r="F991" s="3" t="s">
        <v>131</v>
      </c>
      <c r="G991" s="3" t="s">
        <v>48</v>
      </c>
      <c r="H991" s="4">
        <f>IF(DATEDIF(L991,S991,"m")&gt;12,DATEDIF(L991,S991,"y"),(DATEDIF(L991,S991,"m")/12))</f>
        <v>40</v>
      </c>
      <c r="I991" s="7">
        <f>DATEDIF(L991,S991,"M")</f>
        <v>480</v>
      </c>
      <c r="J991" s="7">
        <f>DATEDIF(L991,S991,"D")</f>
        <v>14630</v>
      </c>
      <c r="K991" s="3" t="s">
        <v>64</v>
      </c>
      <c r="L991" s="8">
        <v>30311</v>
      </c>
      <c r="M991" s="3" t="s">
        <v>45</v>
      </c>
      <c r="N991" s="3" t="s">
        <v>83</v>
      </c>
      <c r="O991" s="3" t="s">
        <v>52</v>
      </c>
      <c r="P991" s="3" t="s">
        <v>84</v>
      </c>
      <c r="Q991" s="7">
        <v>0</v>
      </c>
      <c r="R991" s="8">
        <v>44951</v>
      </c>
      <c r="S991" s="8">
        <v>44941</v>
      </c>
      <c r="T991" s="3" t="s">
        <v>54</v>
      </c>
      <c r="U991" s="3" t="s">
        <v>55</v>
      </c>
      <c r="V991" s="9"/>
      <c r="W991" s="13">
        <v>45117</v>
      </c>
      <c r="X991" s="7">
        <v>2</v>
      </c>
      <c r="Y991" s="7">
        <v>10</v>
      </c>
      <c r="Z991" s="7">
        <v>1</v>
      </c>
      <c r="AA991" s="7">
        <f>INT((S991-DATE(YEAR(S991-WEEKDAY(S991-0)+4),1,4)+WEEKDAY(DATE(YEAR(S991-WEEKDAY(S991-0)+4),1,4))+6)/7)</f>
        <v>3</v>
      </c>
      <c r="AB991" s="3" t="s">
        <v>1208</v>
      </c>
      <c r="AC991" s="7">
        <v>100</v>
      </c>
      <c r="AD991" s="7">
        <v>0</v>
      </c>
      <c r="AE991" s="7">
        <v>0</v>
      </c>
      <c r="AF991" s="3" t="s">
        <v>48</v>
      </c>
      <c r="AG991" s="7">
        <v>2023</v>
      </c>
      <c r="AH991" s="3" t="s">
        <v>133</v>
      </c>
      <c r="AI991" s="3" t="s">
        <v>106</v>
      </c>
      <c r="AJ991" s="3" t="s">
        <v>48</v>
      </c>
      <c r="AK991" s="3" t="s">
        <v>282</v>
      </c>
      <c r="AL991" s="3" t="s">
        <v>59</v>
      </c>
      <c r="AM991" s="3" t="s">
        <v>48</v>
      </c>
      <c r="AN991" s="3" t="s">
        <v>61</v>
      </c>
      <c r="AO991" s="3" t="s">
        <v>62</v>
      </c>
      <c r="AP991" s="3" t="s">
        <v>69</v>
      </c>
      <c r="AQ991" s="3" t="s">
        <v>61</v>
      </c>
      <c r="AR991" s="3" t="s">
        <v>61</v>
      </c>
    </row>
    <row r="992" spans="1:44" ht="30" customHeight="1">
      <c r="A992" s="3" t="s">
        <v>44</v>
      </c>
      <c r="B992" s="3" t="s">
        <v>45</v>
      </c>
      <c r="C992" s="3" t="s">
        <v>80</v>
      </c>
      <c r="D992" s="3" t="s">
        <v>81</v>
      </c>
      <c r="E992" s="3" t="s">
        <v>48</v>
      </c>
      <c r="F992" s="3" t="s">
        <v>483</v>
      </c>
      <c r="G992" s="3" t="s">
        <v>1832</v>
      </c>
      <c r="H992" s="4">
        <f>IF(DATEDIF(L992,S992,"m")&gt;12,DATEDIF(L992,S992,"y"),(DATEDIF(L992,S992,"m")/12))</f>
        <v>5</v>
      </c>
      <c r="I992" s="7">
        <f>DATEDIF(L992,S992,"M")</f>
        <v>61</v>
      </c>
      <c r="J992" s="7">
        <f>DATEDIF(L992,S992,"D")</f>
        <v>1856</v>
      </c>
      <c r="K992" s="3" t="s">
        <v>51</v>
      </c>
      <c r="L992" s="8">
        <v>43131</v>
      </c>
      <c r="M992" s="3" t="s">
        <v>45</v>
      </c>
      <c r="N992" s="3" t="s">
        <v>73</v>
      </c>
      <c r="O992" s="3" t="s">
        <v>52</v>
      </c>
      <c r="P992" s="3" t="s">
        <v>1833</v>
      </c>
      <c r="Q992" s="7">
        <v>1</v>
      </c>
      <c r="R992" s="8">
        <v>44990</v>
      </c>
      <c r="S992" s="8">
        <v>44987</v>
      </c>
      <c r="T992" s="3" t="s">
        <v>54</v>
      </c>
      <c r="U992" s="3" t="s">
        <v>55</v>
      </c>
      <c r="V992" s="9"/>
      <c r="W992" s="10">
        <v>44998</v>
      </c>
      <c r="X992" s="7">
        <v>8</v>
      </c>
      <c r="Y992" s="7">
        <v>3</v>
      </c>
      <c r="Z992" s="7">
        <v>3</v>
      </c>
      <c r="AA992" s="7">
        <f>INT((S992-DATE(YEAR(S992-WEEKDAY(S992-0)+4),1,4)+WEEKDAY(DATE(YEAR(S992-WEEKDAY(S992-0)+4),1,4))+6)/7)</f>
        <v>9</v>
      </c>
      <c r="AB992" s="3" t="s">
        <v>1834</v>
      </c>
      <c r="AC992" s="7">
        <v>536</v>
      </c>
      <c r="AD992" s="7">
        <v>0</v>
      </c>
      <c r="AE992" s="7">
        <v>1</v>
      </c>
      <c r="AF992" s="3" t="s">
        <v>48</v>
      </c>
      <c r="AG992" s="7">
        <v>2023</v>
      </c>
      <c r="AH992" s="3" t="s">
        <v>486</v>
      </c>
      <c r="AI992" s="3" t="s">
        <v>48</v>
      </c>
      <c r="AJ992" s="3" t="s">
        <v>48</v>
      </c>
      <c r="AK992" s="3" t="s">
        <v>235</v>
      </c>
      <c r="AL992" s="3" t="s">
        <v>59</v>
      </c>
      <c r="AM992" s="3" t="s">
        <v>99</v>
      </c>
      <c r="AN992" s="3" t="s">
        <v>61</v>
      </c>
      <c r="AO992" s="3" t="s">
        <v>62</v>
      </c>
      <c r="AP992" s="3" t="s">
        <v>69</v>
      </c>
      <c r="AQ992" s="3" t="s">
        <v>61</v>
      </c>
      <c r="AR992" s="3" t="s">
        <v>48</v>
      </c>
    </row>
    <row r="993" spans="1:44" ht="30" customHeight="1">
      <c r="A993" s="3" t="s">
        <v>44</v>
      </c>
      <c r="B993" s="3" t="s">
        <v>45</v>
      </c>
      <c r="C993" s="3" t="s">
        <v>46</v>
      </c>
      <c r="D993" s="3" t="s">
        <v>108</v>
      </c>
      <c r="E993" s="3" t="s">
        <v>48</v>
      </c>
      <c r="F993" s="3" t="s">
        <v>108</v>
      </c>
      <c r="G993" s="3" t="s">
        <v>1993</v>
      </c>
      <c r="H993" s="4">
        <f>IF(DATEDIF(L993,S993,"m")&gt;12,DATEDIF(L993,S993,"y"),(DATEDIF(L993,S993,"m")/12))</f>
        <v>3</v>
      </c>
      <c r="I993" s="7">
        <f>DATEDIF(L993,S993,"M")</f>
        <v>45</v>
      </c>
      <c r="J993" s="7">
        <f>DATEDIF(L993,S993,"D")</f>
        <v>1387</v>
      </c>
      <c r="K993" s="3" t="s">
        <v>51</v>
      </c>
      <c r="L993" s="8">
        <v>43606</v>
      </c>
      <c r="M993" s="3" t="s">
        <v>45</v>
      </c>
      <c r="N993" s="3" t="s">
        <v>73</v>
      </c>
      <c r="O993" s="3" t="s">
        <v>52</v>
      </c>
      <c r="P993" s="3" t="s">
        <v>1994</v>
      </c>
      <c r="Q993" s="7">
        <v>0</v>
      </c>
      <c r="R993" s="8">
        <v>44995</v>
      </c>
      <c r="S993" s="8">
        <v>44993</v>
      </c>
      <c r="T993" s="3" t="s">
        <v>54</v>
      </c>
      <c r="U993" s="3" t="s">
        <v>55</v>
      </c>
      <c r="V993" s="9"/>
      <c r="W993" s="10">
        <v>44998</v>
      </c>
      <c r="X993" s="7">
        <v>3</v>
      </c>
      <c r="Y993" s="7">
        <v>2</v>
      </c>
      <c r="Z993" s="7">
        <v>3</v>
      </c>
      <c r="AA993" s="7">
        <f>INT((S993-DATE(YEAR(S993-WEEKDAY(S993-0)+4),1,4)+WEEKDAY(DATE(YEAR(S993-WEEKDAY(S993-0)+4),1,4))+6)/7)</f>
        <v>10</v>
      </c>
      <c r="AB993" s="3" t="s">
        <v>1995</v>
      </c>
      <c r="AC993" s="7">
        <v>355</v>
      </c>
      <c r="AD993" s="7">
        <v>0</v>
      </c>
      <c r="AE993" s="7">
        <v>0</v>
      </c>
      <c r="AF993" s="3" t="s">
        <v>48</v>
      </c>
      <c r="AG993" s="7">
        <v>2023</v>
      </c>
      <c r="AH993" s="3" t="s">
        <v>112</v>
      </c>
      <c r="AI993" s="3" t="s">
        <v>113</v>
      </c>
      <c r="AJ993" s="3" t="s">
        <v>48</v>
      </c>
      <c r="AK993" s="3" t="s">
        <v>235</v>
      </c>
      <c r="AL993" s="3" t="s">
        <v>59</v>
      </c>
      <c r="AM993" s="3" t="s">
        <v>115</v>
      </c>
      <c r="AN993" s="3" t="s">
        <v>61</v>
      </c>
      <c r="AO993" s="3" t="s">
        <v>62</v>
      </c>
      <c r="AP993" s="3" t="s">
        <v>69</v>
      </c>
      <c r="AQ993" s="3" t="s">
        <v>61</v>
      </c>
      <c r="AR993" s="3" t="s">
        <v>48</v>
      </c>
    </row>
    <row r="994" spans="1:44" ht="30" customHeight="1">
      <c r="A994" s="3" t="s">
        <v>44</v>
      </c>
      <c r="B994" s="3" t="s">
        <v>45</v>
      </c>
      <c r="C994" s="3" t="s">
        <v>46</v>
      </c>
      <c r="D994" s="3" t="s">
        <v>47</v>
      </c>
      <c r="E994" s="3" t="s">
        <v>48</v>
      </c>
      <c r="F994" s="3" t="s">
        <v>49</v>
      </c>
      <c r="G994" s="3" t="s">
        <v>233</v>
      </c>
      <c r="H994" s="4">
        <f>IF(DATEDIF(L994,S994,"m")&gt;12,DATEDIF(L994,S994,"y"),(DATEDIF(L994,S994,"m")/12))</f>
        <v>7</v>
      </c>
      <c r="I994" s="7">
        <f>DATEDIF(L994,S994,"M")</f>
        <v>86</v>
      </c>
      <c r="J994" s="7">
        <f>DATEDIF(L994,S994,"D")</f>
        <v>2639</v>
      </c>
      <c r="K994" s="3" t="s">
        <v>64</v>
      </c>
      <c r="L994" s="8">
        <v>42353</v>
      </c>
      <c r="M994" s="3" t="s">
        <v>45</v>
      </c>
      <c r="N994" s="3" t="s">
        <v>73</v>
      </c>
      <c r="O994" s="3" t="s">
        <v>52</v>
      </c>
      <c r="P994" s="3" t="s">
        <v>74</v>
      </c>
      <c r="Q994" s="7">
        <v>0</v>
      </c>
      <c r="R994" s="8">
        <v>44999</v>
      </c>
      <c r="S994" s="8">
        <v>44992</v>
      </c>
      <c r="T994" s="3" t="s">
        <v>54</v>
      </c>
      <c r="U994" s="3" t="s">
        <v>55</v>
      </c>
      <c r="V994" s="9"/>
      <c r="W994" s="10">
        <v>45001</v>
      </c>
      <c r="X994" s="7">
        <v>2</v>
      </c>
      <c r="Y994" s="7">
        <v>7</v>
      </c>
      <c r="Z994" s="7">
        <v>3</v>
      </c>
      <c r="AA994" s="7">
        <f>INT((S994-DATE(YEAR(S994-WEEKDAY(S994-0)+4),1,4)+WEEKDAY(DATE(YEAR(S994-WEEKDAY(S994-0)+4),1,4))+6)/7)</f>
        <v>10</v>
      </c>
      <c r="AB994" s="3" t="s">
        <v>234</v>
      </c>
      <c r="AC994" s="7">
        <v>124</v>
      </c>
      <c r="AD994" s="7">
        <v>0</v>
      </c>
      <c r="AE994" s="7">
        <v>0</v>
      </c>
      <c r="AF994" s="3" t="s">
        <v>48</v>
      </c>
      <c r="AG994" s="7">
        <v>2023</v>
      </c>
      <c r="AH994" s="3" t="s">
        <v>57</v>
      </c>
      <c r="AI994" s="3" t="s">
        <v>48</v>
      </c>
      <c r="AJ994" s="3" t="s">
        <v>48</v>
      </c>
      <c r="AK994" s="3" t="s">
        <v>235</v>
      </c>
      <c r="AL994" s="3" t="s">
        <v>59</v>
      </c>
      <c r="AM994" s="3" t="s">
        <v>60</v>
      </c>
      <c r="AN994" s="3" t="s">
        <v>61</v>
      </c>
      <c r="AO994" s="3" t="s">
        <v>62</v>
      </c>
      <c r="AP994" s="3" t="s">
        <v>69</v>
      </c>
      <c r="AQ994" s="3" t="s">
        <v>61</v>
      </c>
      <c r="AR994" s="3" t="s">
        <v>48</v>
      </c>
    </row>
    <row r="995" spans="1:44" ht="30" customHeight="1">
      <c r="A995" s="3" t="s">
        <v>44</v>
      </c>
      <c r="B995" s="3" t="s">
        <v>45</v>
      </c>
      <c r="C995" s="3" t="s">
        <v>46</v>
      </c>
      <c r="D995" s="3" t="s">
        <v>70</v>
      </c>
      <c r="E995" s="3" t="s">
        <v>48</v>
      </c>
      <c r="F995" s="3" t="s">
        <v>71</v>
      </c>
      <c r="G995" s="3" t="s">
        <v>1186</v>
      </c>
      <c r="H995" s="4">
        <f>IF(DATEDIF(L995,S995,"m")&gt;12,DATEDIF(L995,S995,"y"),(DATEDIF(L995,S995,"m")/12))</f>
        <v>68</v>
      </c>
      <c r="I995" s="7">
        <f>DATEDIF(L995,S995,"M")</f>
        <v>818</v>
      </c>
      <c r="J995" s="7">
        <f>DATEDIF(L995,S995,"D")</f>
        <v>24925</v>
      </c>
      <c r="K995" s="3" t="s">
        <v>64</v>
      </c>
      <c r="L995" s="8">
        <v>20094</v>
      </c>
      <c r="M995" s="3" t="s">
        <v>45</v>
      </c>
      <c r="N995" s="3" t="s">
        <v>90</v>
      </c>
      <c r="O995" s="3" t="s">
        <v>52</v>
      </c>
      <c r="P995" s="3" t="s">
        <v>91</v>
      </c>
      <c r="Q995" s="7">
        <v>1</v>
      </c>
      <c r="R995" s="8">
        <v>45020</v>
      </c>
      <c r="S995" s="8">
        <v>45019</v>
      </c>
      <c r="T995" s="3" t="s">
        <v>54</v>
      </c>
      <c r="U995" s="3" t="s">
        <v>55</v>
      </c>
      <c r="V995" s="9"/>
      <c r="W995" s="13">
        <v>45118</v>
      </c>
      <c r="X995" s="7">
        <v>7</v>
      </c>
      <c r="Y995" s="7">
        <v>1</v>
      </c>
      <c r="Z995" s="7">
        <v>4</v>
      </c>
      <c r="AA995" s="7">
        <f>INT((S995-DATE(YEAR(S995-WEEKDAY(S995-0)+4),1,4)+WEEKDAY(DATE(YEAR(S995-WEEKDAY(S995-0)+4),1,4))+6)/7)</f>
        <v>14</v>
      </c>
      <c r="AB995" s="3" t="s">
        <v>1187</v>
      </c>
      <c r="AC995" s="7">
        <v>756</v>
      </c>
      <c r="AD995" s="7">
        <v>0</v>
      </c>
      <c r="AE995" s="7">
        <v>1</v>
      </c>
      <c r="AF995" s="3" t="s">
        <v>48</v>
      </c>
      <c r="AG995" s="7">
        <v>2023</v>
      </c>
      <c r="AH995" s="3" t="s">
        <v>532</v>
      </c>
      <c r="AI995" s="3" t="s">
        <v>166</v>
      </c>
      <c r="AJ995" s="3" t="s">
        <v>78</v>
      </c>
      <c r="AK995" s="3" t="s">
        <v>257</v>
      </c>
      <c r="AL995" s="3" t="s">
        <v>59</v>
      </c>
      <c r="AM995" s="3" t="s">
        <v>60</v>
      </c>
      <c r="AN995" s="3" t="s">
        <v>61</v>
      </c>
      <c r="AO995" s="3" t="s">
        <v>62</v>
      </c>
      <c r="AP995" s="3" t="s">
        <v>61</v>
      </c>
      <c r="AQ995" s="3" t="s">
        <v>61</v>
      </c>
      <c r="AR995" s="3" t="s">
        <v>48</v>
      </c>
    </row>
    <row r="996" spans="1:44" ht="30" customHeight="1">
      <c r="A996" s="3" t="s">
        <v>44</v>
      </c>
      <c r="B996" s="3" t="s">
        <v>45</v>
      </c>
      <c r="C996" s="3" t="s">
        <v>46</v>
      </c>
      <c r="D996" s="3" t="s">
        <v>186</v>
      </c>
      <c r="E996" s="3" t="s">
        <v>48</v>
      </c>
      <c r="F996" s="3" t="s">
        <v>271</v>
      </c>
      <c r="G996" s="3" t="s">
        <v>1188</v>
      </c>
      <c r="H996" s="4">
        <f>IF(DATEDIF(L996,S996,"m")&gt;12,DATEDIF(L996,S996,"y"),(DATEDIF(L996,S996,"m")/12))</f>
        <v>2</v>
      </c>
      <c r="I996" s="7">
        <f>DATEDIF(L996,S996,"M")</f>
        <v>26</v>
      </c>
      <c r="J996" s="7">
        <f>DATEDIF(L996,S996,"D")</f>
        <v>805</v>
      </c>
      <c r="K996" s="3" t="s">
        <v>51</v>
      </c>
      <c r="L996" s="8">
        <v>44129</v>
      </c>
      <c r="M996" s="3" t="s">
        <v>45</v>
      </c>
      <c r="N996" s="3" t="s">
        <v>187</v>
      </c>
      <c r="O996" s="3" t="s">
        <v>52</v>
      </c>
      <c r="P996" s="3" t="s">
        <v>1189</v>
      </c>
      <c r="Q996" s="7">
        <v>0</v>
      </c>
      <c r="R996" s="8">
        <v>44938</v>
      </c>
      <c r="S996" s="8">
        <v>44934</v>
      </c>
      <c r="T996" s="3" t="s">
        <v>54</v>
      </c>
      <c r="U996" s="3" t="s">
        <v>55</v>
      </c>
      <c r="V996" s="9"/>
      <c r="W996" s="13">
        <v>45118</v>
      </c>
      <c r="X996" s="7">
        <v>4</v>
      </c>
      <c r="Y996" s="7">
        <v>4</v>
      </c>
      <c r="Z996" s="7">
        <v>1</v>
      </c>
      <c r="AA996" s="7">
        <f>INT((S996-DATE(YEAR(S996-WEEKDAY(S996-0)+4),1,4)+WEEKDAY(DATE(YEAR(S996-WEEKDAY(S996-0)+4),1,4))+6)/7)</f>
        <v>2</v>
      </c>
      <c r="AB996" s="3" t="s">
        <v>1190</v>
      </c>
      <c r="AC996" s="7">
        <v>87</v>
      </c>
      <c r="AD996" s="7">
        <v>0</v>
      </c>
      <c r="AE996" s="7">
        <v>0</v>
      </c>
      <c r="AF996" s="3" t="s">
        <v>48</v>
      </c>
      <c r="AG996" s="7">
        <v>2023</v>
      </c>
      <c r="AH996" s="3" t="s">
        <v>276</v>
      </c>
      <c r="AI996" s="3" t="s">
        <v>191</v>
      </c>
      <c r="AJ996" s="3" t="s">
        <v>186</v>
      </c>
      <c r="AK996" s="3" t="s">
        <v>505</v>
      </c>
      <c r="AL996" s="3" t="s">
        <v>59</v>
      </c>
      <c r="AM996" s="3" t="s">
        <v>60</v>
      </c>
      <c r="AN996" s="3" t="s">
        <v>61</v>
      </c>
      <c r="AO996" s="3" t="s">
        <v>62</v>
      </c>
      <c r="AP996" s="3" t="s">
        <v>69</v>
      </c>
      <c r="AQ996" s="3" t="s">
        <v>61</v>
      </c>
      <c r="AR996" s="3" t="s">
        <v>48</v>
      </c>
    </row>
    <row r="997" spans="1:44" ht="30" customHeight="1">
      <c r="A997" s="3" t="s">
        <v>44</v>
      </c>
      <c r="B997" s="3" t="s">
        <v>45</v>
      </c>
      <c r="C997" s="3" t="s">
        <v>46</v>
      </c>
      <c r="D997" s="3" t="s">
        <v>70</v>
      </c>
      <c r="E997" s="3" t="s">
        <v>48</v>
      </c>
      <c r="F997" s="3" t="s">
        <v>71</v>
      </c>
      <c r="G997" s="3" t="s">
        <v>1191</v>
      </c>
      <c r="H997" s="4">
        <f>IF(DATEDIF(L997,S997,"m")&gt;12,DATEDIF(L997,S997,"y"),(DATEDIF(L997,S997,"m")/12))</f>
        <v>4</v>
      </c>
      <c r="I997" s="7">
        <f>DATEDIF(L997,S997,"M")</f>
        <v>54</v>
      </c>
      <c r="J997" s="7">
        <f>DATEDIF(L997,S997,"D")</f>
        <v>1652</v>
      </c>
      <c r="K997" s="3" t="s">
        <v>64</v>
      </c>
      <c r="L997" s="8">
        <v>43369</v>
      </c>
      <c r="M997" s="3" t="s">
        <v>45</v>
      </c>
      <c r="N997" s="3" t="s">
        <v>329</v>
      </c>
      <c r="O997" s="3" t="s">
        <v>52</v>
      </c>
      <c r="P997" s="3" t="s">
        <v>84</v>
      </c>
      <c r="Q997" s="7">
        <v>1</v>
      </c>
      <c r="R997" s="8">
        <v>45021</v>
      </c>
      <c r="S997" s="8">
        <v>45021</v>
      </c>
      <c r="T997" s="3" t="s">
        <v>54</v>
      </c>
      <c r="U997" s="3" t="s">
        <v>55</v>
      </c>
      <c r="V997" s="9"/>
      <c r="W997" s="13">
        <v>45118</v>
      </c>
      <c r="X997" s="7">
        <v>6</v>
      </c>
      <c r="Y997" s="7">
        <v>0</v>
      </c>
      <c r="Z997" s="7">
        <v>4</v>
      </c>
      <c r="AA997" s="7">
        <f>INT((S997-DATE(YEAR(S997-WEEKDAY(S997-0)+4),1,4)+WEEKDAY(DATE(YEAR(S997-WEEKDAY(S997-0)+4),1,4))+6)/7)</f>
        <v>14</v>
      </c>
      <c r="AB997" s="3" t="s">
        <v>1192</v>
      </c>
      <c r="AC997" s="7">
        <v>755</v>
      </c>
      <c r="AD997" s="7">
        <v>0</v>
      </c>
      <c r="AE997" s="7">
        <v>1</v>
      </c>
      <c r="AF997" s="3" t="s">
        <v>48</v>
      </c>
      <c r="AG997" s="7">
        <v>2023</v>
      </c>
      <c r="AH997" s="3" t="s">
        <v>532</v>
      </c>
      <c r="AI997" s="3" t="s">
        <v>166</v>
      </c>
      <c r="AJ997" s="3" t="s">
        <v>78</v>
      </c>
      <c r="AK997" s="18" t="s">
        <v>162</v>
      </c>
      <c r="AL997" s="3" t="s">
        <v>59</v>
      </c>
      <c r="AM997" s="3" t="s">
        <v>60</v>
      </c>
      <c r="AN997" s="3" t="s">
        <v>61</v>
      </c>
      <c r="AO997" s="3" t="s">
        <v>62</v>
      </c>
      <c r="AP997" s="3" t="s">
        <v>61</v>
      </c>
      <c r="AQ997" s="3" t="s">
        <v>61</v>
      </c>
      <c r="AR997" s="3" t="s">
        <v>48</v>
      </c>
    </row>
    <row r="998" spans="1:44" ht="30" customHeight="1">
      <c r="A998" s="3" t="s">
        <v>44</v>
      </c>
      <c r="B998" s="3" t="s">
        <v>45</v>
      </c>
      <c r="C998" s="18" t="s">
        <v>46</v>
      </c>
      <c r="D998" s="18" t="s">
        <v>186</v>
      </c>
      <c r="E998" s="18" t="s">
        <v>48</v>
      </c>
      <c r="F998" s="18" t="s">
        <v>271</v>
      </c>
      <c r="G998" s="18" t="s">
        <v>1193</v>
      </c>
      <c r="H998" s="5">
        <f>IF(DATEDIF(L998,S998,"m")&gt;12,DATEDIF(L998,S998,"y"),(DATEDIF(L998,S998,"m")/12))</f>
        <v>0.25</v>
      </c>
      <c r="I998" s="7">
        <f>DATEDIF(L998,S998,"M")</f>
        <v>3</v>
      </c>
      <c r="J998" s="7">
        <f>DATEDIF(L998,S998,"D")</f>
        <v>108</v>
      </c>
      <c r="K998" s="18" t="s">
        <v>51</v>
      </c>
      <c r="L998" s="8">
        <v>44865</v>
      </c>
      <c r="M998" s="3" t="s">
        <v>45</v>
      </c>
      <c r="N998" s="18" t="s">
        <v>187</v>
      </c>
      <c r="O998" s="18" t="s">
        <v>52</v>
      </c>
      <c r="P998" s="18" t="s">
        <v>808</v>
      </c>
      <c r="Q998" s="23">
        <v>0</v>
      </c>
      <c r="R998" s="8">
        <v>44976</v>
      </c>
      <c r="S998" s="8">
        <v>44973</v>
      </c>
      <c r="T998" s="3" t="s">
        <v>54</v>
      </c>
      <c r="U998" s="3" t="s">
        <v>55</v>
      </c>
      <c r="V998" s="9"/>
      <c r="W998" s="1">
        <v>45118</v>
      </c>
      <c r="X998" s="23">
        <v>8</v>
      </c>
      <c r="Y998" s="23">
        <v>3</v>
      </c>
      <c r="Z998" s="23">
        <v>2</v>
      </c>
      <c r="AA998" s="7">
        <f>INT((S998-DATE(YEAR(S998-WEEKDAY(S998-0)+4),1,4)+WEEKDAY(DATE(YEAR(S998-WEEKDAY(S998-0)+4),1,4))+6)/7)</f>
        <v>7</v>
      </c>
      <c r="AB998" s="18" t="s">
        <v>1194</v>
      </c>
      <c r="AC998" s="23">
        <v>117</v>
      </c>
      <c r="AD998" s="23">
        <v>0</v>
      </c>
      <c r="AE998" s="23">
        <v>0</v>
      </c>
      <c r="AF998" s="18" t="s">
        <v>48</v>
      </c>
      <c r="AG998" s="7">
        <v>2023</v>
      </c>
      <c r="AH998" s="18" t="s">
        <v>276</v>
      </c>
      <c r="AI998" s="18" t="s">
        <v>191</v>
      </c>
      <c r="AJ998" s="18" t="s">
        <v>186</v>
      </c>
      <c r="AK998" s="18" t="s">
        <v>822</v>
      </c>
      <c r="AL998" s="3" t="s">
        <v>59</v>
      </c>
      <c r="AM998" s="18" t="s">
        <v>60</v>
      </c>
      <c r="AN998" s="18" t="s">
        <v>61</v>
      </c>
      <c r="AO998" s="18" t="s">
        <v>62</v>
      </c>
      <c r="AP998" s="18" t="s">
        <v>69</v>
      </c>
      <c r="AQ998" s="3" t="s">
        <v>61</v>
      </c>
      <c r="AR998" s="18" t="s">
        <v>48</v>
      </c>
    </row>
    <row r="999" spans="1:44" ht="30" customHeight="1">
      <c r="A999" s="3" t="s">
        <v>44</v>
      </c>
      <c r="B999" s="3" t="s">
        <v>45</v>
      </c>
      <c r="C999" s="18" t="s">
        <v>46</v>
      </c>
      <c r="D999" s="18" t="s">
        <v>47</v>
      </c>
      <c r="E999" s="18" t="s">
        <v>48</v>
      </c>
      <c r="F999" s="18" t="s">
        <v>49</v>
      </c>
      <c r="G999" s="18" t="s">
        <v>1195</v>
      </c>
      <c r="H999" s="4">
        <f>IF(DATEDIF(L999,S999,"m")&gt;12,DATEDIF(L999,S999,"y"),(DATEDIF(L999,S999,"m")/12))</f>
        <v>1</v>
      </c>
      <c r="I999" s="7">
        <f>DATEDIF(L999,S999,"M")</f>
        <v>13</v>
      </c>
      <c r="J999" s="7">
        <f>DATEDIF(L999,S999,"D")</f>
        <v>408</v>
      </c>
      <c r="K999" s="18" t="s">
        <v>64</v>
      </c>
      <c r="L999" s="8">
        <v>44589</v>
      </c>
      <c r="M999" s="3" t="s">
        <v>45</v>
      </c>
      <c r="N999" s="18" t="s">
        <v>49</v>
      </c>
      <c r="O999" s="18" t="s">
        <v>52</v>
      </c>
      <c r="P999" s="18" t="s">
        <v>137</v>
      </c>
      <c r="Q999" s="23">
        <v>0</v>
      </c>
      <c r="R999" s="8">
        <v>45002</v>
      </c>
      <c r="S999" s="8">
        <v>44997</v>
      </c>
      <c r="T999" s="3" t="s">
        <v>54</v>
      </c>
      <c r="U999" s="3" t="s">
        <v>55</v>
      </c>
      <c r="V999" s="9"/>
      <c r="W999" s="1">
        <v>45118</v>
      </c>
      <c r="X999" s="23">
        <v>3</v>
      </c>
      <c r="Y999" s="23">
        <v>5</v>
      </c>
      <c r="Z999" s="23">
        <v>3</v>
      </c>
      <c r="AA999" s="7">
        <f>INT((S999-DATE(YEAR(S999-WEEKDAY(S999-0)+4),1,4)+WEEKDAY(DATE(YEAR(S999-WEEKDAY(S999-0)+4),1,4))+6)/7)</f>
        <v>11</v>
      </c>
      <c r="AB999" s="18" t="s">
        <v>1196</v>
      </c>
      <c r="AC999" s="23">
        <v>135</v>
      </c>
      <c r="AD999" s="23">
        <v>0</v>
      </c>
      <c r="AE999" s="23">
        <v>0</v>
      </c>
      <c r="AF999" s="18" t="s">
        <v>48</v>
      </c>
      <c r="AG999" s="7">
        <v>2023</v>
      </c>
      <c r="AH999" s="18" t="s">
        <v>57</v>
      </c>
      <c r="AI999" s="18" t="s">
        <v>48</v>
      </c>
      <c r="AJ999" s="18" t="s">
        <v>48</v>
      </c>
      <c r="AK999" s="18" t="s">
        <v>779</v>
      </c>
      <c r="AL999" s="3" t="s">
        <v>59</v>
      </c>
      <c r="AM999" s="18" t="s">
        <v>60</v>
      </c>
      <c r="AN999" s="18" t="s">
        <v>61</v>
      </c>
      <c r="AO999" s="18" t="s">
        <v>62</v>
      </c>
      <c r="AP999" s="18" t="s">
        <v>69</v>
      </c>
      <c r="AQ999" s="3" t="s">
        <v>61</v>
      </c>
      <c r="AR999" s="18" t="s">
        <v>48</v>
      </c>
    </row>
    <row r="1000" spans="1:44" ht="30" customHeight="1">
      <c r="A1000" s="3" t="s">
        <v>44</v>
      </c>
      <c r="B1000" s="3" t="s">
        <v>45</v>
      </c>
      <c r="C1000" s="18" t="s">
        <v>80</v>
      </c>
      <c r="D1000" s="18" t="s">
        <v>81</v>
      </c>
      <c r="E1000" s="18" t="s">
        <v>48</v>
      </c>
      <c r="F1000" s="18" t="s">
        <v>81</v>
      </c>
      <c r="G1000" s="18" t="s">
        <v>1197</v>
      </c>
      <c r="H1000" s="4">
        <f>IF(DATEDIF(L1000,S1000,"m")&gt;12,DATEDIF(L1000,S1000,"y"),(DATEDIF(L1000,S1000,"m")/12))</f>
        <v>63</v>
      </c>
      <c r="I1000" s="7">
        <f>DATEDIF(L1000,S1000,"M")</f>
        <v>766</v>
      </c>
      <c r="J1000" s="7">
        <f>DATEDIF(L1000,S1000,"D")</f>
        <v>23347</v>
      </c>
      <c r="K1000" s="18" t="s">
        <v>51</v>
      </c>
      <c r="L1000" s="8">
        <v>21637</v>
      </c>
      <c r="M1000" s="3" t="s">
        <v>45</v>
      </c>
      <c r="N1000" s="18" t="s">
        <v>65</v>
      </c>
      <c r="O1000" s="18" t="s">
        <v>52</v>
      </c>
      <c r="P1000" s="18" t="s">
        <v>91</v>
      </c>
      <c r="Q1000" s="23">
        <v>1</v>
      </c>
      <c r="R1000" s="8">
        <v>44985</v>
      </c>
      <c r="S1000" s="8">
        <v>44984</v>
      </c>
      <c r="T1000" s="3" t="s">
        <v>54</v>
      </c>
      <c r="U1000" s="3" t="s">
        <v>55</v>
      </c>
      <c r="V1000" s="9"/>
      <c r="W1000" s="1">
        <v>45118</v>
      </c>
      <c r="X1000" s="23">
        <v>3</v>
      </c>
      <c r="Y1000" s="23">
        <v>1</v>
      </c>
      <c r="Z1000" s="23">
        <v>2</v>
      </c>
      <c r="AA1000" s="7">
        <f>INT((S1000-DATE(YEAR(S1000-WEEKDAY(S1000-0)+4),1,4)+WEEKDAY(DATE(YEAR(S1000-WEEKDAY(S1000-0)+4),1,4))+6)/7)</f>
        <v>9</v>
      </c>
      <c r="AB1000" s="18" t="s">
        <v>1198</v>
      </c>
      <c r="AC1000" s="23">
        <v>14038</v>
      </c>
      <c r="AD1000" s="23">
        <v>0</v>
      </c>
      <c r="AE1000" s="23">
        <v>0</v>
      </c>
      <c r="AF1000" s="18" t="s">
        <v>48</v>
      </c>
      <c r="AG1000" s="7">
        <v>2023</v>
      </c>
      <c r="AH1000" s="18" t="s">
        <v>86</v>
      </c>
      <c r="AI1000" s="18" t="s">
        <v>48</v>
      </c>
      <c r="AJ1000" s="18" t="s">
        <v>48</v>
      </c>
      <c r="AK1000" s="18" t="s">
        <v>704</v>
      </c>
      <c r="AL1000" s="3" t="s">
        <v>59</v>
      </c>
      <c r="AM1000" s="18" t="s">
        <v>60</v>
      </c>
      <c r="AN1000" s="18" t="s">
        <v>69</v>
      </c>
      <c r="AO1000" s="18" t="s">
        <v>62</v>
      </c>
      <c r="AP1000" s="18" t="s">
        <v>69</v>
      </c>
      <c r="AQ1000" s="3" t="s">
        <v>61</v>
      </c>
      <c r="AR1000" s="18" t="s">
        <v>48</v>
      </c>
    </row>
    <row r="1001" spans="1:44" ht="30" customHeight="1">
      <c r="A1001" s="3" t="s">
        <v>44</v>
      </c>
      <c r="B1001" s="3" t="s">
        <v>45</v>
      </c>
      <c r="C1001" s="18" t="s">
        <v>46</v>
      </c>
      <c r="D1001" s="18" t="s">
        <v>186</v>
      </c>
      <c r="E1001" s="18" t="s">
        <v>48</v>
      </c>
      <c r="F1001" s="18" t="s">
        <v>271</v>
      </c>
      <c r="G1001" s="18" t="s">
        <v>1199</v>
      </c>
      <c r="H1001" s="5">
        <f>IF(DATEDIF(L1001,S1001,"m")&gt;12,DATEDIF(L1001,S1001,"y"),(DATEDIF(L1001,S1001,"m")/12))</f>
        <v>0.16666666666666666</v>
      </c>
      <c r="I1001" s="7">
        <f>DATEDIF(L1001,S1001,"M")</f>
        <v>2</v>
      </c>
      <c r="J1001" s="7">
        <f>DATEDIF(L1001,S1001,"D")</f>
        <v>62</v>
      </c>
      <c r="K1001" s="18" t="s">
        <v>51</v>
      </c>
      <c r="L1001" s="8">
        <v>44867</v>
      </c>
      <c r="M1001" s="3" t="s">
        <v>45</v>
      </c>
      <c r="N1001" s="18" t="s">
        <v>187</v>
      </c>
      <c r="O1001" s="18" t="s">
        <v>52</v>
      </c>
      <c r="P1001" s="18" t="s">
        <v>1200</v>
      </c>
      <c r="Q1001" s="23">
        <v>0</v>
      </c>
      <c r="R1001" s="8">
        <v>44933</v>
      </c>
      <c r="S1001" s="8">
        <v>44929</v>
      </c>
      <c r="T1001" s="3" t="s">
        <v>54</v>
      </c>
      <c r="U1001" s="3" t="s">
        <v>55</v>
      </c>
      <c r="V1001" s="9"/>
      <c r="W1001" s="1">
        <v>45118</v>
      </c>
      <c r="X1001" s="23">
        <v>2</v>
      </c>
      <c r="Y1001" s="23">
        <v>4</v>
      </c>
      <c r="Z1001" s="23">
        <v>1</v>
      </c>
      <c r="AA1001" s="7">
        <f>INT((S1001-DATE(YEAR(S1001-WEEKDAY(S1001-0)+4),1,4)+WEEKDAY(DATE(YEAR(S1001-WEEKDAY(S1001-0)+4),1,4))+6)/7)</f>
        <v>1</v>
      </c>
      <c r="AB1001" s="18" t="s">
        <v>1201</v>
      </c>
      <c r="AC1001" s="23">
        <v>79</v>
      </c>
      <c r="AD1001" s="23">
        <v>0</v>
      </c>
      <c r="AE1001" s="23">
        <v>0</v>
      </c>
      <c r="AF1001" s="18" t="s">
        <v>48</v>
      </c>
      <c r="AG1001" s="7">
        <v>2023</v>
      </c>
      <c r="AH1001" s="18" t="s">
        <v>276</v>
      </c>
      <c r="AI1001" s="18" t="s">
        <v>191</v>
      </c>
      <c r="AJ1001" s="18" t="s">
        <v>186</v>
      </c>
      <c r="AK1001" s="18" t="s">
        <v>725</v>
      </c>
      <c r="AL1001" s="3" t="s">
        <v>59</v>
      </c>
      <c r="AM1001" s="18" t="s">
        <v>60</v>
      </c>
      <c r="AN1001" s="18" t="s">
        <v>61</v>
      </c>
      <c r="AO1001" s="18" t="s">
        <v>62</v>
      </c>
      <c r="AP1001" s="18" t="s">
        <v>69</v>
      </c>
      <c r="AQ1001" s="3" t="s">
        <v>61</v>
      </c>
      <c r="AR1001" s="18" t="s">
        <v>48</v>
      </c>
    </row>
    <row r="1002" spans="1:44" ht="30" customHeight="1">
      <c r="A1002" s="3" t="s">
        <v>44</v>
      </c>
      <c r="B1002" s="3" t="s">
        <v>45</v>
      </c>
      <c r="C1002" s="18" t="s">
        <v>46</v>
      </c>
      <c r="D1002" s="18" t="s">
        <v>186</v>
      </c>
      <c r="E1002" s="18" t="s">
        <v>48</v>
      </c>
      <c r="F1002" s="18" t="s">
        <v>271</v>
      </c>
      <c r="G1002" s="18" t="s">
        <v>1255</v>
      </c>
      <c r="H1002" s="4">
        <f>IF(DATEDIF(L1002,S1002,"m")&gt;12,DATEDIF(L1002,S1002,"y"),(DATEDIF(L1002,S1002,"m")/12))</f>
        <v>62</v>
      </c>
      <c r="I1002" s="7">
        <f>DATEDIF(L1002,S1002,"M")</f>
        <v>747</v>
      </c>
      <c r="J1002" s="7">
        <f>DATEDIF(L1002,S1002,"D")</f>
        <v>22754</v>
      </c>
      <c r="K1002" s="18" t="s">
        <v>51</v>
      </c>
      <c r="L1002" s="8">
        <v>22249</v>
      </c>
      <c r="M1002" s="3" t="s">
        <v>45</v>
      </c>
      <c r="N1002" s="18" t="s">
        <v>187</v>
      </c>
      <c r="O1002" s="18" t="s">
        <v>52</v>
      </c>
      <c r="P1002" s="18" t="s">
        <v>1256</v>
      </c>
      <c r="Q1002" s="23">
        <v>1</v>
      </c>
      <c r="R1002" s="8">
        <v>45004</v>
      </c>
      <c r="S1002" s="8">
        <v>45003</v>
      </c>
      <c r="T1002" s="3" t="s">
        <v>274</v>
      </c>
      <c r="U1002" s="3" t="s">
        <v>55</v>
      </c>
      <c r="V1002" s="9"/>
      <c r="W1002" s="1">
        <v>45118</v>
      </c>
      <c r="X1002" s="23">
        <v>8</v>
      </c>
      <c r="Y1002" s="23">
        <v>1</v>
      </c>
      <c r="Z1002" s="23">
        <v>3</v>
      </c>
      <c r="AA1002" s="7">
        <f>INT((S1002-DATE(YEAR(S1002-WEEKDAY(S1002-0)+4),1,4)+WEEKDAY(DATE(YEAR(S1002-WEEKDAY(S1002-0)+4),1,4))+6)/7)</f>
        <v>11</v>
      </c>
      <c r="AB1002" s="18" t="s">
        <v>1257</v>
      </c>
      <c r="AC1002" s="23">
        <v>142</v>
      </c>
      <c r="AD1002" s="23">
        <v>0</v>
      </c>
      <c r="AE1002" s="23">
        <v>0</v>
      </c>
      <c r="AF1002" s="18" t="s">
        <v>48</v>
      </c>
      <c r="AG1002" s="7">
        <v>2023</v>
      </c>
      <c r="AH1002" s="18" t="s">
        <v>276</v>
      </c>
      <c r="AI1002" s="18" t="s">
        <v>191</v>
      </c>
      <c r="AJ1002" s="18" t="s">
        <v>186</v>
      </c>
      <c r="AK1002" s="18" t="s">
        <v>817</v>
      </c>
      <c r="AL1002" s="3" t="s">
        <v>278</v>
      </c>
      <c r="AM1002" s="18" t="s">
        <v>60</v>
      </c>
      <c r="AN1002" s="18" t="s">
        <v>61</v>
      </c>
      <c r="AO1002" s="18" t="s">
        <v>279</v>
      </c>
      <c r="AP1002" s="18" t="s">
        <v>69</v>
      </c>
      <c r="AQ1002" s="3" t="s">
        <v>61</v>
      </c>
      <c r="AR1002" s="18" t="s">
        <v>48</v>
      </c>
    </row>
    <row r="1003" spans="1:44" ht="30" customHeight="1">
      <c r="A1003" s="3" t="s">
        <v>44</v>
      </c>
      <c r="B1003" s="3" t="s">
        <v>45</v>
      </c>
      <c r="C1003" s="18" t="s">
        <v>46</v>
      </c>
      <c r="D1003" s="18" t="s">
        <v>1261</v>
      </c>
      <c r="E1003" s="18" t="s">
        <v>48</v>
      </c>
      <c r="F1003" s="18" t="s">
        <v>1261</v>
      </c>
      <c r="G1003" s="18" t="s">
        <v>1262</v>
      </c>
      <c r="H1003" s="4">
        <f>IF(DATEDIF(L1003,S1003,"m")&gt;12,DATEDIF(L1003,S1003,"y"),(DATEDIF(L1003,S1003,"m")/12))</f>
        <v>10</v>
      </c>
      <c r="I1003" s="7">
        <f>DATEDIF(L1003,S1003,"M")</f>
        <v>125</v>
      </c>
      <c r="J1003" s="7">
        <f>DATEDIF(L1003,S1003,"D")</f>
        <v>3821</v>
      </c>
      <c r="K1003" s="18" t="s">
        <v>51</v>
      </c>
      <c r="L1003" s="8">
        <v>41171</v>
      </c>
      <c r="M1003" s="3" t="s">
        <v>45</v>
      </c>
      <c r="N1003" s="18" t="s">
        <v>65</v>
      </c>
      <c r="O1003" s="18" t="s">
        <v>52</v>
      </c>
      <c r="P1003" s="18" t="s">
        <v>84</v>
      </c>
      <c r="Q1003" s="23">
        <v>0</v>
      </c>
      <c r="R1003" s="8">
        <v>44998</v>
      </c>
      <c r="S1003" s="8">
        <v>44992</v>
      </c>
      <c r="T1003" s="3" t="s">
        <v>54</v>
      </c>
      <c r="U1003" s="3" t="s">
        <v>55</v>
      </c>
      <c r="V1003" s="9"/>
      <c r="W1003" s="1">
        <v>45119</v>
      </c>
      <c r="X1003" s="23">
        <v>15</v>
      </c>
      <c r="Y1003" s="23">
        <v>6</v>
      </c>
      <c r="Z1003" s="23">
        <v>3</v>
      </c>
      <c r="AA1003" s="7">
        <f>INT((S1003-DATE(YEAR(S1003-WEEKDAY(S1003-0)+4),1,4)+WEEKDAY(DATE(YEAR(S1003-WEEKDAY(S1003-0)+4),1,4))+6)/7)</f>
        <v>10</v>
      </c>
      <c r="AB1003" s="18" t="s">
        <v>1263</v>
      </c>
      <c r="AC1003" s="23">
        <v>750</v>
      </c>
      <c r="AD1003" s="23">
        <v>0</v>
      </c>
      <c r="AE1003" s="23">
        <v>0</v>
      </c>
      <c r="AF1003" s="18" t="s">
        <v>48</v>
      </c>
      <c r="AG1003" s="7">
        <v>2023</v>
      </c>
      <c r="AH1003" s="18" t="s">
        <v>1264</v>
      </c>
      <c r="AI1003" s="18" t="s">
        <v>106</v>
      </c>
      <c r="AJ1003" s="18" t="s">
        <v>252</v>
      </c>
      <c r="AK1003" s="18" t="s">
        <v>282</v>
      </c>
      <c r="AL1003" s="3" t="s">
        <v>59</v>
      </c>
      <c r="AM1003" s="18" t="s">
        <v>115</v>
      </c>
      <c r="AN1003" s="18" t="s">
        <v>61</v>
      </c>
      <c r="AO1003" s="18" t="s">
        <v>62</v>
      </c>
      <c r="AP1003" s="18" t="s">
        <v>69</v>
      </c>
      <c r="AQ1003" s="3" t="s">
        <v>61</v>
      </c>
      <c r="AR1003" s="18" t="s">
        <v>48</v>
      </c>
    </row>
    <row r="1004" spans="1:44" ht="30" customHeight="1">
      <c r="A1004" s="3" t="s">
        <v>44</v>
      </c>
      <c r="B1004" s="3" t="s">
        <v>45</v>
      </c>
      <c r="G1004" t="s">
        <v>2755</v>
      </c>
      <c r="H1004" s="5">
        <f>IF(DATEDIF(L1004,S1004,"m")&gt;12,DATEDIF(L1004,S1004,"y"),(DATEDIF(L1004,S1004,"m")/12))</f>
        <v>0.91666666666666663</v>
      </c>
      <c r="I1004" s="7">
        <f>DATEDIF(L1004,S1004,"M")</f>
        <v>11</v>
      </c>
      <c r="J1004" s="7">
        <f>DATEDIF(L1004,S1004,"D")</f>
        <v>338</v>
      </c>
      <c r="K1004" t="s">
        <v>64</v>
      </c>
      <c r="L1004" s="13">
        <v>44780</v>
      </c>
      <c r="M1004" s="16" t="s">
        <v>45</v>
      </c>
      <c r="N1004" t="s">
        <v>83</v>
      </c>
      <c r="O1004" t="s">
        <v>52</v>
      </c>
      <c r="P1004" t="s">
        <v>2527</v>
      </c>
      <c r="Q1004">
        <v>0</v>
      </c>
      <c r="R1004" s="13">
        <v>45125</v>
      </c>
      <c r="S1004" s="13">
        <v>45118</v>
      </c>
      <c r="T1004" s="3" t="s">
        <v>54</v>
      </c>
      <c r="U1004" s="12" t="s">
        <v>55</v>
      </c>
      <c r="W1004" s="1">
        <v>45126</v>
      </c>
      <c r="Z1004">
        <v>7</v>
      </c>
      <c r="AA1004" s="7">
        <f>INT((S1004-DATE(YEAR(S1004-WEEKDAY(S1004-0)+4),1,4)+WEEKDAY(DATE(YEAR(S1004-WEEKDAY(S1004-0)+4),1,4))+6)/7)</f>
        <v>28</v>
      </c>
      <c r="AB1004" t="s">
        <v>2756</v>
      </c>
      <c r="AG1004" s="7">
        <v>2023</v>
      </c>
      <c r="AH1004" t="s">
        <v>482</v>
      </c>
      <c r="AK1004" t="s">
        <v>2625</v>
      </c>
      <c r="AL1004" s="3" t="s">
        <v>59</v>
      </c>
      <c r="AQ1004" s="12"/>
    </row>
    <row r="1005" spans="1:44" ht="30" customHeight="1">
      <c r="A1005" s="3" t="s">
        <v>44</v>
      </c>
      <c r="B1005" s="3" t="s">
        <v>45</v>
      </c>
      <c r="G1005" t="s">
        <v>2757</v>
      </c>
      <c r="H1005" s="4">
        <f>IF(DATEDIF(L1005,S1005,"m")&gt;12,DATEDIF(L1005,S1005,"y"),(DATEDIF(L1005,S1005,"m")/12))</f>
        <v>1</v>
      </c>
      <c r="I1005" s="7">
        <f>DATEDIF(L1005,S1005,"M")</f>
        <v>16</v>
      </c>
      <c r="J1005" s="7">
        <f>DATEDIF(L1005,S1005,"D")</f>
        <v>503</v>
      </c>
      <c r="K1005" t="s">
        <v>51</v>
      </c>
      <c r="L1005" s="13">
        <v>44616</v>
      </c>
      <c r="M1005" s="16" t="s">
        <v>45</v>
      </c>
      <c r="N1005" t="s">
        <v>83</v>
      </c>
      <c r="O1005" t="s">
        <v>52</v>
      </c>
      <c r="P1005" t="s">
        <v>2579</v>
      </c>
      <c r="Q1005">
        <v>0</v>
      </c>
      <c r="R1005" s="13">
        <v>45125</v>
      </c>
      <c r="S1005" s="13">
        <v>45119</v>
      </c>
      <c r="T1005" s="3" t="s">
        <v>54</v>
      </c>
      <c r="U1005" s="12" t="s">
        <v>55</v>
      </c>
      <c r="W1005" s="1">
        <v>45126</v>
      </c>
      <c r="Z1005">
        <v>7</v>
      </c>
      <c r="AA1005" s="7">
        <f>INT((S1005-DATE(YEAR(S1005-WEEKDAY(S1005-0)+4),1,4)+WEEKDAY(DATE(YEAR(S1005-WEEKDAY(S1005-0)+4),1,4))+6)/7)</f>
        <v>28</v>
      </c>
      <c r="AB1005" t="s">
        <v>2758</v>
      </c>
      <c r="AG1005" s="7">
        <v>2023</v>
      </c>
      <c r="AH1005" t="s">
        <v>482</v>
      </c>
      <c r="AK1005" t="s">
        <v>140</v>
      </c>
      <c r="AL1005" s="3" t="s">
        <v>59</v>
      </c>
      <c r="AQ1005" s="12"/>
    </row>
    <row r="1006" spans="1:44" ht="30" customHeight="1">
      <c r="A1006" s="3" t="s">
        <v>44</v>
      </c>
      <c r="B1006" s="3" t="s">
        <v>45</v>
      </c>
      <c r="G1006" t="s">
        <v>2759</v>
      </c>
      <c r="H1006" s="4">
        <f>IF(DATEDIF(L1006,S1006,"m")&gt;12,DATEDIF(L1006,S1006,"y"),(DATEDIF(L1006,S1006,"m")/12))</f>
        <v>8</v>
      </c>
      <c r="I1006" s="7">
        <f>DATEDIF(L1006,S1006,"M")</f>
        <v>101</v>
      </c>
      <c r="J1006" s="7">
        <f>DATEDIF(L1006,S1006,"D")</f>
        <v>3083</v>
      </c>
      <c r="K1006" t="s">
        <v>64</v>
      </c>
      <c r="L1006" s="13">
        <v>42036</v>
      </c>
      <c r="M1006" s="16" t="s">
        <v>45</v>
      </c>
      <c r="N1006" t="s">
        <v>83</v>
      </c>
      <c r="O1006" t="s">
        <v>52</v>
      </c>
      <c r="P1006" t="s">
        <v>2598</v>
      </c>
      <c r="Q1006">
        <v>0</v>
      </c>
      <c r="R1006" s="13">
        <v>45124</v>
      </c>
      <c r="S1006" s="13">
        <v>45119</v>
      </c>
      <c r="T1006" s="3" t="s">
        <v>54</v>
      </c>
      <c r="U1006" s="12" t="s">
        <v>55</v>
      </c>
      <c r="W1006" s="1">
        <v>45126</v>
      </c>
      <c r="Z1006">
        <v>7</v>
      </c>
      <c r="AA1006" s="7">
        <f>INT((S1006-DATE(YEAR(S1006-WEEKDAY(S1006-0)+4),1,4)+WEEKDAY(DATE(YEAR(S1006-WEEKDAY(S1006-0)+4),1,4))+6)/7)</f>
        <v>28</v>
      </c>
      <c r="AB1006" t="s">
        <v>2760</v>
      </c>
      <c r="AG1006" s="7">
        <v>2023</v>
      </c>
      <c r="AH1006" t="s">
        <v>482</v>
      </c>
      <c r="AK1006" t="s">
        <v>2684</v>
      </c>
      <c r="AL1006" s="3" t="s">
        <v>59</v>
      </c>
      <c r="AQ1006" s="12"/>
    </row>
    <row r="1007" spans="1:44" ht="30" customHeight="1">
      <c r="A1007" s="3" t="s">
        <v>44</v>
      </c>
      <c r="B1007" s="3" t="s">
        <v>45</v>
      </c>
      <c r="G1007" t="s">
        <v>2761</v>
      </c>
      <c r="H1007" s="4">
        <f>IF(DATEDIF(L1007,S1007,"m")&gt;12,DATEDIF(L1007,S1007,"y"),(DATEDIF(L1007,S1007,"m")/12))</f>
        <v>7</v>
      </c>
      <c r="I1007" s="7">
        <f>DATEDIF(L1007,S1007,"M")</f>
        <v>91</v>
      </c>
      <c r="J1007" s="7">
        <f>DATEDIF(L1007,S1007,"D")</f>
        <v>2776</v>
      </c>
      <c r="K1007" t="s">
        <v>51</v>
      </c>
      <c r="L1007" s="13">
        <v>42346</v>
      </c>
      <c r="M1007" s="16" t="s">
        <v>45</v>
      </c>
      <c r="N1007" t="s">
        <v>83</v>
      </c>
      <c r="O1007" t="s">
        <v>52</v>
      </c>
      <c r="P1007" t="s">
        <v>2521</v>
      </c>
      <c r="Q1007">
        <v>0</v>
      </c>
      <c r="R1007" s="13">
        <v>45124</v>
      </c>
      <c r="S1007" s="13">
        <v>45122</v>
      </c>
      <c r="T1007" s="3" t="s">
        <v>54</v>
      </c>
      <c r="U1007" s="12" t="s">
        <v>55</v>
      </c>
      <c r="W1007" s="1">
        <v>45126</v>
      </c>
      <c r="Z1007">
        <v>7</v>
      </c>
      <c r="AA1007" s="7">
        <f>INT((S1007-DATE(YEAR(S1007-WEEKDAY(S1007-0)+4),1,4)+WEEKDAY(DATE(YEAR(S1007-WEEKDAY(S1007-0)+4),1,4))+6)/7)</f>
        <v>28</v>
      </c>
      <c r="AB1007" t="s">
        <v>2762</v>
      </c>
      <c r="AG1007" s="7">
        <v>2023</v>
      </c>
      <c r="AH1007" t="s">
        <v>482</v>
      </c>
      <c r="AK1007" t="s">
        <v>2556</v>
      </c>
      <c r="AL1007" s="3" t="s">
        <v>59</v>
      </c>
      <c r="AQ1007" s="12"/>
    </row>
    <row r="1008" spans="1:44" ht="30" customHeight="1">
      <c r="A1008" s="3" t="s">
        <v>44</v>
      </c>
      <c r="B1008" s="3" t="s">
        <v>45</v>
      </c>
      <c r="G1008" t="s">
        <v>2763</v>
      </c>
      <c r="H1008" s="4">
        <f>IF(DATEDIF(L1008,S1008,"m")&gt;12,DATEDIF(L1008,S1008,"y"),(DATEDIF(L1008,S1008,"m")/12))</f>
        <v>7</v>
      </c>
      <c r="I1008" s="7">
        <f>DATEDIF(L1008,S1008,"M")</f>
        <v>93</v>
      </c>
      <c r="J1008" s="7">
        <f>DATEDIF(L1008,S1008,"D")</f>
        <v>2850</v>
      </c>
      <c r="K1008" t="s">
        <v>51</v>
      </c>
      <c r="L1008" s="13">
        <v>42266</v>
      </c>
      <c r="M1008" s="16" t="s">
        <v>45</v>
      </c>
      <c r="N1008" t="s">
        <v>83</v>
      </c>
      <c r="O1008" t="s">
        <v>52</v>
      </c>
      <c r="P1008" t="s">
        <v>2527</v>
      </c>
      <c r="Q1008">
        <v>0</v>
      </c>
      <c r="R1008" s="13">
        <v>45124</v>
      </c>
      <c r="S1008" s="13">
        <v>45116</v>
      </c>
      <c r="T1008" s="3" t="s">
        <v>54</v>
      </c>
      <c r="U1008" s="12" t="s">
        <v>55</v>
      </c>
      <c r="W1008" s="1">
        <v>45126</v>
      </c>
      <c r="Z1008">
        <v>7</v>
      </c>
      <c r="AA1008" s="7">
        <f>INT((S1008-DATE(YEAR(S1008-WEEKDAY(S1008-0)+4),1,4)+WEEKDAY(DATE(YEAR(S1008-WEEKDAY(S1008-0)+4),1,4))+6)/7)</f>
        <v>28</v>
      </c>
      <c r="AB1008" t="s">
        <v>2764</v>
      </c>
      <c r="AG1008" s="7">
        <v>2023</v>
      </c>
      <c r="AH1008" t="s">
        <v>482</v>
      </c>
      <c r="AK1008" t="s">
        <v>2625</v>
      </c>
      <c r="AL1008" s="3" t="s">
        <v>59</v>
      </c>
      <c r="AQ1008" s="12"/>
    </row>
    <row r="1009" spans="1:43" ht="30" customHeight="1">
      <c r="A1009" s="3" t="s">
        <v>44</v>
      </c>
      <c r="B1009" s="3" t="s">
        <v>45</v>
      </c>
      <c r="G1009" t="s">
        <v>2765</v>
      </c>
      <c r="H1009" s="5">
        <f>IF(DATEDIF(L1009,S1009,"m")&gt;12,DATEDIF(L1009,S1009,"y"),(DATEDIF(L1009,S1009,"m")/12))</f>
        <v>0.66666666666666663</v>
      </c>
      <c r="I1009" s="7">
        <f>DATEDIF(L1009,S1009,"M")</f>
        <v>8</v>
      </c>
      <c r="J1009" s="7">
        <f>DATEDIF(L1009,S1009,"D")</f>
        <v>251</v>
      </c>
      <c r="K1009" t="s">
        <v>51</v>
      </c>
      <c r="L1009" s="13">
        <v>44871</v>
      </c>
      <c r="M1009" s="16" t="s">
        <v>45</v>
      </c>
      <c r="N1009" t="s">
        <v>83</v>
      </c>
      <c r="O1009" t="s">
        <v>52</v>
      </c>
      <c r="P1009" t="s">
        <v>2518</v>
      </c>
      <c r="Q1009">
        <v>0</v>
      </c>
      <c r="R1009" s="13">
        <v>45124</v>
      </c>
      <c r="S1009" s="13">
        <v>45122</v>
      </c>
      <c r="T1009" s="3" t="s">
        <v>54</v>
      </c>
      <c r="U1009" s="12" t="s">
        <v>55</v>
      </c>
      <c r="W1009" s="1">
        <v>45126</v>
      </c>
      <c r="Z1009">
        <v>7</v>
      </c>
      <c r="AA1009" s="7">
        <f>INT((S1009-DATE(YEAR(S1009-WEEKDAY(S1009-0)+4),1,4)+WEEKDAY(DATE(YEAR(S1009-WEEKDAY(S1009-0)+4),1,4))+6)/7)</f>
        <v>28</v>
      </c>
      <c r="AB1009" t="s">
        <v>2766</v>
      </c>
      <c r="AG1009" s="7">
        <v>2023</v>
      </c>
      <c r="AH1009" t="s">
        <v>482</v>
      </c>
      <c r="AK1009" t="s">
        <v>140</v>
      </c>
      <c r="AL1009" s="3" t="s">
        <v>59</v>
      </c>
      <c r="AQ1009" s="12"/>
    </row>
    <row r="1010" spans="1:43" ht="30" customHeight="1">
      <c r="A1010" s="3" t="s">
        <v>44</v>
      </c>
      <c r="B1010" s="3" t="s">
        <v>45</v>
      </c>
      <c r="G1010" t="s">
        <v>2767</v>
      </c>
      <c r="H1010" s="5">
        <f>IF(DATEDIF(L1010,S1010,"m")&gt;12,DATEDIF(L1010,S1010,"y"),(DATEDIF(L1010,S1010,"m")/12))</f>
        <v>0.5</v>
      </c>
      <c r="I1010" s="7">
        <f>DATEDIF(L1010,S1010,"M")</f>
        <v>6</v>
      </c>
      <c r="J1010" s="7">
        <f>DATEDIF(L1010,S1010,"D")</f>
        <v>188</v>
      </c>
      <c r="K1010" t="s">
        <v>51</v>
      </c>
      <c r="L1010" s="13">
        <v>44929</v>
      </c>
      <c r="M1010" s="16" t="s">
        <v>45</v>
      </c>
      <c r="N1010" t="s">
        <v>83</v>
      </c>
      <c r="O1010" t="s">
        <v>52</v>
      </c>
      <c r="P1010" t="s">
        <v>2583</v>
      </c>
      <c r="Q1010">
        <v>0</v>
      </c>
      <c r="R1010" s="13">
        <v>45124</v>
      </c>
      <c r="S1010" s="13">
        <v>45117</v>
      </c>
      <c r="T1010" s="3" t="s">
        <v>54</v>
      </c>
      <c r="U1010" s="12" t="s">
        <v>55</v>
      </c>
      <c r="W1010" s="1">
        <v>45126</v>
      </c>
      <c r="Z1010">
        <v>7</v>
      </c>
      <c r="AA1010" s="7">
        <f>INT((S1010-DATE(YEAR(S1010-WEEKDAY(S1010-0)+4),1,4)+WEEKDAY(DATE(YEAR(S1010-WEEKDAY(S1010-0)+4),1,4))+6)/7)</f>
        <v>28</v>
      </c>
      <c r="AB1010" t="s">
        <v>2768</v>
      </c>
      <c r="AG1010" s="7">
        <v>2023</v>
      </c>
      <c r="AH1010" t="s">
        <v>482</v>
      </c>
      <c r="AK1010" t="s">
        <v>2638</v>
      </c>
      <c r="AL1010" s="3" t="s">
        <v>59</v>
      </c>
      <c r="AQ1010" s="12"/>
    </row>
    <row r="1011" spans="1:43" ht="30" customHeight="1">
      <c r="A1011" s="3" t="s">
        <v>44</v>
      </c>
      <c r="B1011" s="3" t="s">
        <v>45</v>
      </c>
      <c r="G1011" t="s">
        <v>2769</v>
      </c>
      <c r="H1011" s="4">
        <f>IF(DATEDIF(L1011,S1011,"m")&gt;12,DATEDIF(L1011,S1011,"y"),(DATEDIF(L1011,S1011,"m")/12))</f>
        <v>26</v>
      </c>
      <c r="I1011" s="7">
        <f>DATEDIF(L1011,S1011,"M")</f>
        <v>323</v>
      </c>
      <c r="J1011" s="7">
        <f>DATEDIF(L1011,S1011,"D")</f>
        <v>9860</v>
      </c>
      <c r="K1011" t="s">
        <v>64</v>
      </c>
      <c r="L1011" s="13">
        <v>35264</v>
      </c>
      <c r="M1011" s="16" t="s">
        <v>45</v>
      </c>
      <c r="N1011" t="s">
        <v>83</v>
      </c>
      <c r="O1011" t="s">
        <v>52</v>
      </c>
      <c r="P1011" t="s">
        <v>2770</v>
      </c>
      <c r="Q1011">
        <v>0</v>
      </c>
      <c r="R1011" s="13">
        <v>45124</v>
      </c>
      <c r="S1011" s="13">
        <v>45124</v>
      </c>
      <c r="T1011" s="3" t="s">
        <v>54</v>
      </c>
      <c r="U1011" s="12" t="s">
        <v>55</v>
      </c>
      <c r="W1011" s="1">
        <v>45126</v>
      </c>
      <c r="Z1011">
        <v>7</v>
      </c>
      <c r="AA1011" s="7">
        <f>INT((S1011-DATE(YEAR(S1011-WEEKDAY(S1011-0)+4),1,4)+WEEKDAY(DATE(YEAR(S1011-WEEKDAY(S1011-0)+4),1,4))+6)/7)</f>
        <v>29</v>
      </c>
      <c r="AB1011" t="s">
        <v>2771</v>
      </c>
      <c r="AG1011" s="7">
        <v>2023</v>
      </c>
      <c r="AH1011" t="s">
        <v>482</v>
      </c>
      <c r="AK1011" t="s">
        <v>2642</v>
      </c>
      <c r="AL1011" s="3" t="s">
        <v>59</v>
      </c>
      <c r="AQ1011" s="12"/>
    </row>
    <row r="1012" spans="1:43" ht="30" customHeight="1">
      <c r="A1012" s="3" t="s">
        <v>44</v>
      </c>
      <c r="B1012" s="3" t="s">
        <v>45</v>
      </c>
      <c r="G1012" t="s">
        <v>2772</v>
      </c>
      <c r="H1012" s="4">
        <f>IF(DATEDIF(L1012,S1012,"m")&gt;12,DATEDIF(L1012,S1012,"y"),(DATEDIF(L1012,S1012,"m")/12))</f>
        <v>4</v>
      </c>
      <c r="I1012" s="7">
        <f>DATEDIF(L1012,S1012,"M")</f>
        <v>53</v>
      </c>
      <c r="J1012" s="7">
        <f>DATEDIF(L1012,S1012,"D")</f>
        <v>1641</v>
      </c>
      <c r="K1012" t="s">
        <v>64</v>
      </c>
      <c r="L1012" s="13">
        <v>43481</v>
      </c>
      <c r="M1012" s="16" t="s">
        <v>45</v>
      </c>
      <c r="N1012" t="s">
        <v>83</v>
      </c>
      <c r="O1012" t="s">
        <v>52</v>
      </c>
      <c r="P1012" t="s">
        <v>2773</v>
      </c>
      <c r="Q1012">
        <v>0</v>
      </c>
      <c r="R1012" s="13">
        <v>45124</v>
      </c>
      <c r="S1012" s="13">
        <v>45122</v>
      </c>
      <c r="T1012" s="3" t="s">
        <v>54</v>
      </c>
      <c r="U1012" s="12" t="s">
        <v>55</v>
      </c>
      <c r="W1012" s="1">
        <v>45126</v>
      </c>
      <c r="Z1012">
        <v>7</v>
      </c>
      <c r="AA1012" s="7">
        <f>INT((S1012-DATE(YEAR(S1012-WEEKDAY(S1012-0)+4),1,4)+WEEKDAY(DATE(YEAR(S1012-WEEKDAY(S1012-0)+4),1,4))+6)/7)</f>
        <v>28</v>
      </c>
      <c r="AB1012" t="s">
        <v>2774</v>
      </c>
      <c r="AG1012" s="7">
        <v>2023</v>
      </c>
      <c r="AH1012" t="s">
        <v>482</v>
      </c>
      <c r="AK1012" t="s">
        <v>2642</v>
      </c>
      <c r="AL1012" s="3" t="s">
        <v>59</v>
      </c>
      <c r="AQ1012" s="12"/>
    </row>
    <row r="1013" spans="1:43" ht="30" customHeight="1">
      <c r="A1013" s="3" t="s">
        <v>44</v>
      </c>
      <c r="B1013" s="3" t="s">
        <v>45</v>
      </c>
      <c r="G1013" t="s">
        <v>2775</v>
      </c>
      <c r="H1013" s="5">
        <f>IF(DATEDIF(L1013,S1013,"m")&gt;12,DATEDIF(L1013,S1013,"y"),(DATEDIF(L1013,S1013,"m")/12))</f>
        <v>0.75</v>
      </c>
      <c r="I1013" s="7">
        <f>DATEDIF(L1013,S1013,"M")</f>
        <v>9</v>
      </c>
      <c r="J1013" s="7">
        <f>DATEDIF(L1013,S1013,"D")</f>
        <v>273</v>
      </c>
      <c r="K1013" t="s">
        <v>51</v>
      </c>
      <c r="L1013" s="13">
        <v>44846</v>
      </c>
      <c r="M1013" s="16" t="s">
        <v>45</v>
      </c>
      <c r="N1013" t="s">
        <v>83</v>
      </c>
      <c r="O1013" t="s">
        <v>52</v>
      </c>
      <c r="P1013" t="s">
        <v>2527</v>
      </c>
      <c r="Q1013">
        <v>0</v>
      </c>
      <c r="R1013" s="13">
        <v>45124</v>
      </c>
      <c r="S1013" s="13">
        <v>45119</v>
      </c>
      <c r="T1013" s="3" t="s">
        <v>54</v>
      </c>
      <c r="U1013" s="12" t="s">
        <v>55</v>
      </c>
      <c r="W1013" s="1">
        <v>45126</v>
      </c>
      <c r="Z1013">
        <v>7</v>
      </c>
      <c r="AA1013" s="7">
        <f>INT((S1013-DATE(YEAR(S1013-WEEKDAY(S1013-0)+4),1,4)+WEEKDAY(DATE(YEAR(S1013-WEEKDAY(S1013-0)+4),1,4))+6)/7)</f>
        <v>28</v>
      </c>
      <c r="AB1013" t="s">
        <v>2776</v>
      </c>
      <c r="AG1013" s="7">
        <v>2023</v>
      </c>
      <c r="AH1013" t="s">
        <v>482</v>
      </c>
      <c r="AK1013" t="s">
        <v>2659</v>
      </c>
      <c r="AL1013" s="3" t="s">
        <v>59</v>
      </c>
      <c r="AQ1013" s="12"/>
    </row>
    <row r="1014" spans="1:43" ht="30" customHeight="1">
      <c r="A1014" s="3" t="s">
        <v>44</v>
      </c>
      <c r="B1014" s="3" t="s">
        <v>45</v>
      </c>
      <c r="G1014" t="s">
        <v>2777</v>
      </c>
      <c r="H1014" s="4">
        <f>IF(DATEDIF(L1014,S1014,"m")&gt;12,DATEDIF(L1014,S1014,"y"),(DATEDIF(L1014,S1014,"m")/12))</f>
        <v>12</v>
      </c>
      <c r="I1014" s="7">
        <f>DATEDIF(L1014,S1014,"M")</f>
        <v>152</v>
      </c>
      <c r="J1014" s="7">
        <f>DATEDIF(L1014,S1014,"D")</f>
        <v>4644</v>
      </c>
      <c r="K1014" t="s">
        <v>64</v>
      </c>
      <c r="L1014" s="13">
        <v>40473</v>
      </c>
      <c r="M1014" s="16" t="s">
        <v>45</v>
      </c>
      <c r="N1014" t="s">
        <v>83</v>
      </c>
      <c r="O1014" t="s">
        <v>52</v>
      </c>
      <c r="P1014" t="s">
        <v>2521</v>
      </c>
      <c r="Q1014">
        <v>0</v>
      </c>
      <c r="R1014" s="13">
        <v>45124</v>
      </c>
      <c r="S1014" s="13">
        <v>45117</v>
      </c>
      <c r="T1014" s="3" t="s">
        <v>54</v>
      </c>
      <c r="U1014" s="12" t="s">
        <v>55</v>
      </c>
      <c r="W1014" s="1">
        <v>45126</v>
      </c>
      <c r="Z1014">
        <v>7</v>
      </c>
      <c r="AA1014" s="7">
        <f>INT((S1014-DATE(YEAR(S1014-WEEKDAY(S1014-0)+4),1,4)+WEEKDAY(DATE(YEAR(S1014-WEEKDAY(S1014-0)+4),1,4))+6)/7)</f>
        <v>28</v>
      </c>
      <c r="AB1014" t="s">
        <v>2778</v>
      </c>
      <c r="AG1014" s="7">
        <v>2023</v>
      </c>
      <c r="AH1014" t="s">
        <v>482</v>
      </c>
      <c r="AK1014" t="s">
        <v>2654</v>
      </c>
      <c r="AL1014" s="3" t="s">
        <v>59</v>
      </c>
      <c r="AQ1014" s="12"/>
    </row>
    <row r="1015" spans="1:43" ht="30" customHeight="1">
      <c r="A1015" s="3" t="s">
        <v>44</v>
      </c>
      <c r="B1015" s="3" t="s">
        <v>45</v>
      </c>
      <c r="G1015" t="s">
        <v>2779</v>
      </c>
      <c r="H1015" s="4">
        <f>IF(DATEDIF(L1015,S1015,"m")&gt;12,DATEDIF(L1015,S1015,"y"),(DATEDIF(L1015,S1015,"m")/12))</f>
        <v>58</v>
      </c>
      <c r="I1015" s="7">
        <f>DATEDIF(L1015,S1015,"M")</f>
        <v>707</v>
      </c>
      <c r="J1015" s="7">
        <f>DATEDIF(L1015,S1015,"D")</f>
        <v>21518</v>
      </c>
      <c r="K1015" t="s">
        <v>64</v>
      </c>
      <c r="L1015" s="1">
        <v>23595</v>
      </c>
      <c r="M1015" s="16" t="s">
        <v>45</v>
      </c>
      <c r="N1015" t="s">
        <v>83</v>
      </c>
      <c r="O1015" t="s">
        <v>52</v>
      </c>
      <c r="P1015" t="s">
        <v>2595</v>
      </c>
      <c r="Q1015">
        <v>0</v>
      </c>
      <c r="R1015" s="13">
        <v>45126</v>
      </c>
      <c r="S1015" s="13">
        <v>45113</v>
      </c>
      <c r="T1015" s="3" t="s">
        <v>54</v>
      </c>
      <c r="U1015" s="12" t="s">
        <v>55</v>
      </c>
      <c r="W1015" s="1">
        <v>45126</v>
      </c>
      <c r="Z1015">
        <v>7</v>
      </c>
      <c r="AA1015" s="7">
        <f>INT((S1015-DATE(YEAR(S1015-WEEKDAY(S1015-0)+4),1,4)+WEEKDAY(DATE(YEAR(S1015-WEEKDAY(S1015-0)+4),1,4))+6)/7)</f>
        <v>27</v>
      </c>
      <c r="AB1015" t="s">
        <v>2780</v>
      </c>
      <c r="AG1015" s="7">
        <v>2023</v>
      </c>
      <c r="AH1015" t="s">
        <v>482</v>
      </c>
      <c r="AK1015" t="s">
        <v>2638</v>
      </c>
      <c r="AL1015" s="3" t="s">
        <v>59</v>
      </c>
    </row>
    <row r="1016" spans="1:43" ht="30" customHeight="1">
      <c r="A1016" s="3" t="s">
        <v>44</v>
      </c>
      <c r="B1016" s="3" t="s">
        <v>45</v>
      </c>
      <c r="G1016" t="s">
        <v>2781</v>
      </c>
      <c r="H1016" s="4">
        <f>IF(DATEDIF(L1016,S1016,"m")&gt;12,DATEDIF(L1016,S1016,"y"),(DATEDIF(L1016,S1016,"m")/12))</f>
        <v>4</v>
      </c>
      <c r="I1016" s="7">
        <f>DATEDIF(L1016,S1016,"M")</f>
        <v>54</v>
      </c>
      <c r="J1016" s="7">
        <f>DATEDIF(L1016,S1016,"D")</f>
        <v>1666</v>
      </c>
      <c r="K1016" t="s">
        <v>51</v>
      </c>
      <c r="L1016" s="1">
        <v>43453</v>
      </c>
      <c r="M1016" s="16" t="s">
        <v>45</v>
      </c>
      <c r="N1016" t="s">
        <v>83</v>
      </c>
      <c r="O1016" t="s">
        <v>52</v>
      </c>
      <c r="P1016" t="s">
        <v>2620</v>
      </c>
      <c r="Q1016">
        <v>0</v>
      </c>
      <c r="R1016" s="13">
        <v>45126</v>
      </c>
      <c r="S1016" s="13">
        <v>45119</v>
      </c>
      <c r="T1016" s="3" t="s">
        <v>54</v>
      </c>
      <c r="U1016" s="12" t="s">
        <v>55</v>
      </c>
      <c r="W1016" s="1">
        <v>45126</v>
      </c>
      <c r="Z1016">
        <v>7</v>
      </c>
      <c r="AA1016" s="7">
        <f>INT((S1016-DATE(YEAR(S1016-WEEKDAY(S1016-0)+4),1,4)+WEEKDAY(DATE(YEAR(S1016-WEEKDAY(S1016-0)+4),1,4))+6)/7)</f>
        <v>28</v>
      </c>
      <c r="AB1016" t="s">
        <v>2782</v>
      </c>
      <c r="AG1016" s="7">
        <v>2023</v>
      </c>
      <c r="AH1016" t="s">
        <v>482</v>
      </c>
      <c r="AK1016" t="s">
        <v>2625</v>
      </c>
      <c r="AL1016" s="3" t="s">
        <v>59</v>
      </c>
    </row>
    <row r="1017" spans="1:43" ht="30" customHeight="1">
      <c r="A1017" s="3" t="s">
        <v>44</v>
      </c>
      <c r="B1017" s="3" t="s">
        <v>45</v>
      </c>
      <c r="G1017" t="s">
        <v>2783</v>
      </c>
      <c r="H1017" s="4">
        <f>IF(DATEDIF(L1017,S1017,"m")&gt;12,DATEDIF(L1017,S1017,"y"),(DATEDIF(L1017,S1017,"m")/12))</f>
        <v>18</v>
      </c>
      <c r="I1017" s="7">
        <f>DATEDIF(L1017,S1017,"M")</f>
        <v>221</v>
      </c>
      <c r="J1017" s="7">
        <f>DATEDIF(L1017,S1017,"D")</f>
        <v>6748</v>
      </c>
      <c r="K1017" t="s">
        <v>64</v>
      </c>
      <c r="L1017" s="1">
        <v>38371</v>
      </c>
      <c r="M1017" s="16" t="s">
        <v>45</v>
      </c>
      <c r="N1017" t="s">
        <v>83</v>
      </c>
      <c r="O1017" t="s">
        <v>52</v>
      </c>
      <c r="P1017" t="s">
        <v>2463</v>
      </c>
      <c r="Q1017">
        <v>0</v>
      </c>
      <c r="R1017" s="1">
        <v>45126</v>
      </c>
      <c r="S1017" s="1">
        <v>45119</v>
      </c>
      <c r="T1017" s="3" t="s">
        <v>54</v>
      </c>
      <c r="U1017" t="s">
        <v>55</v>
      </c>
      <c r="W1017" s="1">
        <v>45126</v>
      </c>
      <c r="Z1017">
        <v>7</v>
      </c>
      <c r="AA1017" s="7">
        <f>INT((S1017-DATE(YEAR(S1017-WEEKDAY(S1017-0)+4),1,4)+WEEKDAY(DATE(YEAR(S1017-WEEKDAY(S1017-0)+4),1,4))+6)/7)</f>
        <v>28</v>
      </c>
      <c r="AB1017" t="s">
        <v>2784</v>
      </c>
      <c r="AG1017" s="7">
        <v>2023</v>
      </c>
      <c r="AH1017" t="s">
        <v>482</v>
      </c>
      <c r="AK1017" t="s">
        <v>2698</v>
      </c>
      <c r="AL1017" s="3" t="s">
        <v>59</v>
      </c>
    </row>
    <row r="1018" spans="1:43" ht="30" customHeight="1">
      <c r="A1018" s="3" t="s">
        <v>44</v>
      </c>
      <c r="B1018" s="3" t="s">
        <v>45</v>
      </c>
      <c r="G1018" t="s">
        <v>2785</v>
      </c>
      <c r="H1018" s="4">
        <f>IF(DATEDIF(L1018,S1018,"m")&gt;12,DATEDIF(L1018,S1018,"y"),(DATEDIF(L1018,S1018,"m")/12))</f>
        <v>31</v>
      </c>
      <c r="I1018" s="7">
        <f>DATEDIF(L1018,S1018,"M")</f>
        <v>372</v>
      </c>
      <c r="J1018" s="7">
        <f>DATEDIF(L1018,S1018,"D")</f>
        <v>11339</v>
      </c>
      <c r="K1018" t="s">
        <v>64</v>
      </c>
      <c r="L1018" s="1">
        <v>33784</v>
      </c>
      <c r="M1018" s="16" t="s">
        <v>45</v>
      </c>
      <c r="N1018" t="s">
        <v>83</v>
      </c>
      <c r="O1018" t="s">
        <v>52</v>
      </c>
      <c r="P1018" t="s">
        <v>2463</v>
      </c>
      <c r="Q1018">
        <v>0</v>
      </c>
      <c r="R1018" s="1">
        <v>45126</v>
      </c>
      <c r="S1018" s="1">
        <v>45123</v>
      </c>
      <c r="T1018" s="3" t="s">
        <v>54</v>
      </c>
      <c r="U1018" t="s">
        <v>55</v>
      </c>
      <c r="W1018" s="1">
        <v>45126</v>
      </c>
      <c r="Z1018">
        <v>7</v>
      </c>
      <c r="AA1018" s="7">
        <f>INT((S1018-DATE(YEAR(S1018-WEEKDAY(S1018-0)+4),1,4)+WEEKDAY(DATE(YEAR(S1018-WEEKDAY(S1018-0)+4),1,4))+6)/7)</f>
        <v>29</v>
      </c>
      <c r="AB1018" t="s">
        <v>2786</v>
      </c>
      <c r="AG1018" s="7">
        <v>2023</v>
      </c>
      <c r="AH1018" t="s">
        <v>482</v>
      </c>
      <c r="AK1018" t="s">
        <v>2498</v>
      </c>
      <c r="AL1018" s="3" t="s">
        <v>59</v>
      </c>
    </row>
    <row r="1019" spans="1:43" ht="30" customHeight="1">
      <c r="A1019" s="3" t="s">
        <v>44</v>
      </c>
      <c r="B1019" s="3" t="s">
        <v>45</v>
      </c>
      <c r="G1019" t="s">
        <v>2787</v>
      </c>
      <c r="H1019" s="4">
        <f>IF(DATEDIF(L1019,S1019,"m")&gt;12,DATEDIF(L1019,S1019,"y"),(DATEDIF(L1019,S1019,"m")/12))</f>
        <v>15</v>
      </c>
      <c r="I1019" s="7">
        <f>DATEDIF(L1019,S1019,"M")</f>
        <v>180</v>
      </c>
      <c r="J1019" s="7">
        <f>DATEDIF(L1019,S1019,"D")</f>
        <v>5502</v>
      </c>
      <c r="K1019" t="s">
        <v>64</v>
      </c>
      <c r="L1019" s="1">
        <v>39617</v>
      </c>
      <c r="M1019" s="16" t="s">
        <v>45</v>
      </c>
      <c r="N1019" t="s">
        <v>83</v>
      </c>
      <c r="O1019" t="s">
        <v>52</v>
      </c>
      <c r="P1019" t="s">
        <v>2463</v>
      </c>
      <c r="Q1019">
        <v>0</v>
      </c>
      <c r="R1019" s="1">
        <v>45126</v>
      </c>
      <c r="S1019" s="1">
        <v>45119</v>
      </c>
      <c r="T1019" s="3" t="s">
        <v>54</v>
      </c>
      <c r="U1019" t="s">
        <v>55</v>
      </c>
      <c r="W1019" s="1">
        <v>45126</v>
      </c>
      <c r="Z1019">
        <v>7</v>
      </c>
      <c r="AA1019" s="7">
        <f>INT((S1019-DATE(YEAR(S1019-WEEKDAY(S1019-0)+4),1,4)+WEEKDAY(DATE(YEAR(S1019-WEEKDAY(S1019-0)+4),1,4))+6)/7)</f>
        <v>28</v>
      </c>
      <c r="AB1019" t="s">
        <v>2788</v>
      </c>
      <c r="AG1019" s="7">
        <v>2023</v>
      </c>
      <c r="AH1019" t="s">
        <v>482</v>
      </c>
      <c r="AK1019" t="s">
        <v>2498</v>
      </c>
      <c r="AL1019" s="3" t="s">
        <v>59</v>
      </c>
    </row>
    <row r="1020" spans="1:43" ht="30" customHeight="1">
      <c r="A1020" s="3" t="s">
        <v>44</v>
      </c>
      <c r="B1020" s="3" t="s">
        <v>45</v>
      </c>
      <c r="G1020" t="s">
        <v>2789</v>
      </c>
      <c r="H1020" s="4">
        <f>IF(DATEDIF(L1020,S1020,"m")&gt;12,DATEDIF(L1020,S1020,"y"),(DATEDIF(L1020,S1020,"m")/12))</f>
        <v>7</v>
      </c>
      <c r="I1020" s="7">
        <f>DATEDIF(L1020,S1020,"M")</f>
        <v>84</v>
      </c>
      <c r="J1020" s="7">
        <f>DATEDIF(L1020,S1020,"D")</f>
        <v>2559</v>
      </c>
      <c r="K1020" t="s">
        <v>51</v>
      </c>
      <c r="L1020" s="1">
        <v>42565</v>
      </c>
      <c r="M1020" s="16" t="s">
        <v>45</v>
      </c>
      <c r="N1020" t="s">
        <v>83</v>
      </c>
      <c r="O1020" t="s">
        <v>52</v>
      </c>
      <c r="P1020" t="s">
        <v>2463</v>
      </c>
      <c r="Q1020">
        <v>0</v>
      </c>
      <c r="R1020" s="1">
        <v>45126</v>
      </c>
      <c r="S1020" s="1">
        <v>45124</v>
      </c>
      <c r="T1020" s="3" t="s">
        <v>54</v>
      </c>
      <c r="U1020" t="s">
        <v>55</v>
      </c>
      <c r="W1020" s="1">
        <v>45126</v>
      </c>
      <c r="Z1020">
        <v>7</v>
      </c>
      <c r="AA1020" s="7">
        <f>INT((S1020-DATE(YEAR(S1020-WEEKDAY(S1020-0)+4),1,4)+WEEKDAY(DATE(YEAR(S1020-WEEKDAY(S1020-0)+4),1,4))+6)/7)</f>
        <v>29</v>
      </c>
      <c r="AB1020" t="s">
        <v>2790</v>
      </c>
      <c r="AG1020" s="7">
        <v>2023</v>
      </c>
      <c r="AH1020" t="s">
        <v>482</v>
      </c>
      <c r="AK1020" t="s">
        <v>2498</v>
      </c>
      <c r="AL1020" s="3" t="s">
        <v>59</v>
      </c>
    </row>
    <row r="1021" spans="1:43" ht="30" customHeight="1">
      <c r="A1021" s="3" t="s">
        <v>44</v>
      </c>
      <c r="B1021" s="3" t="s">
        <v>45</v>
      </c>
      <c r="G1021" t="s">
        <v>2791</v>
      </c>
      <c r="H1021" s="4">
        <f>IF(DATEDIF(L1021,S1021,"m")&gt;12,DATEDIF(L1021,S1021,"y"),(DATEDIF(L1021,S1021,"m")/12))</f>
        <v>2</v>
      </c>
      <c r="I1021" s="7">
        <f>DATEDIF(L1021,S1021,"M")</f>
        <v>24</v>
      </c>
      <c r="J1021" s="7">
        <f>DATEDIF(L1021,S1021,"D")</f>
        <v>754</v>
      </c>
      <c r="K1021" t="s">
        <v>51</v>
      </c>
      <c r="L1021" s="1">
        <v>44365</v>
      </c>
      <c r="M1021" s="16" t="s">
        <v>45</v>
      </c>
      <c r="N1021" t="s">
        <v>83</v>
      </c>
      <c r="O1021" t="s">
        <v>52</v>
      </c>
      <c r="P1021" t="s">
        <v>2463</v>
      </c>
      <c r="Q1021">
        <v>0</v>
      </c>
      <c r="R1021" s="1">
        <v>45126</v>
      </c>
      <c r="S1021" s="1">
        <v>45119</v>
      </c>
      <c r="T1021" s="3" t="s">
        <v>54</v>
      </c>
      <c r="U1021" t="s">
        <v>55</v>
      </c>
      <c r="W1021" s="1">
        <v>45126</v>
      </c>
      <c r="Z1021">
        <v>7</v>
      </c>
      <c r="AA1021" s="7">
        <f>INT((S1021-DATE(YEAR(S1021-WEEKDAY(S1021-0)+4),1,4)+WEEKDAY(DATE(YEAR(S1021-WEEKDAY(S1021-0)+4),1,4))+6)/7)</f>
        <v>28</v>
      </c>
      <c r="AB1021" t="s">
        <v>2792</v>
      </c>
      <c r="AG1021" s="7">
        <v>2023</v>
      </c>
      <c r="AH1021" t="s">
        <v>482</v>
      </c>
      <c r="AK1021" t="s">
        <v>2498</v>
      </c>
      <c r="AL1021" s="3" t="s">
        <v>59</v>
      </c>
    </row>
    <row r="1022" spans="1:43" ht="30" customHeight="1">
      <c r="A1022" s="3" t="s">
        <v>44</v>
      </c>
      <c r="B1022" s="3" t="s">
        <v>45</v>
      </c>
      <c r="G1022" t="s">
        <v>2733</v>
      </c>
      <c r="H1022" s="4">
        <f>IF(DATEDIF(L1022,S1022,"m")&gt;12,DATEDIF(L1022,S1022,"y"),(DATEDIF(L1022,S1022,"m")/12))</f>
        <v>1</v>
      </c>
      <c r="I1022" s="7">
        <f>DATEDIF(L1022,S1022,"M")</f>
        <v>23</v>
      </c>
      <c r="J1022" s="7">
        <f>DATEDIF(L1022,S1022,"D")</f>
        <v>725</v>
      </c>
      <c r="K1022" t="s">
        <v>51</v>
      </c>
      <c r="L1022" s="1">
        <v>44395</v>
      </c>
      <c r="M1022" s="16" t="s">
        <v>45</v>
      </c>
      <c r="N1022" t="s">
        <v>83</v>
      </c>
      <c r="O1022" t="s">
        <v>52</v>
      </c>
      <c r="P1022" t="s">
        <v>2598</v>
      </c>
      <c r="Q1022">
        <v>0</v>
      </c>
      <c r="R1022" s="1">
        <v>45127</v>
      </c>
      <c r="S1022" s="1">
        <v>45120</v>
      </c>
      <c r="T1022" s="3" t="s">
        <v>54</v>
      </c>
      <c r="U1022" t="s">
        <v>55</v>
      </c>
      <c r="W1022" s="1">
        <v>45127</v>
      </c>
      <c r="Z1022">
        <v>7</v>
      </c>
      <c r="AA1022" s="7">
        <f>INT((S1022-DATE(YEAR(S1022-WEEKDAY(S1022-0)+4),1,4)+WEEKDAY(DATE(YEAR(S1022-WEEKDAY(S1022-0)+4),1,4))+6)/7)</f>
        <v>28</v>
      </c>
      <c r="AB1022" t="s">
        <v>2734</v>
      </c>
      <c r="AG1022" s="7">
        <v>2023</v>
      </c>
      <c r="AH1022" t="s">
        <v>482</v>
      </c>
      <c r="AK1022" t="s">
        <v>2638</v>
      </c>
      <c r="AL1022" s="3" t="s">
        <v>59</v>
      </c>
    </row>
    <row r="1023" spans="1:43" ht="30" customHeight="1">
      <c r="A1023" s="3" t="s">
        <v>44</v>
      </c>
      <c r="B1023" s="3" t="s">
        <v>45</v>
      </c>
      <c r="G1023" t="s">
        <v>2735</v>
      </c>
      <c r="H1023" s="4">
        <f>IF(DATEDIF(L1023,S1023,"m")&gt;12,DATEDIF(L1023,S1023,"y"),(DATEDIF(L1023,S1023,"m")/12))</f>
        <v>6</v>
      </c>
      <c r="I1023" s="7">
        <f>DATEDIF(L1023,S1023,"M")</f>
        <v>75</v>
      </c>
      <c r="J1023" s="7">
        <f>DATEDIF(L1023,S1023,"D")</f>
        <v>2282</v>
      </c>
      <c r="K1023" t="s">
        <v>51</v>
      </c>
      <c r="L1023" s="1">
        <v>42838</v>
      </c>
      <c r="M1023" s="16" t="s">
        <v>45</v>
      </c>
      <c r="N1023" t="s">
        <v>83</v>
      </c>
      <c r="O1023" t="s">
        <v>52</v>
      </c>
      <c r="P1023" t="s">
        <v>2598</v>
      </c>
      <c r="Q1023">
        <v>0</v>
      </c>
      <c r="R1023" s="1">
        <v>45127</v>
      </c>
      <c r="S1023" s="1">
        <v>45120</v>
      </c>
      <c r="T1023" s="3" t="s">
        <v>54</v>
      </c>
      <c r="U1023" t="s">
        <v>55</v>
      </c>
      <c r="W1023" s="1">
        <v>45127</v>
      </c>
      <c r="Z1023">
        <v>7</v>
      </c>
      <c r="AA1023" s="7">
        <f>INT((S1023-DATE(YEAR(S1023-WEEKDAY(S1023-0)+4),1,4)+WEEKDAY(DATE(YEAR(S1023-WEEKDAY(S1023-0)+4),1,4))+6)/7)</f>
        <v>28</v>
      </c>
      <c r="AB1023" t="s">
        <v>2736</v>
      </c>
      <c r="AG1023" s="7">
        <v>2023</v>
      </c>
      <c r="AH1023" t="s">
        <v>482</v>
      </c>
      <c r="AK1023" t="s">
        <v>2638</v>
      </c>
      <c r="AL1023" s="3" t="s">
        <v>59</v>
      </c>
    </row>
    <row r="1024" spans="1:43" ht="30" customHeight="1">
      <c r="A1024" s="3" t="s">
        <v>44</v>
      </c>
      <c r="B1024" s="3" t="s">
        <v>45</v>
      </c>
      <c r="G1024" t="s">
        <v>2737</v>
      </c>
      <c r="H1024" s="4">
        <f>IF(DATEDIF(L1024,S1024,"m")&gt;12,DATEDIF(L1024,S1024,"y"),(DATEDIF(L1024,S1024,"m")/12))</f>
        <v>22</v>
      </c>
      <c r="I1024" s="7">
        <f>DATEDIF(L1024,S1024,"M")</f>
        <v>265</v>
      </c>
      <c r="J1024" s="7">
        <f>DATEDIF(L1024,S1024,"D")</f>
        <v>8083</v>
      </c>
      <c r="K1024" t="s">
        <v>51</v>
      </c>
      <c r="L1024" s="1">
        <v>37041</v>
      </c>
      <c r="M1024" s="16" t="s">
        <v>45</v>
      </c>
      <c r="N1024" t="s">
        <v>83</v>
      </c>
      <c r="O1024" t="s">
        <v>52</v>
      </c>
      <c r="P1024" t="s">
        <v>2518</v>
      </c>
      <c r="Q1024">
        <v>0</v>
      </c>
      <c r="R1024" s="1">
        <v>45127</v>
      </c>
      <c r="S1024" s="1">
        <v>45124</v>
      </c>
      <c r="T1024" s="3" t="s">
        <v>54</v>
      </c>
      <c r="U1024" t="s">
        <v>55</v>
      </c>
      <c r="W1024" s="1">
        <v>45127</v>
      </c>
      <c r="Z1024">
        <v>7</v>
      </c>
      <c r="AA1024" s="7">
        <f>INT((S1024-DATE(YEAR(S1024-WEEKDAY(S1024-0)+4),1,4)+WEEKDAY(DATE(YEAR(S1024-WEEKDAY(S1024-0)+4),1,4))+6)/7)</f>
        <v>29</v>
      </c>
      <c r="AB1024" t="s">
        <v>2738</v>
      </c>
      <c r="AG1024" s="7">
        <v>2023</v>
      </c>
      <c r="AH1024" t="s">
        <v>482</v>
      </c>
      <c r="AK1024" t="s">
        <v>2635</v>
      </c>
      <c r="AL1024" s="3" t="s">
        <v>59</v>
      </c>
    </row>
    <row r="1025" spans="1:44" ht="30" customHeight="1">
      <c r="A1025" s="3" t="s">
        <v>44</v>
      </c>
      <c r="B1025" s="3" t="s">
        <v>45</v>
      </c>
      <c r="G1025" t="s">
        <v>2739</v>
      </c>
      <c r="H1025" s="4">
        <f>IF(DATEDIF(L1025,S1025,"m")&gt;12,DATEDIF(L1025,S1025,"y"),(DATEDIF(L1025,S1025,"m")/12))</f>
        <v>59</v>
      </c>
      <c r="I1025" s="7">
        <f>DATEDIF(L1025,S1025,"M")</f>
        <v>713</v>
      </c>
      <c r="J1025" s="7">
        <f>DATEDIF(L1025,S1025,"D")</f>
        <v>21715</v>
      </c>
      <c r="K1025" t="s">
        <v>64</v>
      </c>
      <c r="L1025" s="1">
        <v>23409</v>
      </c>
      <c r="M1025" s="16" t="s">
        <v>45</v>
      </c>
      <c r="N1025" t="s">
        <v>83</v>
      </c>
      <c r="O1025" t="s">
        <v>52</v>
      </c>
      <c r="P1025" t="s">
        <v>480</v>
      </c>
      <c r="Q1025">
        <v>0</v>
      </c>
      <c r="R1025" s="1">
        <v>45127</v>
      </c>
      <c r="S1025" s="1">
        <v>45124</v>
      </c>
      <c r="T1025" s="3" t="s">
        <v>54</v>
      </c>
      <c r="U1025" t="s">
        <v>55</v>
      </c>
      <c r="W1025" s="1">
        <v>45127</v>
      </c>
      <c r="Z1025">
        <v>7</v>
      </c>
      <c r="AA1025" s="7">
        <f>INT((S1025-DATE(YEAR(S1025-WEEKDAY(S1025-0)+4),1,4)+WEEKDAY(DATE(YEAR(S1025-WEEKDAY(S1025-0)+4),1,4))+6)/7)</f>
        <v>29</v>
      </c>
      <c r="AB1025" t="s">
        <v>2740</v>
      </c>
      <c r="AG1025" s="7">
        <v>2023</v>
      </c>
      <c r="AH1025" t="s">
        <v>482</v>
      </c>
      <c r="AK1025" t="s">
        <v>140</v>
      </c>
      <c r="AL1025" s="3" t="s">
        <v>59</v>
      </c>
    </row>
    <row r="1026" spans="1:44" ht="30" customHeight="1">
      <c r="A1026" s="3" t="s">
        <v>44</v>
      </c>
      <c r="B1026" s="3" t="s">
        <v>45</v>
      </c>
      <c r="G1026" t="s">
        <v>2741</v>
      </c>
      <c r="H1026" s="4">
        <f>IF(DATEDIF(L1026,S1026,"m")&gt;12,DATEDIF(L1026,S1026,"y"),(DATEDIF(L1026,S1026,"m")/12))</f>
        <v>39</v>
      </c>
      <c r="I1026" s="7">
        <f>DATEDIF(L1026,S1026,"M")</f>
        <v>468</v>
      </c>
      <c r="J1026" s="7">
        <f>DATEDIF(L1026,S1026,"D")</f>
        <v>14269</v>
      </c>
      <c r="K1026" t="s">
        <v>64</v>
      </c>
      <c r="L1026" s="1">
        <v>30856</v>
      </c>
      <c r="M1026" s="16" t="s">
        <v>45</v>
      </c>
      <c r="N1026" t="s">
        <v>83</v>
      </c>
      <c r="O1026" s="12" t="s">
        <v>52</v>
      </c>
      <c r="P1026" t="s">
        <v>2518</v>
      </c>
      <c r="Q1026">
        <v>0</v>
      </c>
      <c r="R1026" s="1">
        <v>45127</v>
      </c>
      <c r="S1026" s="1">
        <v>45125</v>
      </c>
      <c r="T1026" s="3" t="s">
        <v>54</v>
      </c>
      <c r="U1026" t="s">
        <v>55</v>
      </c>
      <c r="W1026" s="1">
        <v>45127</v>
      </c>
      <c r="Z1026">
        <v>7</v>
      </c>
      <c r="AA1026" s="7">
        <f>INT((S1026-DATE(YEAR(S1026-WEEKDAY(S1026-0)+4),1,4)+WEEKDAY(DATE(YEAR(S1026-WEEKDAY(S1026-0)+4),1,4))+6)/7)</f>
        <v>29</v>
      </c>
      <c r="AB1026" t="s">
        <v>2742</v>
      </c>
      <c r="AG1026" s="7">
        <v>2023</v>
      </c>
      <c r="AH1026" t="s">
        <v>482</v>
      </c>
      <c r="AK1026" t="s">
        <v>2693</v>
      </c>
      <c r="AL1026" s="3" t="s">
        <v>59</v>
      </c>
    </row>
    <row r="1027" spans="1:44" ht="30" customHeight="1">
      <c r="A1027" s="3" t="s">
        <v>44</v>
      </c>
      <c r="B1027" s="3" t="s">
        <v>45</v>
      </c>
      <c r="G1027" t="s">
        <v>2743</v>
      </c>
      <c r="H1027" s="4">
        <f>IF(DATEDIF(L1027,S1027,"m")&gt;12,DATEDIF(L1027,S1027,"y"),(DATEDIF(L1027,S1027,"m")/12))</f>
        <v>5</v>
      </c>
      <c r="I1027" s="7">
        <f>DATEDIF(L1027,S1027,"M")</f>
        <v>62</v>
      </c>
      <c r="J1027" s="7">
        <f>DATEDIF(L1027,S1027,"D")</f>
        <v>1914</v>
      </c>
      <c r="K1027" t="s">
        <v>51</v>
      </c>
      <c r="L1027" s="1">
        <v>43206</v>
      </c>
      <c r="M1027" s="16" t="s">
        <v>45</v>
      </c>
      <c r="N1027" t="s">
        <v>83</v>
      </c>
      <c r="O1027" t="s">
        <v>52</v>
      </c>
      <c r="P1027" t="s">
        <v>2472</v>
      </c>
      <c r="Q1027">
        <v>0</v>
      </c>
      <c r="R1027" s="1">
        <v>45127</v>
      </c>
      <c r="S1027" s="1">
        <v>45120</v>
      </c>
      <c r="T1027" s="3" t="s">
        <v>54</v>
      </c>
      <c r="U1027" t="s">
        <v>55</v>
      </c>
      <c r="W1027" s="1">
        <v>45127</v>
      </c>
      <c r="Z1027">
        <v>7</v>
      </c>
      <c r="AA1027" s="7">
        <f>INT((S1027-DATE(YEAR(S1027-WEEKDAY(S1027-0)+4),1,4)+WEEKDAY(DATE(YEAR(S1027-WEEKDAY(S1027-0)+4),1,4))+6)/7)</f>
        <v>28</v>
      </c>
      <c r="AB1027" t="s">
        <v>2744</v>
      </c>
      <c r="AG1027" s="7">
        <v>2023</v>
      </c>
      <c r="AH1027" t="s">
        <v>482</v>
      </c>
      <c r="AK1027" t="s">
        <v>2745</v>
      </c>
      <c r="AL1027" s="3" t="s">
        <v>59</v>
      </c>
    </row>
    <row r="1028" spans="1:44" ht="30" customHeight="1">
      <c r="A1028" s="3" t="s">
        <v>44</v>
      </c>
      <c r="B1028" s="3" t="s">
        <v>45</v>
      </c>
      <c r="G1028" t="s">
        <v>2746</v>
      </c>
      <c r="H1028" s="4">
        <f>IF(DATEDIF(L1028,S1028,"m")&gt;12,DATEDIF(L1028,S1028,"y"),(DATEDIF(L1028,S1028,"m")/12))</f>
        <v>70</v>
      </c>
      <c r="I1028" s="7">
        <f>DATEDIF(L1028,S1028,"M")</f>
        <v>840</v>
      </c>
      <c r="J1028" s="7">
        <f>DATEDIF(L1028,S1028,"D")</f>
        <v>25575</v>
      </c>
      <c r="K1028" t="s">
        <v>64</v>
      </c>
      <c r="L1028" s="1">
        <v>19545</v>
      </c>
      <c r="M1028" s="16" t="s">
        <v>45</v>
      </c>
      <c r="N1028" t="s">
        <v>83</v>
      </c>
      <c r="O1028" t="s">
        <v>52</v>
      </c>
      <c r="P1028" t="s">
        <v>2472</v>
      </c>
      <c r="Q1028">
        <v>0</v>
      </c>
      <c r="R1028" s="1">
        <v>45127</v>
      </c>
      <c r="S1028" s="1">
        <v>45120</v>
      </c>
      <c r="T1028" s="3" t="s">
        <v>54</v>
      </c>
      <c r="U1028" t="s">
        <v>55</v>
      </c>
      <c r="W1028" s="1">
        <v>45127</v>
      </c>
      <c r="Z1028">
        <v>7</v>
      </c>
      <c r="AA1028" s="7">
        <f>INT((S1028-DATE(YEAR(S1028-WEEKDAY(S1028-0)+4),1,4)+WEEKDAY(DATE(YEAR(S1028-WEEKDAY(S1028-0)+4),1,4))+6)/7)</f>
        <v>28</v>
      </c>
      <c r="AB1028" t="s">
        <v>2747</v>
      </c>
      <c r="AG1028" s="7">
        <v>2023</v>
      </c>
      <c r="AH1028" t="s">
        <v>482</v>
      </c>
      <c r="AK1028" t="s">
        <v>2745</v>
      </c>
      <c r="AL1028" s="3" t="s">
        <v>59</v>
      </c>
    </row>
    <row r="1029" spans="1:44" ht="30" customHeight="1">
      <c r="A1029" s="3" t="s">
        <v>44</v>
      </c>
      <c r="B1029" s="3" t="s">
        <v>45</v>
      </c>
      <c r="G1029" t="s">
        <v>2748</v>
      </c>
      <c r="H1029" s="4">
        <f>IF(DATEDIF(L1029,S1029,"m")&gt;12,DATEDIF(L1029,S1029,"y"),(DATEDIF(L1029,S1029,"m")/12))</f>
        <v>72</v>
      </c>
      <c r="I1029" s="7">
        <f>DATEDIF(L1029,S1029,"M")</f>
        <v>869</v>
      </c>
      <c r="J1029" s="7">
        <f>DATEDIF(L1029,S1029,"D")</f>
        <v>26464</v>
      </c>
      <c r="K1029" t="s">
        <v>51</v>
      </c>
      <c r="L1029" s="1">
        <v>18633</v>
      </c>
      <c r="M1029" s="16" t="s">
        <v>45</v>
      </c>
      <c r="N1029" t="s">
        <v>83</v>
      </c>
      <c r="O1029" t="s">
        <v>52</v>
      </c>
      <c r="P1029" t="s">
        <v>2749</v>
      </c>
      <c r="Q1029">
        <v>0</v>
      </c>
      <c r="R1029" s="1">
        <v>45127</v>
      </c>
      <c r="S1029" s="1">
        <v>45097</v>
      </c>
      <c r="T1029" s="3" t="s">
        <v>54</v>
      </c>
      <c r="U1029" t="s">
        <v>55</v>
      </c>
      <c r="W1029" s="1">
        <v>45127</v>
      </c>
      <c r="Z1029">
        <v>6</v>
      </c>
      <c r="AA1029" s="7">
        <f>INT((S1029-DATE(YEAR(S1029-WEEKDAY(S1029-0)+4),1,4)+WEEKDAY(DATE(YEAR(S1029-WEEKDAY(S1029-0)+4),1,4))+6)/7)</f>
        <v>25</v>
      </c>
      <c r="AB1029" t="s">
        <v>2750</v>
      </c>
      <c r="AG1029" s="7">
        <v>2023</v>
      </c>
      <c r="AH1029" t="s">
        <v>482</v>
      </c>
      <c r="AK1029" t="s">
        <v>2745</v>
      </c>
      <c r="AL1029" s="3" t="s">
        <v>59</v>
      </c>
    </row>
    <row r="1030" spans="1:44" ht="30" customHeight="1">
      <c r="A1030" s="3" t="s">
        <v>44</v>
      </c>
      <c r="B1030" s="3" t="s">
        <v>45</v>
      </c>
      <c r="G1030" t="s">
        <v>2751</v>
      </c>
      <c r="H1030" s="4">
        <f>IF(DATEDIF(L1030,S1030,"m")&gt;12,DATEDIF(L1030,S1030,"y"),(DATEDIF(L1030,S1030,"m")/12))</f>
        <v>9</v>
      </c>
      <c r="I1030" s="7">
        <f>DATEDIF(L1030,S1030,"M")</f>
        <v>108</v>
      </c>
      <c r="J1030" s="7">
        <f>DATEDIF(L1030,S1030,"D")</f>
        <v>3311</v>
      </c>
      <c r="K1030" t="s">
        <v>64</v>
      </c>
      <c r="L1030" s="1">
        <v>41815</v>
      </c>
      <c r="M1030" s="16" t="s">
        <v>45</v>
      </c>
      <c r="N1030" t="s">
        <v>83</v>
      </c>
      <c r="O1030" t="s">
        <v>52</v>
      </c>
      <c r="P1030" t="s">
        <v>2646</v>
      </c>
      <c r="Q1030">
        <v>0</v>
      </c>
      <c r="R1030" s="1">
        <v>45127</v>
      </c>
      <c r="S1030" s="1">
        <v>45126</v>
      </c>
      <c r="T1030" s="3" t="s">
        <v>54</v>
      </c>
      <c r="U1030" t="s">
        <v>55</v>
      </c>
      <c r="W1030" s="1">
        <v>45127</v>
      </c>
      <c r="Z1030">
        <v>7</v>
      </c>
      <c r="AA1030" s="7">
        <f>INT((S1030-DATE(YEAR(S1030-WEEKDAY(S1030-0)+4),1,4)+WEEKDAY(DATE(YEAR(S1030-WEEKDAY(S1030-0)+4),1,4))+6)/7)</f>
        <v>29</v>
      </c>
      <c r="AB1030" t="s">
        <v>2752</v>
      </c>
      <c r="AG1030" s="7">
        <v>2023</v>
      </c>
      <c r="AH1030" t="s">
        <v>482</v>
      </c>
      <c r="AK1030" t="s">
        <v>2556</v>
      </c>
      <c r="AL1030" s="3" t="s">
        <v>59</v>
      </c>
    </row>
    <row r="1031" spans="1:44" ht="30" customHeight="1">
      <c r="A1031" s="3" t="s">
        <v>44</v>
      </c>
      <c r="B1031" s="3" t="s">
        <v>45</v>
      </c>
      <c r="G1031" t="s">
        <v>2753</v>
      </c>
      <c r="H1031" s="4">
        <f>IF(DATEDIF(L1031,S1031,"m")&gt;12,DATEDIF(L1031,S1031,"y"),(DATEDIF(L1031,S1031,"m")/12))</f>
        <v>61</v>
      </c>
      <c r="I1031" s="7">
        <f>DATEDIF(L1031,S1031,"M")</f>
        <v>733</v>
      </c>
      <c r="J1031" s="7">
        <f>DATEDIF(L1031,S1031,"D")</f>
        <v>22319</v>
      </c>
      <c r="K1031" t="s">
        <v>64</v>
      </c>
      <c r="L1031" s="1">
        <v>22804</v>
      </c>
      <c r="M1031" s="16" t="s">
        <v>45</v>
      </c>
      <c r="N1031" t="s">
        <v>83</v>
      </c>
      <c r="O1031" t="s">
        <v>52</v>
      </c>
      <c r="P1031" t="s">
        <v>2598</v>
      </c>
      <c r="Q1031">
        <v>0</v>
      </c>
      <c r="R1031" s="1">
        <v>45127</v>
      </c>
      <c r="S1031" s="1">
        <v>45123</v>
      </c>
      <c r="T1031" s="3" t="s">
        <v>54</v>
      </c>
      <c r="U1031" t="s">
        <v>55</v>
      </c>
      <c r="W1031" s="1">
        <v>45127</v>
      </c>
      <c r="Z1031">
        <v>7</v>
      </c>
      <c r="AA1031" s="7">
        <f>INT((S1031-DATE(YEAR(S1031-WEEKDAY(S1031-0)+4),1,4)+WEEKDAY(DATE(YEAR(S1031-WEEKDAY(S1031-0)+4),1,4))+6)/7)</f>
        <v>29</v>
      </c>
      <c r="AB1031" t="s">
        <v>2754</v>
      </c>
      <c r="AG1031" s="7">
        <v>2023</v>
      </c>
      <c r="AH1031" t="s">
        <v>482</v>
      </c>
      <c r="AK1031" t="s">
        <v>2635</v>
      </c>
      <c r="AL1031" s="3" t="s">
        <v>59</v>
      </c>
    </row>
    <row r="1032" spans="1:44" ht="30" customHeight="1">
      <c r="A1032" s="3" t="s">
        <v>44</v>
      </c>
      <c r="B1032" s="3" t="s">
        <v>45</v>
      </c>
      <c r="G1032" t="s">
        <v>2723</v>
      </c>
      <c r="H1032" s="4">
        <f>IF(DATEDIF(L1032,S1032,"m")&gt;12,DATEDIF(L1032,S1032,"y"),(DATEDIF(L1032,S1032,"m")/12))</f>
        <v>5</v>
      </c>
      <c r="I1032" s="7">
        <f>DATEDIF(L1032,S1032,"M")</f>
        <v>67</v>
      </c>
      <c r="J1032" s="7">
        <f>DATEDIF(L1032,S1032,"D")</f>
        <v>2044</v>
      </c>
      <c r="K1032" t="s">
        <v>64</v>
      </c>
      <c r="L1032" s="1">
        <v>43082</v>
      </c>
      <c r="M1032" s="16" t="s">
        <v>45</v>
      </c>
      <c r="N1032" t="s">
        <v>83</v>
      </c>
      <c r="O1032" t="s">
        <v>52</v>
      </c>
      <c r="P1032" t="s">
        <v>2472</v>
      </c>
      <c r="Q1032">
        <v>0</v>
      </c>
      <c r="R1032" s="1">
        <v>45128</v>
      </c>
      <c r="S1032" s="1">
        <v>45126</v>
      </c>
      <c r="T1032" s="3" t="s">
        <v>54</v>
      </c>
      <c r="U1032" t="s">
        <v>55</v>
      </c>
      <c r="W1032" s="1">
        <v>45128</v>
      </c>
      <c r="Z1032">
        <v>7</v>
      </c>
      <c r="AA1032" s="7">
        <f>INT((S1032-DATE(YEAR(S1032-WEEKDAY(S1032-0)+4),1,4)+WEEKDAY(DATE(YEAR(S1032-WEEKDAY(S1032-0)+4),1,4))+6)/7)</f>
        <v>29</v>
      </c>
      <c r="AB1032" t="s">
        <v>2724</v>
      </c>
      <c r="AG1032" s="7">
        <v>2023</v>
      </c>
      <c r="AH1032" t="s">
        <v>482</v>
      </c>
      <c r="AK1032" t="s">
        <v>2625</v>
      </c>
      <c r="AL1032" s="3" t="s">
        <v>59</v>
      </c>
    </row>
    <row r="1033" spans="1:44" ht="30" customHeight="1">
      <c r="A1033" s="3" t="s">
        <v>44</v>
      </c>
      <c r="B1033" s="3" t="s">
        <v>45</v>
      </c>
      <c r="G1033" t="s">
        <v>2725</v>
      </c>
      <c r="H1033" s="4">
        <f>IF(DATEDIF(L1033,S1033,"m")&gt;12,DATEDIF(L1033,S1033,"y"),(DATEDIF(L1033,S1033,"m")/12))</f>
        <v>64</v>
      </c>
      <c r="I1033" s="7">
        <f>DATEDIF(L1033,S1033,"M")</f>
        <v>772</v>
      </c>
      <c r="J1033" s="7">
        <f>DATEDIF(L1033,S1033,"D")</f>
        <v>23502</v>
      </c>
      <c r="K1033" t="s">
        <v>64</v>
      </c>
      <c r="L1033" s="1">
        <v>21620</v>
      </c>
      <c r="M1033" s="16" t="s">
        <v>45</v>
      </c>
      <c r="N1033" t="s">
        <v>83</v>
      </c>
      <c r="O1033" t="s">
        <v>52</v>
      </c>
      <c r="P1033" t="s">
        <v>2463</v>
      </c>
      <c r="Q1033">
        <v>0</v>
      </c>
      <c r="R1033" s="1">
        <v>45128</v>
      </c>
      <c r="S1033" s="1">
        <v>45122</v>
      </c>
      <c r="T1033" s="3" t="s">
        <v>54</v>
      </c>
      <c r="U1033" t="s">
        <v>55</v>
      </c>
      <c r="W1033" s="1">
        <v>45128</v>
      </c>
      <c r="Z1033">
        <v>7</v>
      </c>
      <c r="AA1033" s="7">
        <f>INT((S1033-DATE(YEAR(S1033-WEEKDAY(S1033-0)+4),1,4)+WEEKDAY(DATE(YEAR(S1033-WEEKDAY(S1033-0)+4),1,4))+6)/7)</f>
        <v>28</v>
      </c>
      <c r="AB1033" t="s">
        <v>2726</v>
      </c>
      <c r="AG1033" s="7">
        <v>2023</v>
      </c>
      <c r="AH1033" t="s">
        <v>482</v>
      </c>
      <c r="AK1033" t="s">
        <v>140</v>
      </c>
      <c r="AL1033" s="3" t="s">
        <v>59</v>
      </c>
    </row>
    <row r="1034" spans="1:44" ht="30" customHeight="1">
      <c r="A1034" s="3" t="s">
        <v>44</v>
      </c>
      <c r="B1034" s="3" t="s">
        <v>45</v>
      </c>
      <c r="G1034" t="s">
        <v>2727</v>
      </c>
      <c r="H1034" s="4">
        <f>IF(DATEDIF(L1034,S1034,"m")&gt;12,DATEDIF(L1034,S1034,"y"),(DATEDIF(L1034,S1034,"m")/12))</f>
        <v>14</v>
      </c>
      <c r="I1034" s="7">
        <f>DATEDIF(L1034,S1034,"M")</f>
        <v>174</v>
      </c>
      <c r="J1034" s="7">
        <f>DATEDIF(L1034,S1034,"D")</f>
        <v>5302</v>
      </c>
      <c r="K1034" t="s">
        <v>64</v>
      </c>
      <c r="L1034" s="1">
        <v>39820</v>
      </c>
      <c r="M1034" s="16" t="s">
        <v>45</v>
      </c>
      <c r="N1034" t="s">
        <v>83</v>
      </c>
      <c r="O1034" t="s">
        <v>52</v>
      </c>
      <c r="P1034" t="s">
        <v>2472</v>
      </c>
      <c r="Q1034">
        <v>0</v>
      </c>
      <c r="R1034" s="1">
        <v>45128</v>
      </c>
      <c r="S1034" s="1">
        <v>45122</v>
      </c>
      <c r="T1034" s="3" t="s">
        <v>54</v>
      </c>
      <c r="U1034" t="s">
        <v>55</v>
      </c>
      <c r="W1034" s="1">
        <v>45128</v>
      </c>
      <c r="Z1034">
        <v>7</v>
      </c>
      <c r="AA1034" s="7">
        <f>INT((S1034-DATE(YEAR(S1034-WEEKDAY(S1034-0)+4),1,4)+WEEKDAY(DATE(YEAR(S1034-WEEKDAY(S1034-0)+4),1,4))+6)/7)</f>
        <v>28</v>
      </c>
      <c r="AB1034" t="s">
        <v>2728</v>
      </c>
      <c r="AG1034" s="7">
        <v>2023</v>
      </c>
      <c r="AH1034" t="s">
        <v>482</v>
      </c>
      <c r="AK1034" t="s">
        <v>2498</v>
      </c>
      <c r="AL1034" s="3" t="s">
        <v>59</v>
      </c>
    </row>
    <row r="1035" spans="1:44" ht="30" customHeight="1">
      <c r="A1035" s="3" t="s">
        <v>44</v>
      </c>
      <c r="B1035" s="3" t="s">
        <v>45</v>
      </c>
      <c r="G1035" t="s">
        <v>2729</v>
      </c>
      <c r="H1035" s="4">
        <f>IF(DATEDIF(L1035,S1035,"m")&gt;12,DATEDIF(L1035,S1035,"y"),(DATEDIF(L1035,S1035,"m")/12))</f>
        <v>41</v>
      </c>
      <c r="I1035" s="7">
        <f>DATEDIF(L1035,S1035,"M")</f>
        <v>494</v>
      </c>
      <c r="J1035" s="7">
        <f>DATEDIF(L1035,S1035,"D")</f>
        <v>15056</v>
      </c>
      <c r="K1035" t="s">
        <v>64</v>
      </c>
      <c r="L1035" s="1">
        <v>30070</v>
      </c>
      <c r="M1035" s="16" t="s">
        <v>45</v>
      </c>
      <c r="N1035" t="s">
        <v>83</v>
      </c>
      <c r="O1035" t="s">
        <v>52</v>
      </c>
      <c r="P1035" t="s">
        <v>2472</v>
      </c>
      <c r="Q1035">
        <v>0</v>
      </c>
      <c r="R1035" s="1">
        <v>45128</v>
      </c>
      <c r="S1035" s="1">
        <v>45126</v>
      </c>
      <c r="T1035" s="3" t="s">
        <v>54</v>
      </c>
      <c r="U1035" t="s">
        <v>55</v>
      </c>
      <c r="W1035" s="1">
        <v>45128</v>
      </c>
      <c r="Z1035">
        <v>7</v>
      </c>
      <c r="AA1035" s="7">
        <f>INT((S1035-DATE(YEAR(S1035-WEEKDAY(S1035-0)+4),1,4)+WEEKDAY(DATE(YEAR(S1035-WEEKDAY(S1035-0)+4),1,4))+6)/7)</f>
        <v>29</v>
      </c>
      <c r="AB1035" t="s">
        <v>2730</v>
      </c>
      <c r="AG1035" s="7">
        <v>2023</v>
      </c>
      <c r="AH1035" t="s">
        <v>482</v>
      </c>
      <c r="AK1035" t="s">
        <v>140</v>
      </c>
      <c r="AL1035" s="3" t="s">
        <v>59</v>
      </c>
    </row>
    <row r="1036" spans="1:44" ht="30" customHeight="1">
      <c r="A1036" s="3" t="s">
        <v>44</v>
      </c>
      <c r="B1036" s="3" t="s">
        <v>45</v>
      </c>
      <c r="G1036" t="s">
        <v>2731</v>
      </c>
      <c r="H1036" s="4">
        <f>IF(DATEDIF(L1036,S1036,"m")&gt;12,DATEDIF(L1036,S1036,"y"),(DATEDIF(L1036,S1036,"m")/12))</f>
        <v>3</v>
      </c>
      <c r="I1036" s="7">
        <f>DATEDIF(L1036,S1036,"M")</f>
        <v>39</v>
      </c>
      <c r="J1036" s="7">
        <f>DATEDIF(L1036,S1036,"D")</f>
        <v>1197</v>
      </c>
      <c r="K1036" t="s">
        <v>51</v>
      </c>
      <c r="L1036" s="1">
        <v>43930</v>
      </c>
      <c r="M1036" s="17" t="s">
        <v>45</v>
      </c>
      <c r="N1036" t="s">
        <v>83</v>
      </c>
      <c r="O1036" t="s">
        <v>52</v>
      </c>
      <c r="P1036" t="s">
        <v>2527</v>
      </c>
      <c r="Q1036">
        <v>0</v>
      </c>
      <c r="R1036" s="1">
        <v>45128</v>
      </c>
      <c r="S1036" s="1">
        <v>45127</v>
      </c>
      <c r="T1036" s="3" t="s">
        <v>54</v>
      </c>
      <c r="U1036" t="s">
        <v>55</v>
      </c>
      <c r="W1036" s="1">
        <v>45128</v>
      </c>
      <c r="Z1036">
        <v>7</v>
      </c>
      <c r="AA1036" s="7">
        <f>INT((S1036-DATE(YEAR(S1036-WEEKDAY(S1036-0)+4),1,4)+WEEKDAY(DATE(YEAR(S1036-WEEKDAY(S1036-0)+4),1,4))+6)/7)</f>
        <v>29</v>
      </c>
      <c r="AB1036" t="s">
        <v>2732</v>
      </c>
      <c r="AG1036" s="7">
        <v>2023</v>
      </c>
      <c r="AH1036" t="s">
        <v>482</v>
      </c>
      <c r="AK1036" t="s">
        <v>2519</v>
      </c>
      <c r="AL1036" s="3" t="s">
        <v>59</v>
      </c>
    </row>
    <row r="1037" spans="1:44" ht="30" customHeight="1">
      <c r="A1037" s="3" t="s">
        <v>44</v>
      </c>
      <c r="B1037" s="3" t="s">
        <v>45</v>
      </c>
      <c r="G1037">
        <v>28377</v>
      </c>
      <c r="H1037" s="4">
        <f>IF(DATEDIF(L1037,S1037,"m")&gt;12,DATEDIF(L1037,S1037,"y"),(DATEDIF(L1037,S1037,"m")/12))</f>
        <v>32</v>
      </c>
      <c r="I1037" s="7">
        <f>DATEDIF(L1037,S1037,"M")</f>
        <v>393</v>
      </c>
      <c r="J1037" s="7">
        <f>DATEDIF(L1037,S1037,"D")</f>
        <v>11987</v>
      </c>
      <c r="K1037" t="s">
        <v>51</v>
      </c>
      <c r="L1037" s="1">
        <v>33120</v>
      </c>
      <c r="M1037" s="17" t="s">
        <v>45</v>
      </c>
      <c r="N1037" t="s">
        <v>101</v>
      </c>
      <c r="O1037" t="s">
        <v>52</v>
      </c>
      <c r="P1037" t="s">
        <v>2592</v>
      </c>
      <c r="Q1037">
        <v>1</v>
      </c>
      <c r="R1037" s="1">
        <v>45117</v>
      </c>
      <c r="S1037" s="1">
        <v>45107</v>
      </c>
      <c r="T1037" s="3" t="s">
        <v>54</v>
      </c>
      <c r="U1037" t="s">
        <v>55</v>
      </c>
      <c r="W1037" s="1">
        <v>45130</v>
      </c>
      <c r="Z1037">
        <v>6</v>
      </c>
      <c r="AA1037" s="7">
        <f>INT((S1037-DATE(YEAR(S1037-WEEKDAY(S1037-0)+4),1,4)+WEEKDAY(DATE(YEAR(S1037-WEEKDAY(S1037-0)+4),1,4))+6)/7)</f>
        <v>26</v>
      </c>
      <c r="AB1037" t="s">
        <v>2706</v>
      </c>
      <c r="AG1037" s="7">
        <v>2023</v>
      </c>
      <c r="AH1037" t="s">
        <v>105</v>
      </c>
      <c r="AK1037" t="s">
        <v>2481</v>
      </c>
      <c r="AL1037" s="3" t="s">
        <v>59</v>
      </c>
    </row>
    <row r="1038" spans="1:44" ht="30" customHeight="1">
      <c r="A1038" s="3" t="s">
        <v>44</v>
      </c>
      <c r="B1038" s="3" t="s">
        <v>45</v>
      </c>
      <c r="G1038" t="s">
        <v>2707</v>
      </c>
      <c r="H1038" s="4">
        <f>IF(DATEDIF(L1038,S1038,"m")&gt;12,DATEDIF(L1038,S1038,"y"),(DATEDIF(L1038,S1038,"m")/12))</f>
        <v>2</v>
      </c>
      <c r="I1038" s="7">
        <f>DATEDIF(L1038,S1038,"M")</f>
        <v>29</v>
      </c>
      <c r="J1038" s="7">
        <f>DATEDIF(L1038,S1038,"D")</f>
        <v>898</v>
      </c>
      <c r="K1038" t="s">
        <v>64</v>
      </c>
      <c r="L1038" s="1">
        <v>44220</v>
      </c>
      <c r="M1038" s="17" t="s">
        <v>45</v>
      </c>
      <c r="N1038" t="s">
        <v>49</v>
      </c>
      <c r="O1038" t="s">
        <v>52</v>
      </c>
      <c r="P1038" t="s">
        <v>2708</v>
      </c>
      <c r="Q1038">
        <v>0</v>
      </c>
      <c r="R1038" s="1">
        <v>45125</v>
      </c>
      <c r="S1038" s="1">
        <v>45118</v>
      </c>
      <c r="T1038" s="3" t="s">
        <v>54</v>
      </c>
      <c r="U1038" t="s">
        <v>55</v>
      </c>
      <c r="W1038" s="1">
        <v>45130</v>
      </c>
      <c r="Z1038">
        <v>7</v>
      </c>
      <c r="AA1038" s="7">
        <f>INT((S1038-DATE(YEAR(S1038-WEEKDAY(S1038-0)+4),1,4)+WEEKDAY(DATE(YEAR(S1038-WEEKDAY(S1038-0)+4),1,4))+6)/7)</f>
        <v>28</v>
      </c>
      <c r="AB1038" t="s">
        <v>2709</v>
      </c>
      <c r="AG1038" s="7">
        <v>2023</v>
      </c>
      <c r="AH1038" t="s">
        <v>2710</v>
      </c>
      <c r="AK1038" t="s">
        <v>2711</v>
      </c>
      <c r="AL1038" s="3" t="s">
        <v>59</v>
      </c>
    </row>
    <row r="1039" spans="1:44" ht="30" customHeight="1">
      <c r="A1039" s="3" t="s">
        <v>44</v>
      </c>
      <c r="B1039" s="3" t="s">
        <v>45</v>
      </c>
      <c r="C1039" s="26" t="s">
        <v>121</v>
      </c>
      <c r="D1039" s="26" t="s">
        <v>121</v>
      </c>
      <c r="E1039" s="26" t="s">
        <v>48</v>
      </c>
      <c r="F1039" s="26" t="s">
        <v>1165</v>
      </c>
      <c r="G1039" s="26" t="s">
        <v>1166</v>
      </c>
      <c r="H1039" s="4">
        <f>IF(DATEDIF(L1039,S1039,"m")&gt;12,DATEDIF(L1039,S1039,"y"),(DATEDIF(L1039,S1039,"m")/12))</f>
        <v>68</v>
      </c>
      <c r="I1039" s="7">
        <f>DATEDIF(L1039,S1039,"M")</f>
        <v>824</v>
      </c>
      <c r="J1039" s="7">
        <f>DATEDIF(L1039,S1039,"D")</f>
        <v>25086</v>
      </c>
      <c r="K1039" s="26" t="s">
        <v>64</v>
      </c>
      <c r="L1039" s="27">
        <v>19897</v>
      </c>
      <c r="M1039" s="26" t="s">
        <v>45</v>
      </c>
      <c r="N1039" s="26" t="s">
        <v>73</v>
      </c>
      <c r="O1039" s="26" t="s">
        <v>52</v>
      </c>
      <c r="P1039" s="26" t="s">
        <v>406</v>
      </c>
      <c r="Q1039" s="28">
        <v>1</v>
      </c>
      <c r="R1039" s="27">
        <v>44984</v>
      </c>
      <c r="S1039" s="27">
        <v>44983</v>
      </c>
      <c r="T1039" s="3" t="s">
        <v>54</v>
      </c>
      <c r="U1039" s="26" t="s">
        <v>55</v>
      </c>
      <c r="V1039" s="9"/>
      <c r="W1039" s="30">
        <v>45005</v>
      </c>
      <c r="X1039" s="28">
        <v>21</v>
      </c>
      <c r="Y1039" s="28">
        <v>1</v>
      </c>
      <c r="Z1039" s="28">
        <v>2</v>
      </c>
      <c r="AA1039" s="7">
        <f>INT((S1039-DATE(YEAR(S1039-WEEKDAY(S1039-0)+4),1,4)+WEEKDAY(DATE(YEAR(S1039-WEEKDAY(S1039-0)+4),1,4))+6)/7)</f>
        <v>9</v>
      </c>
      <c r="AB1039" s="26" t="s">
        <v>1167</v>
      </c>
      <c r="AC1039" s="28">
        <v>198</v>
      </c>
      <c r="AD1039" s="28">
        <v>0</v>
      </c>
      <c r="AE1039" s="28">
        <v>1</v>
      </c>
      <c r="AF1039" s="26" t="s">
        <v>48</v>
      </c>
      <c r="AG1039" s="7">
        <v>2023</v>
      </c>
      <c r="AH1039" s="26" t="s">
        <v>1168</v>
      </c>
      <c r="AI1039" s="26" t="s">
        <v>453</v>
      </c>
      <c r="AJ1039" s="26" t="s">
        <v>48</v>
      </c>
      <c r="AK1039" s="26" t="s">
        <v>235</v>
      </c>
      <c r="AL1039" s="3" t="s">
        <v>59</v>
      </c>
      <c r="AM1039" s="26" t="s">
        <v>99</v>
      </c>
      <c r="AN1039" s="26" t="s">
        <v>61</v>
      </c>
      <c r="AO1039" s="26" t="s">
        <v>62</v>
      </c>
      <c r="AP1039" s="26" t="s">
        <v>69</v>
      </c>
      <c r="AQ1039" s="26" t="s">
        <v>61</v>
      </c>
      <c r="AR1039" s="26" t="s">
        <v>48</v>
      </c>
    </row>
    <row r="1040" spans="1:44" ht="30" customHeight="1">
      <c r="A1040" s="3" t="s">
        <v>44</v>
      </c>
      <c r="B1040" s="3" t="s">
        <v>45</v>
      </c>
      <c r="C1040" s="26" t="s">
        <v>46</v>
      </c>
      <c r="D1040" s="26" t="s">
        <v>108</v>
      </c>
      <c r="E1040" s="26" t="s">
        <v>48</v>
      </c>
      <c r="F1040" s="26" t="s">
        <v>108</v>
      </c>
      <c r="G1040" s="26" t="s">
        <v>421</v>
      </c>
      <c r="H1040" s="5">
        <f>IF(DATEDIF(L1040,S1040,"m")&gt;12,DATEDIF(L1040,S1040,"y"),(DATEDIF(L1040,S1040,"m")/12))</f>
        <v>0.16666666666666666</v>
      </c>
      <c r="I1040" s="7">
        <f>DATEDIF(L1040,S1040,"M")</f>
        <v>2</v>
      </c>
      <c r="J1040" s="7">
        <f>DATEDIF(L1040,S1040,"D")</f>
        <v>72</v>
      </c>
      <c r="K1040" s="26" t="s">
        <v>51</v>
      </c>
      <c r="L1040" s="27">
        <v>44934</v>
      </c>
      <c r="M1040" s="26" t="s">
        <v>45</v>
      </c>
      <c r="N1040" s="26" t="s">
        <v>73</v>
      </c>
      <c r="O1040" s="26" t="s">
        <v>52</v>
      </c>
      <c r="P1040" s="26" t="s">
        <v>422</v>
      </c>
      <c r="Q1040" s="28">
        <v>0</v>
      </c>
      <c r="R1040" s="27">
        <v>45008</v>
      </c>
      <c r="S1040" s="27">
        <v>45006</v>
      </c>
      <c r="T1040" s="3" t="s">
        <v>54</v>
      </c>
      <c r="U1040" s="26" t="s">
        <v>55</v>
      </c>
      <c r="V1040" s="9"/>
      <c r="W1040" s="30">
        <v>45012</v>
      </c>
      <c r="X1040" s="28">
        <v>4</v>
      </c>
      <c r="Y1040" s="28">
        <v>2</v>
      </c>
      <c r="Z1040" s="28">
        <v>3</v>
      </c>
      <c r="AA1040" s="7">
        <f>INT((S1040-DATE(YEAR(S1040-WEEKDAY(S1040-0)+4),1,4)+WEEKDAY(DATE(YEAR(S1040-WEEKDAY(S1040-0)+4),1,4))+6)/7)</f>
        <v>12</v>
      </c>
      <c r="AB1040" s="26" t="s">
        <v>423</v>
      </c>
      <c r="AC1040" s="28">
        <v>382</v>
      </c>
      <c r="AD1040" s="28">
        <v>0</v>
      </c>
      <c r="AE1040" s="28">
        <v>0</v>
      </c>
      <c r="AF1040" s="26" t="s">
        <v>48</v>
      </c>
      <c r="AG1040" s="7">
        <v>2023</v>
      </c>
      <c r="AH1040" s="26" t="s">
        <v>112</v>
      </c>
      <c r="AI1040" s="26" t="s">
        <v>113</v>
      </c>
      <c r="AJ1040" s="26" t="s">
        <v>48</v>
      </c>
      <c r="AK1040" s="26" t="s">
        <v>235</v>
      </c>
      <c r="AL1040" s="3" t="s">
        <v>59</v>
      </c>
      <c r="AM1040" s="26" t="s">
        <v>115</v>
      </c>
      <c r="AN1040" s="26" t="s">
        <v>61</v>
      </c>
      <c r="AO1040" s="26" t="s">
        <v>62</v>
      </c>
      <c r="AP1040" s="26" t="s">
        <v>69</v>
      </c>
      <c r="AQ1040" s="26" t="s">
        <v>61</v>
      </c>
      <c r="AR1040" s="26" t="s">
        <v>48</v>
      </c>
    </row>
    <row r="1041" spans="1:38" ht="30" customHeight="1">
      <c r="A1041" s="3" t="s">
        <v>44</v>
      </c>
      <c r="B1041" s="3" t="s">
        <v>45</v>
      </c>
      <c r="G1041" t="s">
        <v>2717</v>
      </c>
      <c r="H1041" s="5">
        <f>IF(DATEDIF(L1041,S1041,"m")&gt;12,DATEDIF(L1041,S1041,"y"),(DATEDIF(L1041,S1041,"m")/12))</f>
        <v>0.58333333333333337</v>
      </c>
      <c r="I1041" s="7">
        <f>DATEDIF(L1041,S1041,"M")</f>
        <v>7</v>
      </c>
      <c r="J1041" s="7">
        <f>DATEDIF(L1041,S1041,"D")</f>
        <v>217</v>
      </c>
      <c r="K1041" t="s">
        <v>64</v>
      </c>
      <c r="L1041" s="1">
        <v>44900</v>
      </c>
      <c r="M1041" s="17" t="s">
        <v>45</v>
      </c>
      <c r="N1041" t="s">
        <v>49</v>
      </c>
      <c r="O1041" t="s">
        <v>52</v>
      </c>
      <c r="P1041" t="s">
        <v>1739</v>
      </c>
      <c r="Q1041">
        <v>1</v>
      </c>
      <c r="R1041" s="1">
        <v>45128</v>
      </c>
      <c r="S1041" s="1">
        <v>45117</v>
      </c>
      <c r="T1041" s="3" t="s">
        <v>54</v>
      </c>
      <c r="U1041" t="s">
        <v>55</v>
      </c>
      <c r="W1041" s="1">
        <v>45130</v>
      </c>
      <c r="Z1041">
        <v>7</v>
      </c>
      <c r="AA1041" s="7">
        <f>INT((S1041-DATE(YEAR(S1041-WEEKDAY(S1041-0)+4),1,4)+WEEKDAY(DATE(YEAR(S1041-WEEKDAY(S1041-0)+4),1,4))+6)/7)</f>
        <v>28</v>
      </c>
      <c r="AB1041" t="s">
        <v>2718</v>
      </c>
      <c r="AG1041" s="7">
        <v>2023</v>
      </c>
      <c r="AH1041" t="s">
        <v>2710</v>
      </c>
      <c r="AK1041" t="s">
        <v>2719</v>
      </c>
      <c r="AL1041" s="3" t="s">
        <v>59</v>
      </c>
    </row>
    <row r="1042" spans="1:38" ht="30" customHeight="1">
      <c r="A1042" s="3" t="s">
        <v>44</v>
      </c>
      <c r="B1042" s="3" t="s">
        <v>45</v>
      </c>
      <c r="G1042" t="s">
        <v>2720</v>
      </c>
      <c r="H1042" s="4">
        <f>IF(DATEDIF(L1042,S1042,"m")&gt;12,DATEDIF(L1042,S1042,"y"),(DATEDIF(L1042,S1042,"m")/12))</f>
        <v>2</v>
      </c>
      <c r="I1042" s="7">
        <f>DATEDIF(L1042,S1042,"M")</f>
        <v>26</v>
      </c>
      <c r="J1042" s="7">
        <f>DATEDIF(L1042,S1042,"D")</f>
        <v>803</v>
      </c>
      <c r="K1042" t="s">
        <v>64</v>
      </c>
      <c r="L1042" s="1">
        <v>44324</v>
      </c>
      <c r="M1042" s="17" t="s">
        <v>45</v>
      </c>
      <c r="N1042" t="s">
        <v>49</v>
      </c>
      <c r="O1042" t="s">
        <v>52</v>
      </c>
      <c r="P1042" t="s">
        <v>2592</v>
      </c>
      <c r="Q1042">
        <v>1</v>
      </c>
      <c r="R1042" s="1">
        <v>45128</v>
      </c>
      <c r="S1042" s="1">
        <v>45127</v>
      </c>
      <c r="T1042" s="3" t="s">
        <v>54</v>
      </c>
      <c r="U1042" t="s">
        <v>55</v>
      </c>
      <c r="W1042" s="1">
        <v>45130</v>
      </c>
      <c r="Z1042">
        <v>7</v>
      </c>
      <c r="AA1042" s="7">
        <f>INT((S1042-DATE(YEAR(S1042-WEEKDAY(S1042-0)+4),1,4)+WEEKDAY(DATE(YEAR(S1042-WEEKDAY(S1042-0)+4),1,4))+6)/7)</f>
        <v>29</v>
      </c>
      <c r="AB1042" t="s">
        <v>2721</v>
      </c>
      <c r="AG1042" s="7">
        <v>2023</v>
      </c>
      <c r="AH1042" t="s">
        <v>2710</v>
      </c>
      <c r="AK1042" t="s">
        <v>2722</v>
      </c>
      <c r="AL1042" s="3" t="s">
        <v>59</v>
      </c>
    </row>
    <row r="1043" spans="1:38" ht="30" customHeight="1">
      <c r="A1043" s="3" t="s">
        <v>44</v>
      </c>
      <c r="B1043" s="3" t="s">
        <v>45</v>
      </c>
      <c r="G1043">
        <v>10305316</v>
      </c>
      <c r="H1043" s="4">
        <f>IF(DATEDIF(L1043,S1043,"m")&gt;12,DATEDIF(L1043,S1043,"y"),(DATEDIF(L1043,S1043,"m")/12))</f>
        <v>12</v>
      </c>
      <c r="I1043" s="7">
        <f>DATEDIF(L1043,S1043,"M")</f>
        <v>144</v>
      </c>
      <c r="J1043" s="7">
        <f>DATEDIF(L1043,S1043,"D")</f>
        <v>4384</v>
      </c>
      <c r="K1043" t="s">
        <v>64</v>
      </c>
      <c r="L1043" s="1">
        <v>40738</v>
      </c>
      <c r="M1043" s="17" t="s">
        <v>45</v>
      </c>
      <c r="N1043" t="s">
        <v>101</v>
      </c>
      <c r="O1043" t="s">
        <v>52</v>
      </c>
      <c r="P1043" t="s">
        <v>2794</v>
      </c>
      <c r="Q1043">
        <v>0</v>
      </c>
      <c r="R1043" s="1">
        <v>45124</v>
      </c>
      <c r="S1043" s="1">
        <v>45122</v>
      </c>
      <c r="T1043" s="3" t="s">
        <v>54</v>
      </c>
      <c r="U1043" t="s">
        <v>55</v>
      </c>
      <c r="W1043" s="1">
        <v>45134</v>
      </c>
      <c r="Z1043">
        <v>7</v>
      </c>
      <c r="AA1043" s="7">
        <f>INT((S1043-DATE(YEAR(S1043-WEEKDAY(S1043-0)+4),1,4)+WEEKDAY(DATE(YEAR(S1043-WEEKDAY(S1043-0)+4),1,4))+6)/7)</f>
        <v>28</v>
      </c>
      <c r="AB1043" t="s">
        <v>2795</v>
      </c>
      <c r="AG1043" s="7">
        <v>2023</v>
      </c>
      <c r="AH1043" t="s">
        <v>105</v>
      </c>
      <c r="AK1043" t="s">
        <v>2611</v>
      </c>
      <c r="AL1043" s="3" t="s">
        <v>59</v>
      </c>
    </row>
    <row r="1044" spans="1:38" ht="30" customHeight="1">
      <c r="A1044" s="3" t="s">
        <v>44</v>
      </c>
      <c r="B1044" s="3" t="s">
        <v>45</v>
      </c>
      <c r="G1044">
        <v>10305319</v>
      </c>
      <c r="H1044" s="4">
        <f>IF(DATEDIF(L1044,S1044,"m")&gt;12,DATEDIF(L1044,S1044,"y"),(DATEDIF(L1044,S1044,"m")/12))</f>
        <v>60</v>
      </c>
      <c r="I1044" s="7">
        <f>DATEDIF(L1044,S1044,"M")</f>
        <v>722</v>
      </c>
      <c r="J1044" s="7">
        <f>DATEDIF(L1044,S1044,"D")</f>
        <v>21979</v>
      </c>
      <c r="K1044" t="s">
        <v>51</v>
      </c>
      <c r="L1044" s="1">
        <v>23141</v>
      </c>
      <c r="M1044" s="17" t="s">
        <v>45</v>
      </c>
      <c r="N1044" t="s">
        <v>101</v>
      </c>
      <c r="O1044" t="s">
        <v>52</v>
      </c>
      <c r="P1044" t="s">
        <v>2794</v>
      </c>
      <c r="Q1044">
        <v>0</v>
      </c>
      <c r="R1044" s="1">
        <v>45124</v>
      </c>
      <c r="S1044" s="1">
        <v>45120</v>
      </c>
      <c r="T1044" s="3" t="s">
        <v>54</v>
      </c>
      <c r="U1044" t="s">
        <v>55</v>
      </c>
      <c r="W1044" s="1">
        <v>45134</v>
      </c>
      <c r="Z1044">
        <v>7</v>
      </c>
      <c r="AA1044" s="7">
        <f>INT((S1044-DATE(YEAR(S1044-WEEKDAY(S1044-0)+4),1,4)+WEEKDAY(DATE(YEAR(S1044-WEEKDAY(S1044-0)+4),1,4))+6)/7)</f>
        <v>28</v>
      </c>
      <c r="AB1044" t="s">
        <v>2796</v>
      </c>
      <c r="AG1044" s="7">
        <v>2023</v>
      </c>
      <c r="AH1044" t="s">
        <v>105</v>
      </c>
      <c r="AK1044" t="s">
        <v>2611</v>
      </c>
      <c r="AL1044" s="3" t="s">
        <v>59</v>
      </c>
    </row>
    <row r="1045" spans="1:38" ht="30" customHeight="1">
      <c r="A1045" s="3" t="s">
        <v>44</v>
      </c>
      <c r="B1045" s="3" t="s">
        <v>45</v>
      </c>
      <c r="G1045" t="s">
        <v>2797</v>
      </c>
      <c r="H1045" s="4">
        <f>IF(DATEDIF(L1045,S1045,"m")&gt;12,DATEDIF(L1045,S1045,"y"),(DATEDIF(L1045,S1045,"m")/12))</f>
        <v>7</v>
      </c>
      <c r="I1045" s="7">
        <f>DATEDIF(L1045,S1045,"M")</f>
        <v>86</v>
      </c>
      <c r="J1045" s="7">
        <f>DATEDIF(L1045,S1045,"D")</f>
        <v>2646</v>
      </c>
      <c r="K1045" t="s">
        <v>51</v>
      </c>
      <c r="L1045" s="1">
        <v>42487</v>
      </c>
      <c r="M1045" s="17" t="s">
        <v>45</v>
      </c>
      <c r="N1045" t="s">
        <v>83</v>
      </c>
      <c r="O1045" t="s">
        <v>52</v>
      </c>
      <c r="P1045" t="s">
        <v>2798</v>
      </c>
      <c r="Q1045">
        <v>0</v>
      </c>
      <c r="R1045" s="1">
        <v>45140</v>
      </c>
      <c r="S1045" s="1">
        <v>45133</v>
      </c>
      <c r="T1045" s="3" t="s">
        <v>54</v>
      </c>
      <c r="U1045" t="s">
        <v>55</v>
      </c>
      <c r="W1045" s="1">
        <v>45140</v>
      </c>
      <c r="Z1045">
        <f>MONTH(S1045)</f>
        <v>7</v>
      </c>
      <c r="AA1045" s="7">
        <f>INT((S1045-DATE(YEAR(S1045-WEEKDAY(S1045-0)+4),1,4)+WEEKDAY(DATE(YEAR(S1045-WEEKDAY(S1045-0)+4),1,4))+6)/7)</f>
        <v>30</v>
      </c>
      <c r="AB1045" t="s">
        <v>2799</v>
      </c>
      <c r="AG1045" s="7">
        <v>2023</v>
      </c>
      <c r="AH1045" t="s">
        <v>482</v>
      </c>
      <c r="AK1045" t="s">
        <v>2666</v>
      </c>
      <c r="AL1045" s="3" t="s">
        <v>59</v>
      </c>
    </row>
    <row r="1046" spans="1:38" ht="30" customHeight="1">
      <c r="A1046" s="3" t="s">
        <v>44</v>
      </c>
      <c r="B1046" s="3" t="s">
        <v>45</v>
      </c>
      <c r="G1046" t="s">
        <v>2800</v>
      </c>
      <c r="H1046" s="4">
        <f>IF(DATEDIF(L1046,S1046,"m")&gt;12,DATEDIF(L1046,S1046,"y"),(DATEDIF(L1046,S1046,"m")/12))</f>
        <v>28</v>
      </c>
      <c r="I1046" s="7">
        <f>DATEDIF(L1046,S1046,"M")</f>
        <v>339</v>
      </c>
      <c r="J1046" s="7">
        <f>DATEDIF(L1046,S1046,"D")</f>
        <v>10332</v>
      </c>
      <c r="K1046" t="s">
        <v>64</v>
      </c>
      <c r="L1046" s="1">
        <v>34804</v>
      </c>
      <c r="M1046" s="17" t="s">
        <v>45</v>
      </c>
      <c r="N1046" t="s">
        <v>83</v>
      </c>
      <c r="O1046" t="s">
        <v>52</v>
      </c>
      <c r="P1046" t="s">
        <v>2463</v>
      </c>
      <c r="Q1046">
        <v>0</v>
      </c>
      <c r="R1046" s="1">
        <v>45140</v>
      </c>
      <c r="S1046" s="1">
        <v>45136</v>
      </c>
      <c r="T1046" s="3" t="s">
        <v>54</v>
      </c>
      <c r="U1046" t="s">
        <v>55</v>
      </c>
      <c r="W1046" s="1">
        <v>45140</v>
      </c>
      <c r="Z1046">
        <f>MONTH(S1046)</f>
        <v>7</v>
      </c>
      <c r="AA1046" s="7">
        <f>INT((S1046-DATE(YEAR(S1046-WEEKDAY(S1046-0)+4),1,4)+WEEKDAY(DATE(YEAR(S1046-WEEKDAY(S1046-0)+4),1,4))+6)/7)</f>
        <v>30</v>
      </c>
      <c r="AB1046" t="s">
        <v>2801</v>
      </c>
      <c r="AG1046" s="7">
        <v>2023</v>
      </c>
      <c r="AH1046" t="s">
        <v>482</v>
      </c>
      <c r="AK1046" t="s">
        <v>2802</v>
      </c>
      <c r="AL1046" s="3" t="s">
        <v>59</v>
      </c>
    </row>
    <row r="1047" spans="1:38" ht="30" customHeight="1">
      <c r="A1047" s="3" t="s">
        <v>44</v>
      </c>
      <c r="B1047" s="3" t="s">
        <v>45</v>
      </c>
      <c r="G1047" t="s">
        <v>2803</v>
      </c>
      <c r="H1047" s="4">
        <f>IF(DATEDIF(L1047,S1047,"m")&gt;12,DATEDIF(L1047,S1047,"y"),(DATEDIF(L1047,S1047,"m")/12))</f>
        <v>1</v>
      </c>
      <c r="I1047" s="7">
        <f>DATEDIF(L1047,S1047,"M")</f>
        <v>14</v>
      </c>
      <c r="J1047" s="7">
        <f>DATEDIF(L1047,S1047,"D")</f>
        <v>454</v>
      </c>
      <c r="K1047" t="s">
        <v>64</v>
      </c>
      <c r="L1047" s="1">
        <v>44683</v>
      </c>
      <c r="M1047" s="17" t="s">
        <v>45</v>
      </c>
      <c r="N1047" t="s">
        <v>83</v>
      </c>
      <c r="O1047" t="s">
        <v>52</v>
      </c>
      <c r="P1047" t="s">
        <v>2620</v>
      </c>
      <c r="Q1047">
        <v>0</v>
      </c>
      <c r="R1047" s="1">
        <v>45140</v>
      </c>
      <c r="S1047" s="1">
        <v>45137</v>
      </c>
      <c r="T1047" s="3" t="s">
        <v>54</v>
      </c>
      <c r="U1047" t="s">
        <v>55</v>
      </c>
      <c r="W1047" s="1">
        <v>45140</v>
      </c>
      <c r="Z1047">
        <f>MONTH(S1047)</f>
        <v>7</v>
      </c>
      <c r="AA1047" s="7">
        <f>INT((S1047-DATE(YEAR(S1047-WEEKDAY(S1047-0)+4),1,4)+WEEKDAY(DATE(YEAR(S1047-WEEKDAY(S1047-0)+4),1,4))+6)/7)</f>
        <v>31</v>
      </c>
      <c r="AB1047" t="s">
        <v>2804</v>
      </c>
      <c r="AG1047" s="7">
        <v>2023</v>
      </c>
      <c r="AH1047" t="s">
        <v>482</v>
      </c>
      <c r="AK1047" t="s">
        <v>2805</v>
      </c>
      <c r="AL1047" s="3" t="s">
        <v>59</v>
      </c>
    </row>
    <row r="1048" spans="1:38" ht="30" customHeight="1">
      <c r="A1048" s="3" t="s">
        <v>44</v>
      </c>
      <c r="B1048" s="3" t="s">
        <v>45</v>
      </c>
      <c r="G1048" t="s">
        <v>2806</v>
      </c>
      <c r="H1048" s="4">
        <f>IF(DATEDIF(L1048,S1048,"m")&gt;12,DATEDIF(L1048,S1048,"y"),(DATEDIF(L1048,S1048,"m")/12))</f>
        <v>2</v>
      </c>
      <c r="I1048" s="7">
        <f>DATEDIF(L1048,S1048,"M")</f>
        <v>34</v>
      </c>
      <c r="J1048" s="7">
        <f>DATEDIF(L1048,S1048,"D")</f>
        <v>1051</v>
      </c>
      <c r="K1048" t="s">
        <v>64</v>
      </c>
      <c r="L1048" s="1">
        <v>44082</v>
      </c>
      <c r="M1048" s="17" t="s">
        <v>45</v>
      </c>
      <c r="N1048" t="s">
        <v>83</v>
      </c>
      <c r="O1048" t="s">
        <v>52</v>
      </c>
      <c r="P1048" t="s">
        <v>2598</v>
      </c>
      <c r="Q1048">
        <v>0</v>
      </c>
      <c r="R1048" s="1">
        <v>45140</v>
      </c>
      <c r="S1048" s="1">
        <v>45133</v>
      </c>
      <c r="T1048" s="3" t="s">
        <v>54</v>
      </c>
      <c r="U1048" t="s">
        <v>55</v>
      </c>
      <c r="W1048" s="1">
        <v>45140</v>
      </c>
      <c r="Z1048">
        <f>MONTH(S1048)</f>
        <v>7</v>
      </c>
      <c r="AA1048" s="7">
        <f>INT((S1048-DATE(YEAR(S1048-WEEKDAY(S1048-0)+4),1,4)+WEEKDAY(DATE(YEAR(S1048-WEEKDAY(S1048-0)+4),1,4))+6)/7)</f>
        <v>30</v>
      </c>
      <c r="AB1048" t="s">
        <v>2807</v>
      </c>
      <c r="AG1048" s="7">
        <v>2023</v>
      </c>
      <c r="AH1048" t="s">
        <v>482</v>
      </c>
      <c r="AK1048" t="s">
        <v>2693</v>
      </c>
      <c r="AL1048" s="3" t="s">
        <v>59</v>
      </c>
    </row>
    <row r="1049" spans="1:38" ht="30" customHeight="1">
      <c r="A1049" s="3" t="s">
        <v>44</v>
      </c>
      <c r="B1049" s="3" t="s">
        <v>45</v>
      </c>
      <c r="G1049" t="s">
        <v>2808</v>
      </c>
      <c r="H1049" s="4">
        <f>IF(DATEDIF(L1049,S1049,"m")&gt;12,DATEDIF(L1049,S1049,"y"),(DATEDIF(L1049,S1049,"m")/12))</f>
        <v>1</v>
      </c>
      <c r="I1049" s="7">
        <f>DATEDIF(L1049,S1049,"M")</f>
        <v>12</v>
      </c>
      <c r="J1049" s="7">
        <f>DATEDIF(L1049,S1049,"D")</f>
        <v>373</v>
      </c>
      <c r="K1049" t="s">
        <v>51</v>
      </c>
      <c r="L1049" s="1">
        <v>44760</v>
      </c>
      <c r="M1049" s="17" t="s">
        <v>45</v>
      </c>
      <c r="N1049" t="s">
        <v>83</v>
      </c>
      <c r="O1049" t="s">
        <v>52</v>
      </c>
      <c r="P1049" t="s">
        <v>2598</v>
      </c>
      <c r="Q1049">
        <v>0</v>
      </c>
      <c r="R1049" s="1">
        <v>45140</v>
      </c>
      <c r="S1049" s="1">
        <v>45133</v>
      </c>
      <c r="T1049" s="3" t="s">
        <v>54</v>
      </c>
      <c r="U1049" t="s">
        <v>55</v>
      </c>
      <c r="W1049" s="1">
        <v>45140</v>
      </c>
      <c r="Z1049">
        <f>MONTH(S1049)</f>
        <v>7</v>
      </c>
      <c r="AA1049" s="7">
        <f>INT((S1049-DATE(YEAR(S1049-WEEKDAY(S1049-0)+4),1,4)+WEEKDAY(DATE(YEAR(S1049-WEEKDAY(S1049-0)+4),1,4))+6)/7)</f>
        <v>30</v>
      </c>
      <c r="AB1049" t="s">
        <v>2809</v>
      </c>
      <c r="AG1049" s="7">
        <v>2023</v>
      </c>
      <c r="AH1049" t="s">
        <v>482</v>
      </c>
      <c r="AK1049" t="s">
        <v>2693</v>
      </c>
      <c r="AL1049" s="3" t="s">
        <v>59</v>
      </c>
    </row>
    <row r="1050" spans="1:38" ht="30" customHeight="1">
      <c r="A1050" s="3" t="s">
        <v>44</v>
      </c>
      <c r="B1050" s="3" t="s">
        <v>45</v>
      </c>
      <c r="G1050" t="s">
        <v>2814</v>
      </c>
      <c r="H1050" s="5">
        <f>IF(DATEDIF(L1050,S1050,"m")&gt;12,DATEDIF(L1050,S1050,"y"),(DATEDIF(L1050,S1050,"m")/12))</f>
        <v>8.3333333333333329E-2</v>
      </c>
      <c r="I1050" s="7">
        <f>DATEDIF(L1050,S1050,"M")</f>
        <v>1</v>
      </c>
      <c r="J1050" s="7">
        <f>DATEDIF(L1050,S1050,"D")</f>
        <v>58</v>
      </c>
      <c r="K1050" t="s">
        <v>51</v>
      </c>
      <c r="L1050" s="1">
        <v>45081</v>
      </c>
      <c r="M1050" s="17" t="s">
        <v>45</v>
      </c>
      <c r="N1050" t="s">
        <v>83</v>
      </c>
      <c r="O1050" t="s">
        <v>52</v>
      </c>
      <c r="P1050" t="s">
        <v>2518</v>
      </c>
      <c r="Q1050">
        <v>0</v>
      </c>
      <c r="R1050" s="1">
        <v>45140</v>
      </c>
      <c r="S1050" s="1">
        <v>45139</v>
      </c>
      <c r="T1050" s="3" t="s">
        <v>54</v>
      </c>
      <c r="U1050" t="s">
        <v>55</v>
      </c>
      <c r="W1050" s="1">
        <v>45140</v>
      </c>
      <c r="Z1050">
        <f>MONTH(S1050)</f>
        <v>8</v>
      </c>
      <c r="AA1050" s="7">
        <f>INT((S1050-DATE(YEAR(S1050-WEEKDAY(S1050-0)+4),1,4)+WEEKDAY(DATE(YEAR(S1050-WEEKDAY(S1050-0)+4),1,4))+6)/7)</f>
        <v>31</v>
      </c>
      <c r="AB1050" t="s">
        <v>2815</v>
      </c>
      <c r="AG1050" s="7">
        <v>2023</v>
      </c>
      <c r="AH1050" t="s">
        <v>482</v>
      </c>
      <c r="AK1050" t="s">
        <v>2638</v>
      </c>
      <c r="AL1050" s="3" t="s">
        <v>59</v>
      </c>
    </row>
    <row r="1051" spans="1:38" ht="30" customHeight="1">
      <c r="A1051" s="3" t="s">
        <v>44</v>
      </c>
      <c r="B1051" s="3" t="s">
        <v>45</v>
      </c>
      <c r="G1051" t="s">
        <v>2816</v>
      </c>
      <c r="H1051" s="5">
        <f>IF(DATEDIF(L1051,S1051,"m")&gt;12,DATEDIF(L1051,S1051,"y"),(DATEDIF(L1051,S1051,"m")/12))</f>
        <v>0.41666666666666669</v>
      </c>
      <c r="I1051" s="7">
        <f>DATEDIF(L1051,S1051,"M")</f>
        <v>5</v>
      </c>
      <c r="J1051" s="7">
        <f>DATEDIF(L1051,S1051,"D")</f>
        <v>173</v>
      </c>
      <c r="K1051" t="s">
        <v>64</v>
      </c>
      <c r="L1051" s="1">
        <v>44963</v>
      </c>
      <c r="M1051" s="17" t="s">
        <v>45</v>
      </c>
      <c r="N1051" t="s">
        <v>83</v>
      </c>
      <c r="O1051" t="s">
        <v>52</v>
      </c>
      <c r="P1051" t="s">
        <v>2518</v>
      </c>
      <c r="Q1051">
        <v>0</v>
      </c>
      <c r="R1051" s="1">
        <v>45140</v>
      </c>
      <c r="S1051" s="1">
        <v>45136</v>
      </c>
      <c r="T1051" s="3" t="s">
        <v>54</v>
      </c>
      <c r="U1051" t="s">
        <v>55</v>
      </c>
      <c r="W1051" s="1">
        <v>45140</v>
      </c>
      <c r="Z1051">
        <f>MONTH(S1051)</f>
        <v>7</v>
      </c>
      <c r="AA1051" s="7">
        <f>INT((S1051-DATE(YEAR(S1051-WEEKDAY(S1051-0)+4),1,4)+WEEKDAY(DATE(YEAR(S1051-WEEKDAY(S1051-0)+4),1,4))+6)/7)</f>
        <v>30</v>
      </c>
      <c r="AB1051" t="s">
        <v>2817</v>
      </c>
      <c r="AG1051" s="7">
        <v>2023</v>
      </c>
      <c r="AH1051" t="s">
        <v>482</v>
      </c>
      <c r="AK1051" t="s">
        <v>2818</v>
      </c>
      <c r="AL1051" s="3" t="s">
        <v>59</v>
      </c>
    </row>
    <row r="1052" spans="1:38" ht="30" customHeight="1">
      <c r="A1052" s="3" t="s">
        <v>44</v>
      </c>
      <c r="B1052" s="3" t="s">
        <v>45</v>
      </c>
      <c r="G1052" t="s">
        <v>2824</v>
      </c>
      <c r="H1052" s="4">
        <f>IF(DATEDIF(L1052,S1052,"m")&gt;12,DATEDIF(L1052,S1052,"y"),(DATEDIF(L1052,S1052,"m")/12))</f>
        <v>5</v>
      </c>
      <c r="I1052" s="7">
        <f>DATEDIF(L1052,S1052,"M")</f>
        <v>70</v>
      </c>
      <c r="J1052" s="7">
        <f>DATEDIF(L1052,S1052,"D")</f>
        <v>2158</v>
      </c>
      <c r="K1052" t="s">
        <v>64</v>
      </c>
      <c r="L1052" s="1">
        <v>42979</v>
      </c>
      <c r="M1052" s="17" t="s">
        <v>45</v>
      </c>
      <c r="N1052" t="s">
        <v>83</v>
      </c>
      <c r="O1052" t="s">
        <v>52</v>
      </c>
      <c r="P1052" t="s">
        <v>2579</v>
      </c>
      <c r="Q1052">
        <v>0</v>
      </c>
      <c r="R1052" s="1">
        <v>45140</v>
      </c>
      <c r="S1052" s="1">
        <v>45137</v>
      </c>
      <c r="T1052" s="3" t="s">
        <v>54</v>
      </c>
      <c r="U1052" t="s">
        <v>55</v>
      </c>
      <c r="W1052" s="1">
        <v>45140</v>
      </c>
      <c r="Z1052">
        <f>MONTH(S1052)</f>
        <v>7</v>
      </c>
      <c r="AA1052" s="7">
        <f>INT((S1052-DATE(YEAR(S1052-WEEKDAY(S1052-0)+4),1,4)+WEEKDAY(DATE(YEAR(S1052-WEEKDAY(S1052-0)+4),1,4))+6)/7)</f>
        <v>31</v>
      </c>
      <c r="AB1052" t="s">
        <v>2825</v>
      </c>
      <c r="AG1052" s="7">
        <v>2023</v>
      </c>
      <c r="AH1052" t="s">
        <v>482</v>
      </c>
      <c r="AK1052" t="s">
        <v>2826</v>
      </c>
      <c r="AL1052" s="3" t="s">
        <v>59</v>
      </c>
    </row>
    <row r="1053" spans="1:38" ht="30" customHeight="1">
      <c r="A1053" s="3" t="s">
        <v>44</v>
      </c>
      <c r="B1053" s="3" t="s">
        <v>45</v>
      </c>
      <c r="G1053" t="s">
        <v>2827</v>
      </c>
      <c r="H1053" s="4">
        <f>IF(DATEDIF(L1053,S1053,"m")&gt;12,DATEDIF(L1053,S1053,"y"),(DATEDIF(L1053,S1053,"m")/12))</f>
        <v>10</v>
      </c>
      <c r="I1053" s="7">
        <f>DATEDIF(L1053,S1053,"M")</f>
        <v>122</v>
      </c>
      <c r="J1053" s="7">
        <f>DATEDIF(L1053,S1053,"D")</f>
        <v>3727</v>
      </c>
      <c r="K1053" t="s">
        <v>51</v>
      </c>
      <c r="L1053" s="1">
        <v>41409</v>
      </c>
      <c r="M1053" s="17" t="s">
        <v>45</v>
      </c>
      <c r="N1053" t="s">
        <v>83</v>
      </c>
      <c r="O1053" t="s">
        <v>52</v>
      </c>
      <c r="P1053" t="s">
        <v>2579</v>
      </c>
      <c r="Q1053">
        <v>0</v>
      </c>
      <c r="R1053" s="1">
        <v>45140</v>
      </c>
      <c r="S1053" s="1">
        <v>45136</v>
      </c>
      <c r="T1053" s="3" t="s">
        <v>54</v>
      </c>
      <c r="U1053" t="s">
        <v>55</v>
      </c>
      <c r="W1053" s="1">
        <v>45140</v>
      </c>
      <c r="Z1053">
        <f>MONTH(S1053)</f>
        <v>7</v>
      </c>
      <c r="AA1053" s="7">
        <f>INT((S1053-DATE(YEAR(S1053-WEEKDAY(S1053-0)+4),1,4)+WEEKDAY(DATE(YEAR(S1053-WEEKDAY(S1053-0)+4),1,4))+6)/7)</f>
        <v>30</v>
      </c>
      <c r="AB1053" t="s">
        <v>2828</v>
      </c>
      <c r="AG1053" s="7">
        <v>2023</v>
      </c>
      <c r="AH1053" t="s">
        <v>482</v>
      </c>
      <c r="AK1053" t="s">
        <v>2826</v>
      </c>
      <c r="AL1053" s="3" t="s">
        <v>59</v>
      </c>
    </row>
    <row r="1054" spans="1:38" ht="30" customHeight="1">
      <c r="A1054" s="3" t="s">
        <v>44</v>
      </c>
      <c r="B1054" s="3" t="s">
        <v>45</v>
      </c>
      <c r="G1054" t="s">
        <v>2829</v>
      </c>
      <c r="H1054" s="4">
        <f>IF(DATEDIF(L1054,S1054,"m")&gt;12,DATEDIF(L1054,S1054,"y"),(DATEDIF(L1054,S1054,"m")/12))</f>
        <v>4</v>
      </c>
      <c r="I1054" s="7">
        <f>DATEDIF(L1054,S1054,"M")</f>
        <v>53</v>
      </c>
      <c r="J1054" s="7">
        <f>DATEDIF(L1054,S1054,"D")</f>
        <v>1631</v>
      </c>
      <c r="K1054" t="s">
        <v>64</v>
      </c>
      <c r="L1054" s="1">
        <v>43508</v>
      </c>
      <c r="M1054" s="17" t="s">
        <v>45</v>
      </c>
      <c r="N1054" t="s">
        <v>83</v>
      </c>
      <c r="O1054" t="s">
        <v>52</v>
      </c>
      <c r="P1054" t="s">
        <v>2830</v>
      </c>
      <c r="Q1054">
        <v>0</v>
      </c>
      <c r="R1054" s="1">
        <v>45140</v>
      </c>
      <c r="S1054" s="1">
        <v>45139</v>
      </c>
      <c r="T1054" s="3" t="s">
        <v>54</v>
      </c>
      <c r="U1054" t="s">
        <v>55</v>
      </c>
      <c r="W1054" s="1">
        <v>45140</v>
      </c>
      <c r="Z1054">
        <f>MONTH(S1054)</f>
        <v>8</v>
      </c>
      <c r="AA1054" s="7">
        <f>INT((S1054-DATE(YEAR(S1054-WEEKDAY(S1054-0)+4),1,4)+WEEKDAY(DATE(YEAR(S1054-WEEKDAY(S1054-0)+4),1,4))+6)/7)</f>
        <v>31</v>
      </c>
      <c r="AB1054" t="s">
        <v>2831</v>
      </c>
      <c r="AG1054" s="7">
        <v>2023</v>
      </c>
      <c r="AH1054" t="s">
        <v>482</v>
      </c>
      <c r="AK1054" t="s">
        <v>2745</v>
      </c>
      <c r="AL1054" s="3" t="s">
        <v>59</v>
      </c>
    </row>
    <row r="1055" spans="1:38" ht="30" customHeight="1">
      <c r="A1055" s="3" t="s">
        <v>44</v>
      </c>
      <c r="B1055" s="3" t="s">
        <v>45</v>
      </c>
      <c r="G1055" t="s">
        <v>2835</v>
      </c>
      <c r="H1055" s="5">
        <f>IF(DATEDIF(L1055,S1055,"m")&gt;12,DATEDIF(L1055,S1055,"y"),(DATEDIF(L1055,S1055,"m")/12))</f>
        <v>0.75</v>
      </c>
      <c r="I1055" s="7">
        <f>DATEDIF(L1055,S1055,"M")</f>
        <v>9</v>
      </c>
      <c r="J1055" s="7">
        <f>DATEDIF(L1055,S1055,"D")</f>
        <v>278</v>
      </c>
      <c r="K1055" t="s">
        <v>51</v>
      </c>
      <c r="L1055" s="1">
        <v>44858</v>
      </c>
      <c r="M1055" s="17" t="s">
        <v>45</v>
      </c>
      <c r="N1055" t="s">
        <v>83</v>
      </c>
      <c r="O1055" t="s">
        <v>52</v>
      </c>
      <c r="P1055" t="s">
        <v>2518</v>
      </c>
      <c r="Q1055">
        <v>0</v>
      </c>
      <c r="R1055" s="1">
        <v>45140</v>
      </c>
      <c r="S1055" s="1">
        <v>45136</v>
      </c>
      <c r="T1055" s="3" t="s">
        <v>54</v>
      </c>
      <c r="U1055" t="s">
        <v>55</v>
      </c>
      <c r="W1055" s="1">
        <v>45140</v>
      </c>
      <c r="Z1055">
        <f>MONTH(S1055)</f>
        <v>7</v>
      </c>
      <c r="AA1055" s="7">
        <f>INT((S1055-DATE(YEAR(S1055-WEEKDAY(S1055-0)+4),1,4)+WEEKDAY(DATE(YEAR(S1055-WEEKDAY(S1055-0)+4),1,4))+6)/7)</f>
        <v>30</v>
      </c>
      <c r="AB1055" t="s">
        <v>2836</v>
      </c>
      <c r="AG1055" s="7">
        <v>2023</v>
      </c>
      <c r="AH1055" t="s">
        <v>482</v>
      </c>
      <c r="AK1055" t="s">
        <v>2837</v>
      </c>
      <c r="AL1055" s="3" t="s">
        <v>59</v>
      </c>
    </row>
    <row r="1056" spans="1:38" ht="30" customHeight="1">
      <c r="A1056" s="3" t="s">
        <v>44</v>
      </c>
      <c r="B1056" s="3" t="s">
        <v>45</v>
      </c>
      <c r="G1056" t="s">
        <v>2810</v>
      </c>
      <c r="H1056" s="4">
        <f>IF(DATEDIF(L1056,S1056,"m")&gt;12,DATEDIF(L1056,S1056,"y"),(DATEDIF(L1056,S1056,"m")/12))</f>
        <v>4</v>
      </c>
      <c r="I1056" s="7">
        <f>DATEDIF(L1056,S1056,"M")</f>
        <v>49</v>
      </c>
      <c r="J1056" s="7">
        <f>DATEDIF(L1056,S1056,"D")</f>
        <v>1503</v>
      </c>
      <c r="K1056" t="s">
        <v>51</v>
      </c>
      <c r="L1056" s="1">
        <v>43636</v>
      </c>
      <c r="M1056" s="17" t="s">
        <v>45</v>
      </c>
      <c r="N1056" t="s">
        <v>83</v>
      </c>
      <c r="O1056" t="s">
        <v>52</v>
      </c>
      <c r="P1056" t="s">
        <v>2558</v>
      </c>
      <c r="Q1056">
        <v>0</v>
      </c>
      <c r="R1056" s="1">
        <v>45141</v>
      </c>
      <c r="S1056" s="1">
        <v>45139</v>
      </c>
      <c r="T1056" s="3" t="s">
        <v>54</v>
      </c>
      <c r="U1056" t="s">
        <v>55</v>
      </c>
      <c r="W1056" s="1">
        <v>45141</v>
      </c>
      <c r="Z1056">
        <f>MONTH(S1056)</f>
        <v>8</v>
      </c>
      <c r="AA1056" s="7">
        <f>INT((S1056-DATE(YEAR(S1056-WEEKDAY(S1056-0)+4),1,4)+WEEKDAY(DATE(YEAR(S1056-WEEKDAY(S1056-0)+4),1,4))+6)/7)</f>
        <v>31</v>
      </c>
      <c r="AB1056" t="s">
        <v>2811</v>
      </c>
      <c r="AG1056" s="7">
        <v>2023</v>
      </c>
      <c r="AH1056" t="s">
        <v>482</v>
      </c>
      <c r="AK1056" t="s">
        <v>140</v>
      </c>
      <c r="AL1056" s="3" t="s">
        <v>59</v>
      </c>
    </row>
    <row r="1057" spans="1:38" ht="30" customHeight="1">
      <c r="A1057" s="3" t="s">
        <v>44</v>
      </c>
      <c r="B1057" s="3" t="s">
        <v>45</v>
      </c>
      <c r="G1057">
        <v>3541278</v>
      </c>
      <c r="H1057" s="4">
        <f>IF(DATEDIF(L1057,S1057,"m")&gt;12,DATEDIF(L1057,S1057,"y"),(DATEDIF(L1057,S1057,"m")/12))</f>
        <v>5</v>
      </c>
      <c r="I1057" s="7">
        <f>DATEDIF(L1057,S1057,"M")</f>
        <v>66</v>
      </c>
      <c r="J1057" s="7">
        <f>DATEDIF(L1057,S1057,"D")</f>
        <v>2032</v>
      </c>
      <c r="K1057" t="s">
        <v>64</v>
      </c>
      <c r="L1057" s="1">
        <v>43098</v>
      </c>
      <c r="M1057" s="17" t="s">
        <v>45</v>
      </c>
      <c r="N1057" t="s">
        <v>65</v>
      </c>
      <c r="O1057" t="s">
        <v>52</v>
      </c>
      <c r="P1057" t="s">
        <v>2812</v>
      </c>
      <c r="Q1057">
        <v>1</v>
      </c>
      <c r="R1057" s="1">
        <v>45140</v>
      </c>
      <c r="S1057" s="1">
        <v>45130</v>
      </c>
      <c r="T1057" s="3" t="s">
        <v>54</v>
      </c>
      <c r="U1057" t="s">
        <v>55</v>
      </c>
      <c r="W1057" s="1">
        <v>45141</v>
      </c>
      <c r="Z1057">
        <f>MONTH(S1057)</f>
        <v>7</v>
      </c>
      <c r="AA1057" s="7">
        <f>INT((S1057-DATE(YEAR(S1057-WEEKDAY(S1057-0)+4),1,4)+WEEKDAY(DATE(YEAR(S1057-WEEKDAY(S1057-0)+4),1,4))+6)/7)</f>
        <v>30</v>
      </c>
      <c r="AB1057" t="s">
        <v>2813</v>
      </c>
      <c r="AG1057" s="7">
        <v>2023</v>
      </c>
      <c r="AH1057" t="s">
        <v>452</v>
      </c>
      <c r="AK1057" t="s">
        <v>2582</v>
      </c>
      <c r="AL1057" s="3" t="s">
        <v>59</v>
      </c>
    </row>
    <row r="1058" spans="1:38" ht="30" customHeight="1">
      <c r="A1058" s="3" t="s">
        <v>44</v>
      </c>
      <c r="B1058" s="3" t="s">
        <v>45</v>
      </c>
      <c r="G1058" t="s">
        <v>2821</v>
      </c>
      <c r="H1058" s="4">
        <f>IF(DATEDIF(L1058,S1058,"m")&gt;12,DATEDIF(L1058,S1058,"y"),(DATEDIF(L1058,S1058,"m")/12))</f>
        <v>3</v>
      </c>
      <c r="I1058" s="7">
        <f>DATEDIF(L1058,S1058,"M")</f>
        <v>42</v>
      </c>
      <c r="J1058" s="7">
        <f>DATEDIF(L1058,S1058,"D")</f>
        <v>1289</v>
      </c>
      <c r="K1058" t="s">
        <v>64</v>
      </c>
      <c r="L1058" s="1">
        <v>43851</v>
      </c>
      <c r="M1058" s="17" t="s">
        <v>45</v>
      </c>
      <c r="N1058" t="s">
        <v>83</v>
      </c>
      <c r="O1058" t="s">
        <v>52</v>
      </c>
      <c r="P1058" t="s">
        <v>2822</v>
      </c>
      <c r="Q1058">
        <v>0</v>
      </c>
      <c r="R1058" s="1">
        <v>45141</v>
      </c>
      <c r="S1058" s="1">
        <v>45140</v>
      </c>
      <c r="T1058" s="3" t="s">
        <v>54</v>
      </c>
      <c r="U1058" t="s">
        <v>55</v>
      </c>
      <c r="W1058" s="1">
        <v>45141</v>
      </c>
      <c r="Z1058">
        <f>MONTH(S1058)</f>
        <v>8</v>
      </c>
      <c r="AA1058" s="7">
        <f>INT((S1058-DATE(YEAR(S1058-WEEKDAY(S1058-0)+4),1,4)+WEEKDAY(DATE(YEAR(S1058-WEEKDAY(S1058-0)+4),1,4))+6)/7)</f>
        <v>31</v>
      </c>
      <c r="AB1058" t="s">
        <v>2823</v>
      </c>
      <c r="AG1058" s="7">
        <v>2023</v>
      </c>
      <c r="AH1058" t="s">
        <v>482</v>
      </c>
      <c r="AK1058" t="s">
        <v>140</v>
      </c>
      <c r="AL1058" s="3" t="s">
        <v>59</v>
      </c>
    </row>
    <row r="1059" spans="1:38" ht="30" customHeight="1">
      <c r="A1059" s="3" t="s">
        <v>44</v>
      </c>
      <c r="B1059" s="3" t="s">
        <v>45</v>
      </c>
      <c r="G1059" t="s">
        <v>2832</v>
      </c>
      <c r="H1059" s="4">
        <f>IF(DATEDIF(L1059,S1059,"m")&gt;12,DATEDIF(L1059,S1059,"y"),(DATEDIF(L1059,S1059,"m")/12))</f>
        <v>7</v>
      </c>
      <c r="I1059" s="7">
        <f>DATEDIF(L1059,S1059,"M")</f>
        <v>86</v>
      </c>
      <c r="J1059" s="7">
        <f>DATEDIF(L1059,S1059,"D")</f>
        <v>2623</v>
      </c>
      <c r="K1059" t="s">
        <v>64</v>
      </c>
      <c r="L1059" s="1">
        <v>42516</v>
      </c>
      <c r="M1059" s="17" t="s">
        <v>45</v>
      </c>
      <c r="N1059" t="s">
        <v>83</v>
      </c>
      <c r="O1059" t="s">
        <v>52</v>
      </c>
      <c r="P1059" t="s">
        <v>2833</v>
      </c>
      <c r="Q1059">
        <v>0</v>
      </c>
      <c r="R1059" s="1">
        <v>45141</v>
      </c>
      <c r="S1059" s="1">
        <v>45139</v>
      </c>
      <c r="T1059" s="3" t="s">
        <v>54</v>
      </c>
      <c r="U1059" t="s">
        <v>55</v>
      </c>
      <c r="W1059" s="1">
        <v>45141</v>
      </c>
      <c r="Z1059">
        <f>MONTH(S1059)</f>
        <v>8</v>
      </c>
      <c r="AA1059" s="7">
        <f>INT((S1059-DATE(YEAR(S1059-WEEKDAY(S1059-0)+4),1,4)+WEEKDAY(DATE(YEAR(S1059-WEEKDAY(S1059-0)+4),1,4))+6)/7)</f>
        <v>31</v>
      </c>
      <c r="AB1059" t="s">
        <v>2834</v>
      </c>
      <c r="AG1059" s="7">
        <v>2023</v>
      </c>
      <c r="AH1059" t="s">
        <v>482</v>
      </c>
      <c r="AK1059" t="s">
        <v>2642</v>
      </c>
      <c r="AL1059" s="3" t="s">
        <v>59</v>
      </c>
    </row>
    <row r="1060" spans="1:38" ht="30" customHeight="1">
      <c r="A1060" s="3" t="s">
        <v>44</v>
      </c>
      <c r="B1060" s="3" t="s">
        <v>45</v>
      </c>
      <c r="G1060" t="s">
        <v>2517</v>
      </c>
      <c r="H1060" s="4">
        <f>IF(DATEDIF(L1060,S1060,"m")&gt;12,DATEDIF(L1060,S1060,"y"),(DATEDIF(L1060,S1060,"m")/12))</f>
        <v>62</v>
      </c>
      <c r="I1060" s="7">
        <f>DATEDIF(L1060,S1060,"M")</f>
        <v>755</v>
      </c>
      <c r="J1060" s="7">
        <f>DATEDIF(L1060,S1060,"D")</f>
        <v>22999</v>
      </c>
      <c r="K1060" t="s">
        <v>64</v>
      </c>
      <c r="L1060" s="1">
        <v>22143</v>
      </c>
      <c r="M1060" s="17" t="s">
        <v>45</v>
      </c>
      <c r="N1060" t="s">
        <v>83</v>
      </c>
      <c r="O1060" t="s">
        <v>52</v>
      </c>
      <c r="P1060" t="s">
        <v>2518</v>
      </c>
      <c r="Q1060">
        <v>0</v>
      </c>
      <c r="R1060" s="1">
        <v>45146</v>
      </c>
      <c r="S1060" s="1">
        <v>45142</v>
      </c>
      <c r="T1060" s="3" t="s">
        <v>54</v>
      </c>
      <c r="U1060" t="s">
        <v>55</v>
      </c>
      <c r="W1060" s="1">
        <v>45147</v>
      </c>
      <c r="Z1060">
        <f>MONTH(S1060)</f>
        <v>8</v>
      </c>
      <c r="AA1060" s="7">
        <f>INT((S1060-DATE(YEAR(S1060-WEEKDAY(S1060-0)+4),1,4)+WEEKDAY(DATE(YEAR(S1060-WEEKDAY(S1060-0)+4),1,4))+6)/7)</f>
        <v>31</v>
      </c>
      <c r="AB1060" t="e">
        <f>-ILI-80823-99-5-8923</f>
        <v>#NAME?</v>
      </c>
      <c r="AG1060" s="7">
        <v>2023</v>
      </c>
      <c r="AH1060" t="s">
        <v>133</v>
      </c>
      <c r="AK1060" t="s">
        <v>2519</v>
      </c>
      <c r="AL1060" s="3" t="s">
        <v>59</v>
      </c>
    </row>
    <row r="1061" spans="1:38" ht="30" customHeight="1">
      <c r="A1061" s="3" t="s">
        <v>44</v>
      </c>
      <c r="B1061" s="3" t="s">
        <v>45</v>
      </c>
      <c r="G1061" t="s">
        <v>2849</v>
      </c>
      <c r="H1061" s="4">
        <f>IF(DATEDIF(L1061,S1061,"m")&gt;12,DATEDIF(L1061,S1061,"y"),(DATEDIF(L1061,S1061,"m")/12))</f>
        <v>20</v>
      </c>
      <c r="I1061" s="7">
        <f>DATEDIF(L1061,S1061,"M")</f>
        <v>248</v>
      </c>
      <c r="J1061" s="7">
        <f>DATEDIF(L1061,S1061,"D")</f>
        <v>7574</v>
      </c>
      <c r="K1061" t="s">
        <v>51</v>
      </c>
      <c r="L1061" s="1">
        <v>37566</v>
      </c>
      <c r="M1061" s="17" t="s">
        <v>45</v>
      </c>
      <c r="N1061" t="s">
        <v>83</v>
      </c>
      <c r="O1061" t="s">
        <v>52</v>
      </c>
      <c r="P1061" t="s">
        <v>2579</v>
      </c>
      <c r="Q1061">
        <v>0</v>
      </c>
      <c r="R1061" s="1">
        <v>45146</v>
      </c>
      <c r="S1061" s="1">
        <v>45140</v>
      </c>
      <c r="T1061" s="3" t="s">
        <v>54</v>
      </c>
      <c r="U1061" t="s">
        <v>55</v>
      </c>
      <c r="W1061" s="1">
        <v>45147</v>
      </c>
      <c r="Z1061">
        <f>MONTH(S1061)</f>
        <v>8</v>
      </c>
      <c r="AA1061" s="7">
        <f>INT((S1061-DATE(YEAR(S1061-WEEKDAY(S1061-0)+4),1,4)+WEEKDAY(DATE(YEAR(S1061-WEEKDAY(S1061-0)+4),1,4))+6)/7)</f>
        <v>31</v>
      </c>
      <c r="AB1061" t="s">
        <v>2850</v>
      </c>
      <c r="AG1061" s="7">
        <v>2023</v>
      </c>
      <c r="AH1061" t="s">
        <v>482</v>
      </c>
      <c r="AK1061" t="s">
        <v>2837</v>
      </c>
      <c r="AL1061" s="3" t="s">
        <v>59</v>
      </c>
    </row>
    <row r="1062" spans="1:38" ht="30" customHeight="1">
      <c r="A1062" s="3" t="s">
        <v>44</v>
      </c>
      <c r="B1062" s="3" t="s">
        <v>45</v>
      </c>
      <c r="G1062" t="s">
        <v>2851</v>
      </c>
      <c r="H1062" s="4">
        <f>IF(DATEDIF(L1062,S1062,"m")&gt;12,DATEDIF(L1062,S1062,"y"),(DATEDIF(L1062,S1062,"m")/12))</f>
        <v>20</v>
      </c>
      <c r="I1062" s="7">
        <f>DATEDIF(L1062,S1062,"M")</f>
        <v>243</v>
      </c>
      <c r="J1062" s="7">
        <f>DATEDIF(L1062,S1062,"D")</f>
        <v>7409</v>
      </c>
      <c r="K1062" t="s">
        <v>64</v>
      </c>
      <c r="L1062" s="1">
        <v>37736</v>
      </c>
      <c r="M1062" s="17" t="s">
        <v>45</v>
      </c>
      <c r="N1062" t="s">
        <v>83</v>
      </c>
      <c r="O1062" t="s">
        <v>52</v>
      </c>
      <c r="P1062" t="s">
        <v>2583</v>
      </c>
      <c r="Q1062">
        <v>0</v>
      </c>
      <c r="R1062" s="1">
        <v>45146</v>
      </c>
      <c r="S1062" s="1">
        <v>45145</v>
      </c>
      <c r="T1062" s="3" t="s">
        <v>54</v>
      </c>
      <c r="U1062" t="s">
        <v>55</v>
      </c>
      <c r="W1062" s="1">
        <v>45147</v>
      </c>
      <c r="Z1062">
        <f>MONTH(S1062)</f>
        <v>8</v>
      </c>
      <c r="AA1062" s="7">
        <f>INT((S1062-DATE(YEAR(S1062-WEEKDAY(S1062-0)+4),1,4)+WEEKDAY(DATE(YEAR(S1062-WEEKDAY(S1062-0)+4),1,4))+6)/7)</f>
        <v>32</v>
      </c>
      <c r="AB1062" t="s">
        <v>2852</v>
      </c>
      <c r="AG1062" s="7">
        <v>2023</v>
      </c>
      <c r="AH1062" t="s">
        <v>482</v>
      </c>
      <c r="AK1062" t="s">
        <v>2461</v>
      </c>
      <c r="AL1062" s="3" t="s">
        <v>59</v>
      </c>
    </row>
    <row r="1063" spans="1:38" ht="30" customHeight="1">
      <c r="A1063" s="3" t="s">
        <v>44</v>
      </c>
      <c r="B1063" s="3" t="s">
        <v>45</v>
      </c>
      <c r="G1063" t="s">
        <v>2857</v>
      </c>
      <c r="H1063" s="4">
        <f>IF(DATEDIF(L1063,S1063,"m")&gt;12,DATEDIF(L1063,S1063,"y"),(DATEDIF(L1063,S1063,"m")/12))</f>
        <v>5</v>
      </c>
      <c r="I1063" s="7">
        <f>DATEDIF(L1063,S1063,"M")</f>
        <v>60</v>
      </c>
      <c r="J1063" s="7">
        <f>DATEDIF(L1063,S1063,"D")</f>
        <v>1849</v>
      </c>
      <c r="K1063" t="s">
        <v>51</v>
      </c>
      <c r="L1063" s="1">
        <v>43291</v>
      </c>
      <c r="M1063" s="17" t="s">
        <v>45</v>
      </c>
      <c r="N1063" t="s">
        <v>83</v>
      </c>
      <c r="O1063" t="s">
        <v>52</v>
      </c>
      <c r="P1063" t="s">
        <v>2472</v>
      </c>
      <c r="Q1063">
        <v>0</v>
      </c>
      <c r="R1063" s="1">
        <v>45146</v>
      </c>
      <c r="S1063" s="1">
        <v>45140</v>
      </c>
      <c r="T1063" s="3" t="s">
        <v>54</v>
      </c>
      <c r="U1063" t="s">
        <v>55</v>
      </c>
      <c r="W1063" s="1">
        <v>45147</v>
      </c>
      <c r="Z1063">
        <f>MONTH(S1063)</f>
        <v>8</v>
      </c>
      <c r="AA1063" s="7">
        <f>INT((S1063-DATE(YEAR(S1063-WEEKDAY(S1063-0)+4),1,4)+WEEKDAY(DATE(YEAR(S1063-WEEKDAY(S1063-0)+4),1,4))+6)/7)</f>
        <v>31</v>
      </c>
      <c r="AB1063" t="s">
        <v>2858</v>
      </c>
      <c r="AG1063" s="7">
        <v>2023</v>
      </c>
      <c r="AH1063" t="s">
        <v>482</v>
      </c>
      <c r="AK1063" t="s">
        <v>2614</v>
      </c>
      <c r="AL1063" s="3" t="s">
        <v>59</v>
      </c>
    </row>
    <row r="1064" spans="1:38" ht="30" customHeight="1">
      <c r="A1064" s="3" t="s">
        <v>44</v>
      </c>
      <c r="B1064" s="3" t="s">
        <v>45</v>
      </c>
      <c r="G1064" t="s">
        <v>2863</v>
      </c>
      <c r="H1064" s="4">
        <f>IF(DATEDIF(L1064,S1064,"m")&gt;12,DATEDIF(L1064,S1064,"y"),(DATEDIF(L1064,S1064,"m")/12))</f>
        <v>33</v>
      </c>
      <c r="I1064" s="7">
        <f>DATEDIF(L1064,S1064,"M")</f>
        <v>401</v>
      </c>
      <c r="J1064" s="7">
        <f>DATEDIF(L1064,S1064,"D")</f>
        <v>12232</v>
      </c>
      <c r="K1064" t="s">
        <v>51</v>
      </c>
      <c r="L1064" s="1">
        <v>32909</v>
      </c>
      <c r="M1064" s="17" t="s">
        <v>45</v>
      </c>
      <c r="N1064" t="s">
        <v>83</v>
      </c>
      <c r="O1064" t="s">
        <v>52</v>
      </c>
      <c r="P1064" t="s">
        <v>2646</v>
      </c>
      <c r="Q1064">
        <v>0</v>
      </c>
      <c r="R1064" s="1">
        <v>45146</v>
      </c>
      <c r="S1064" s="1">
        <v>45141</v>
      </c>
      <c r="T1064" s="3" t="s">
        <v>54</v>
      </c>
      <c r="U1064" t="s">
        <v>55</v>
      </c>
      <c r="W1064" s="1">
        <v>45147</v>
      </c>
      <c r="Z1064">
        <f>MONTH(S1064)</f>
        <v>8</v>
      </c>
      <c r="AA1064" s="7">
        <f>INT((S1064-DATE(YEAR(S1064-WEEKDAY(S1064-0)+4),1,4)+WEEKDAY(DATE(YEAR(S1064-WEEKDAY(S1064-0)+4),1,4))+6)/7)</f>
        <v>31</v>
      </c>
      <c r="AB1064" t="s">
        <v>2864</v>
      </c>
      <c r="AG1064" s="7">
        <v>2023</v>
      </c>
      <c r="AH1064" t="s">
        <v>482</v>
      </c>
      <c r="AK1064" t="s">
        <v>2461</v>
      </c>
      <c r="AL1064" s="3" t="s">
        <v>59</v>
      </c>
    </row>
    <row r="1065" spans="1:38" ht="30" customHeight="1">
      <c r="A1065" s="3" t="s">
        <v>44</v>
      </c>
      <c r="B1065" s="3" t="s">
        <v>45</v>
      </c>
      <c r="G1065" t="s">
        <v>2867</v>
      </c>
      <c r="H1065" s="4">
        <f>IF(DATEDIF(L1065,S1065,"m")&gt;12,DATEDIF(L1065,S1065,"y"),(DATEDIF(L1065,S1065,"m")/12))</f>
        <v>13</v>
      </c>
      <c r="I1065" s="7">
        <f>DATEDIF(L1065,S1065,"M")</f>
        <v>166</v>
      </c>
      <c r="J1065" s="7">
        <f>DATEDIF(L1065,S1065,"D")</f>
        <v>5059</v>
      </c>
      <c r="K1065" t="s">
        <v>51</v>
      </c>
      <c r="L1065" s="1">
        <v>40085</v>
      </c>
      <c r="M1065" s="17" t="s">
        <v>45</v>
      </c>
      <c r="N1065" t="s">
        <v>83</v>
      </c>
      <c r="O1065" t="s">
        <v>52</v>
      </c>
      <c r="P1065" t="s">
        <v>2833</v>
      </c>
      <c r="Q1065">
        <v>0</v>
      </c>
      <c r="R1065" s="1">
        <v>45146</v>
      </c>
      <c r="S1065" s="1">
        <v>45144</v>
      </c>
      <c r="T1065" s="3" t="s">
        <v>54</v>
      </c>
      <c r="U1065" t="s">
        <v>55</v>
      </c>
      <c r="W1065" s="1">
        <v>45147</v>
      </c>
      <c r="Z1065">
        <f>MONTH(S1065)</f>
        <v>8</v>
      </c>
      <c r="AA1065" s="7">
        <f>INT((S1065-DATE(YEAR(S1065-WEEKDAY(S1065-0)+4),1,4)+WEEKDAY(DATE(YEAR(S1065-WEEKDAY(S1065-0)+4),1,4))+6)/7)</f>
        <v>32</v>
      </c>
      <c r="AB1065" t="s">
        <v>2868</v>
      </c>
      <c r="AG1065" s="7">
        <v>2023</v>
      </c>
      <c r="AH1065" t="s">
        <v>482</v>
      </c>
      <c r="AK1065" t="s">
        <v>2642</v>
      </c>
      <c r="AL1065" s="3" t="s">
        <v>59</v>
      </c>
    </row>
    <row r="1066" spans="1:38" ht="30" customHeight="1">
      <c r="A1066" s="3" t="s">
        <v>44</v>
      </c>
      <c r="B1066" s="3" t="s">
        <v>45</v>
      </c>
      <c r="G1066" t="s">
        <v>2871</v>
      </c>
      <c r="H1066" s="5">
        <f>IF(DATEDIF(L1066,S1066,"m")&gt;12,DATEDIF(L1066,S1066,"y"),(DATEDIF(L1066,S1066,"m")/12))</f>
        <v>0.5</v>
      </c>
      <c r="I1066" s="7">
        <f>DATEDIF(L1066,S1066,"M")</f>
        <v>6</v>
      </c>
      <c r="J1066" s="7">
        <f>DATEDIF(L1066,S1066,"D")</f>
        <v>192</v>
      </c>
      <c r="K1066" t="s">
        <v>51</v>
      </c>
      <c r="L1066" s="1">
        <v>44951</v>
      </c>
      <c r="M1066" s="17" t="s">
        <v>45</v>
      </c>
      <c r="N1066" t="s">
        <v>83</v>
      </c>
      <c r="O1066" t="s">
        <v>52</v>
      </c>
      <c r="P1066" t="s">
        <v>2598</v>
      </c>
      <c r="Q1066">
        <v>0</v>
      </c>
      <c r="R1066" s="1">
        <v>45146</v>
      </c>
      <c r="S1066" s="1">
        <v>45143</v>
      </c>
      <c r="T1066" s="3" t="s">
        <v>54</v>
      </c>
      <c r="U1066" t="s">
        <v>55</v>
      </c>
      <c r="W1066" s="1">
        <v>45147</v>
      </c>
      <c r="Z1066">
        <f>MONTH(S1066)</f>
        <v>8</v>
      </c>
      <c r="AA1066" s="7">
        <f>INT((S1066-DATE(YEAR(S1066-WEEKDAY(S1066-0)+4),1,4)+WEEKDAY(DATE(YEAR(S1066-WEEKDAY(S1066-0)+4),1,4))+6)/7)</f>
        <v>31</v>
      </c>
      <c r="AB1066" t="s">
        <v>2872</v>
      </c>
      <c r="AG1066" s="7">
        <v>2023</v>
      </c>
      <c r="AH1066" t="s">
        <v>482</v>
      </c>
      <c r="AK1066" t="s">
        <v>2672</v>
      </c>
      <c r="AL1066" s="3" t="s">
        <v>59</v>
      </c>
    </row>
    <row r="1067" spans="1:38" ht="30" customHeight="1">
      <c r="A1067" s="3" t="s">
        <v>44</v>
      </c>
      <c r="B1067" s="3" t="s">
        <v>45</v>
      </c>
      <c r="G1067" t="s">
        <v>2874</v>
      </c>
      <c r="H1067" s="4">
        <f>IF(DATEDIF(L1067,S1067,"m")&gt;12,DATEDIF(L1067,S1067,"y"),(DATEDIF(L1067,S1067,"m")/12))</f>
        <v>4</v>
      </c>
      <c r="I1067" s="7">
        <f>DATEDIF(L1067,S1067,"M")</f>
        <v>55</v>
      </c>
      <c r="J1067" s="7">
        <f>DATEDIF(L1067,S1067,"D")</f>
        <v>1694</v>
      </c>
      <c r="K1067" t="s">
        <v>64</v>
      </c>
      <c r="L1067" s="1">
        <v>43450</v>
      </c>
      <c r="M1067" s="17" t="s">
        <v>45</v>
      </c>
      <c r="N1067" t="s">
        <v>83</v>
      </c>
      <c r="O1067" t="s">
        <v>52</v>
      </c>
      <c r="P1067" t="s">
        <v>2521</v>
      </c>
      <c r="Q1067">
        <v>0</v>
      </c>
      <c r="R1067" s="1">
        <v>45146</v>
      </c>
      <c r="S1067" s="1">
        <v>45144</v>
      </c>
      <c r="T1067" s="3" t="s">
        <v>54</v>
      </c>
      <c r="U1067" t="s">
        <v>55</v>
      </c>
      <c r="W1067" s="1">
        <v>45147</v>
      </c>
      <c r="Z1067">
        <f>MONTH(S1067)</f>
        <v>8</v>
      </c>
      <c r="AA1067" s="7">
        <f>INT((S1067-DATE(YEAR(S1067-WEEKDAY(S1067-0)+4),1,4)+WEEKDAY(DATE(YEAR(S1067-WEEKDAY(S1067-0)+4),1,4))+6)/7)</f>
        <v>32</v>
      </c>
      <c r="AB1067" t="s">
        <v>2875</v>
      </c>
      <c r="AG1067" s="7">
        <v>2023</v>
      </c>
      <c r="AH1067" t="s">
        <v>482</v>
      </c>
      <c r="AK1067" t="s">
        <v>140</v>
      </c>
      <c r="AL1067" s="3" t="s">
        <v>59</v>
      </c>
    </row>
    <row r="1068" spans="1:38" ht="30" customHeight="1">
      <c r="A1068" s="3" t="s">
        <v>44</v>
      </c>
      <c r="B1068" s="3" t="s">
        <v>45</v>
      </c>
      <c r="G1068" t="s">
        <v>2876</v>
      </c>
      <c r="H1068" s="5">
        <f>IF(DATEDIF(L1068,S1068,"m")&gt;12,DATEDIF(L1068,S1068,"y"),(DATEDIF(L1068,S1068,"m")/12))</f>
        <v>0.91666666666666663</v>
      </c>
      <c r="I1068" s="7">
        <f>DATEDIF(L1068,S1068,"M")</f>
        <v>11</v>
      </c>
      <c r="J1068" s="7">
        <f>DATEDIF(L1068,S1068,"D")</f>
        <v>356</v>
      </c>
      <c r="K1068" t="s">
        <v>64</v>
      </c>
      <c r="L1068" s="1">
        <v>44788</v>
      </c>
      <c r="M1068" s="17" t="s">
        <v>45</v>
      </c>
      <c r="N1068" t="s">
        <v>83</v>
      </c>
      <c r="O1068" t="s">
        <v>52</v>
      </c>
      <c r="P1068" t="s">
        <v>214</v>
      </c>
      <c r="Q1068">
        <v>0</v>
      </c>
      <c r="R1068" s="1">
        <v>45146</v>
      </c>
      <c r="S1068" s="1">
        <v>45144</v>
      </c>
      <c r="T1068" s="3" t="s">
        <v>54</v>
      </c>
      <c r="U1068" t="s">
        <v>55</v>
      </c>
      <c r="W1068" s="1">
        <v>45147</v>
      </c>
      <c r="Z1068">
        <f>MONTH(S1068)</f>
        <v>8</v>
      </c>
      <c r="AA1068" s="7">
        <f>INT((S1068-DATE(YEAR(S1068-WEEKDAY(S1068-0)+4),1,4)+WEEKDAY(DATE(YEAR(S1068-WEEKDAY(S1068-0)+4),1,4))+6)/7)</f>
        <v>32</v>
      </c>
      <c r="AB1068" t="s">
        <v>2877</v>
      </c>
      <c r="AG1068" s="7">
        <v>2023</v>
      </c>
      <c r="AH1068" t="s">
        <v>482</v>
      </c>
      <c r="AK1068" t="s">
        <v>140</v>
      </c>
      <c r="AL1068" s="3" t="s">
        <v>59</v>
      </c>
    </row>
    <row r="1069" spans="1:38" ht="30" customHeight="1">
      <c r="A1069" s="3" t="s">
        <v>44</v>
      </c>
      <c r="B1069" s="3" t="s">
        <v>45</v>
      </c>
      <c r="G1069" t="s">
        <v>2885</v>
      </c>
      <c r="H1069" s="4">
        <f>IF(DATEDIF(L1069,S1069,"m")&gt;12,DATEDIF(L1069,S1069,"y"),(DATEDIF(L1069,S1069,"m")/12))</f>
        <v>19</v>
      </c>
      <c r="I1069" s="7">
        <f>DATEDIF(L1069,S1069,"M")</f>
        <v>234</v>
      </c>
      <c r="J1069" s="7">
        <f>DATEDIF(L1069,S1069,"D")</f>
        <v>7121</v>
      </c>
      <c r="K1069" t="s">
        <v>64</v>
      </c>
      <c r="L1069" s="1">
        <v>38022</v>
      </c>
      <c r="M1069" s="17" t="s">
        <v>45</v>
      </c>
      <c r="N1069" t="s">
        <v>83</v>
      </c>
      <c r="O1069" t="s">
        <v>52</v>
      </c>
      <c r="P1069" t="s">
        <v>2583</v>
      </c>
      <c r="Q1069">
        <v>0</v>
      </c>
      <c r="R1069" s="1">
        <v>45146</v>
      </c>
      <c r="S1069" s="1">
        <v>45143</v>
      </c>
      <c r="T1069" s="3" t="s">
        <v>54</v>
      </c>
      <c r="U1069" t="s">
        <v>55</v>
      </c>
      <c r="W1069" s="1">
        <v>45147</v>
      </c>
      <c r="Z1069">
        <f>MONTH(S1069)</f>
        <v>8</v>
      </c>
      <c r="AA1069" s="7">
        <f>INT((S1069-DATE(YEAR(S1069-WEEKDAY(S1069-0)+4),1,4)+WEEKDAY(DATE(YEAR(S1069-WEEKDAY(S1069-0)+4),1,4))+6)/7)</f>
        <v>31</v>
      </c>
      <c r="AB1069" t="s">
        <v>2886</v>
      </c>
      <c r="AG1069" s="7">
        <v>2023</v>
      </c>
      <c r="AH1069" t="s">
        <v>482</v>
      </c>
      <c r="AK1069" t="s">
        <v>2556</v>
      </c>
      <c r="AL1069" s="3" t="s">
        <v>59</v>
      </c>
    </row>
    <row r="1070" spans="1:38" ht="30" customHeight="1">
      <c r="A1070" s="3" t="s">
        <v>44</v>
      </c>
      <c r="B1070" s="3" t="s">
        <v>45</v>
      </c>
      <c r="G1070" t="s">
        <v>2894</v>
      </c>
      <c r="H1070" s="5">
        <f>IF(DATEDIF(L1070,S1070,"m")&gt;12,DATEDIF(L1070,S1070,"y"),(DATEDIF(L1070,S1070,"m")/12))</f>
        <v>0.25</v>
      </c>
      <c r="I1070" s="7">
        <f>DATEDIF(L1070,S1070,"M")</f>
        <v>3</v>
      </c>
      <c r="J1070" s="7">
        <f>DATEDIF(L1070,S1070,"D")</f>
        <v>107</v>
      </c>
      <c r="K1070" t="s">
        <v>64</v>
      </c>
      <c r="L1070" s="1">
        <v>45036</v>
      </c>
      <c r="M1070" s="17" t="s">
        <v>45</v>
      </c>
      <c r="N1070" t="s">
        <v>83</v>
      </c>
      <c r="O1070" t="s">
        <v>52</v>
      </c>
      <c r="P1070" t="s">
        <v>2463</v>
      </c>
      <c r="Q1070">
        <v>0</v>
      </c>
      <c r="R1070" s="1">
        <v>45146</v>
      </c>
      <c r="S1070" s="1">
        <v>45143</v>
      </c>
      <c r="T1070" s="3" t="s">
        <v>54</v>
      </c>
      <c r="U1070" t="s">
        <v>55</v>
      </c>
      <c r="W1070" s="1">
        <v>45147</v>
      </c>
      <c r="Z1070">
        <f>MONTH(S1070)</f>
        <v>8</v>
      </c>
      <c r="AA1070" s="7">
        <f>INT((S1070-DATE(YEAR(S1070-WEEKDAY(S1070-0)+4),1,4)+WEEKDAY(DATE(YEAR(S1070-WEEKDAY(S1070-0)+4),1,4))+6)/7)</f>
        <v>31</v>
      </c>
      <c r="AB1070" t="s">
        <v>2895</v>
      </c>
      <c r="AG1070" s="7">
        <v>2023</v>
      </c>
      <c r="AH1070" t="s">
        <v>482</v>
      </c>
      <c r="AK1070" t="s">
        <v>2608</v>
      </c>
      <c r="AL1070" s="3" t="s">
        <v>59</v>
      </c>
    </row>
    <row r="1071" spans="1:38" ht="30" customHeight="1">
      <c r="A1071" s="3" t="s">
        <v>44</v>
      </c>
      <c r="B1071" s="3" t="s">
        <v>45</v>
      </c>
      <c r="G1071">
        <v>403899</v>
      </c>
      <c r="H1071" s="4">
        <f>IF(DATEDIF(L1071,S1071,"m")&gt;12,DATEDIF(L1071,S1071,"y"),(DATEDIF(L1071,S1071,"m")/12))</f>
        <v>2</v>
      </c>
      <c r="I1071" s="7">
        <f>DATEDIF(L1071,S1071,"M")</f>
        <v>29</v>
      </c>
      <c r="J1071" s="7">
        <f>DATEDIF(L1071,S1071,"D")</f>
        <v>904</v>
      </c>
      <c r="K1071" t="s">
        <v>51</v>
      </c>
      <c r="L1071" s="1">
        <v>44139</v>
      </c>
      <c r="M1071" s="17" t="s">
        <v>45</v>
      </c>
      <c r="N1071" t="s">
        <v>2853</v>
      </c>
      <c r="O1071" t="s">
        <v>52</v>
      </c>
      <c r="P1071" t="s">
        <v>608</v>
      </c>
      <c r="Q1071">
        <v>1</v>
      </c>
      <c r="R1071" s="1">
        <v>45044</v>
      </c>
      <c r="S1071" s="1">
        <v>45043</v>
      </c>
      <c r="T1071" s="3" t="s">
        <v>54</v>
      </c>
      <c r="U1071" t="s">
        <v>55</v>
      </c>
      <c r="W1071" s="1">
        <v>45148</v>
      </c>
      <c r="Z1071">
        <f>MONTH(S1071)</f>
        <v>4</v>
      </c>
      <c r="AA1071" s="7">
        <f>INT((S1071-DATE(YEAR(S1071-WEEKDAY(S1071-0)+4),1,4)+WEEKDAY(DATE(YEAR(S1071-WEEKDAY(S1071-0)+4),1,4))+6)/7)</f>
        <v>17</v>
      </c>
      <c r="AB1071" t="s">
        <v>2854</v>
      </c>
      <c r="AG1071" s="7">
        <v>2023</v>
      </c>
      <c r="AH1071" t="s">
        <v>2457</v>
      </c>
      <c r="AK1071" t="s">
        <v>2470</v>
      </c>
      <c r="AL1071" s="3" t="s">
        <v>59</v>
      </c>
    </row>
    <row r="1072" spans="1:38" ht="30" customHeight="1">
      <c r="A1072" s="3" t="s">
        <v>44</v>
      </c>
      <c r="B1072" s="3" t="s">
        <v>45</v>
      </c>
      <c r="G1072">
        <v>373383</v>
      </c>
      <c r="H1072" s="4">
        <f>IF(DATEDIF(L1072,S1072,"m")&gt;12,DATEDIF(L1072,S1072,"y"),(DATEDIF(L1072,S1072,"m")/12))</f>
        <v>49</v>
      </c>
      <c r="I1072" s="7">
        <f>DATEDIF(L1072,S1072,"M")</f>
        <v>598</v>
      </c>
      <c r="J1072" s="7">
        <f>DATEDIF(L1072,S1072,"D")</f>
        <v>18208</v>
      </c>
      <c r="K1072" t="s">
        <v>51</v>
      </c>
      <c r="L1072" s="1">
        <v>26842</v>
      </c>
      <c r="M1072" s="17" t="s">
        <v>45</v>
      </c>
      <c r="N1072" t="s">
        <v>90</v>
      </c>
      <c r="O1072" t="s">
        <v>52</v>
      </c>
      <c r="P1072" t="s">
        <v>463</v>
      </c>
      <c r="Q1072">
        <v>1</v>
      </c>
      <c r="R1072" s="1">
        <v>45051</v>
      </c>
      <c r="S1072" s="1">
        <v>45050</v>
      </c>
      <c r="T1072" s="3" t="s">
        <v>54</v>
      </c>
      <c r="U1072" t="s">
        <v>55</v>
      </c>
      <c r="W1072" s="1">
        <v>45148</v>
      </c>
      <c r="Z1072">
        <f>MONTH(S1072)</f>
        <v>5</v>
      </c>
      <c r="AA1072" s="7">
        <f>INT((S1072-DATE(YEAR(S1072-WEEKDAY(S1072-0)+4),1,4)+WEEKDAY(DATE(YEAR(S1072-WEEKDAY(S1072-0)+4),1,4))+6)/7)</f>
        <v>18</v>
      </c>
      <c r="AB1072" t="s">
        <v>2865</v>
      </c>
      <c r="AG1072" s="7">
        <v>2023</v>
      </c>
      <c r="AH1072" t="s">
        <v>2457</v>
      </c>
      <c r="AK1072" t="s">
        <v>2481</v>
      </c>
      <c r="AL1072" s="3" t="s">
        <v>59</v>
      </c>
    </row>
    <row r="1073" spans="1:38" ht="30" customHeight="1">
      <c r="A1073" s="3" t="s">
        <v>44</v>
      </c>
      <c r="B1073" s="3" t="s">
        <v>45</v>
      </c>
      <c r="G1073">
        <v>490436</v>
      </c>
      <c r="H1073" s="4">
        <f>IF(DATEDIF(L1073,S1073,"m")&gt;12,DATEDIF(L1073,S1073,"y"),(DATEDIF(L1073,S1073,"m")/12))</f>
        <v>17</v>
      </c>
      <c r="I1073" s="7">
        <f>DATEDIF(L1073,S1073,"M")</f>
        <v>205</v>
      </c>
      <c r="J1073" s="7">
        <f>DATEDIF(L1073,S1073,"D")</f>
        <v>6241</v>
      </c>
      <c r="K1073" t="s">
        <v>64</v>
      </c>
      <c r="L1073" s="1">
        <v>38801</v>
      </c>
      <c r="M1073" s="17" t="s">
        <v>45</v>
      </c>
      <c r="N1073" t="s">
        <v>2853</v>
      </c>
      <c r="O1073" t="s">
        <v>52</v>
      </c>
      <c r="P1073" t="s">
        <v>1037</v>
      </c>
      <c r="Q1073">
        <v>1</v>
      </c>
      <c r="R1073" s="1">
        <v>45043</v>
      </c>
      <c r="S1073" s="1">
        <v>45042</v>
      </c>
      <c r="T1073" s="3" t="s">
        <v>54</v>
      </c>
      <c r="U1073" t="s">
        <v>55</v>
      </c>
      <c r="W1073" s="1">
        <v>45148</v>
      </c>
      <c r="Z1073">
        <f>MONTH(S1073)</f>
        <v>4</v>
      </c>
      <c r="AA1073" s="7">
        <f>INT((S1073-DATE(YEAR(S1073-WEEKDAY(S1073-0)+4),1,4)+WEEKDAY(DATE(YEAR(S1073-WEEKDAY(S1073-0)+4),1,4))+6)/7)</f>
        <v>17</v>
      </c>
      <c r="AB1073" t="s">
        <v>2881</v>
      </c>
      <c r="AG1073" s="7">
        <v>2023</v>
      </c>
      <c r="AH1073" t="s">
        <v>2457</v>
      </c>
      <c r="AK1073" t="s">
        <v>2481</v>
      </c>
      <c r="AL1073" s="3" t="s">
        <v>59</v>
      </c>
    </row>
    <row r="1074" spans="1:38" ht="30" customHeight="1">
      <c r="A1074" s="3" t="s">
        <v>44</v>
      </c>
      <c r="B1074" s="3" t="s">
        <v>45</v>
      </c>
      <c r="G1074">
        <v>489930</v>
      </c>
      <c r="H1074" s="4">
        <f>IF(DATEDIF(L1074,S1074,"m")&gt;12,DATEDIF(L1074,S1074,"y"),(DATEDIF(L1074,S1074,"m")/12))</f>
        <v>1</v>
      </c>
      <c r="I1074" s="7">
        <f>DATEDIF(L1074,S1074,"M")</f>
        <v>12</v>
      </c>
      <c r="J1074" s="7">
        <f>DATEDIF(L1074,S1074,"D")</f>
        <v>366</v>
      </c>
      <c r="K1074" t="s">
        <v>64</v>
      </c>
      <c r="L1074" s="1">
        <v>44671</v>
      </c>
      <c r="M1074" s="17" t="s">
        <v>45</v>
      </c>
      <c r="N1074" t="s">
        <v>329</v>
      </c>
      <c r="O1074" t="s">
        <v>52</v>
      </c>
      <c r="P1074" t="s">
        <v>962</v>
      </c>
      <c r="Q1074">
        <v>1</v>
      </c>
      <c r="R1074" s="1">
        <v>45038</v>
      </c>
      <c r="S1074" s="1">
        <v>45037</v>
      </c>
      <c r="T1074" s="3" t="s">
        <v>54</v>
      </c>
      <c r="U1074" t="s">
        <v>55</v>
      </c>
      <c r="W1074" s="1">
        <v>45148</v>
      </c>
      <c r="Z1074">
        <f>MONTH(S1074)</f>
        <v>4</v>
      </c>
      <c r="AA1074" s="7">
        <f>INT((S1074-DATE(YEAR(S1074-WEEKDAY(S1074-0)+4),1,4)+WEEKDAY(DATE(YEAR(S1074-WEEKDAY(S1074-0)+4),1,4))+6)/7)</f>
        <v>16</v>
      </c>
      <c r="AB1074" t="s">
        <v>2882</v>
      </c>
      <c r="AG1074" s="7">
        <v>2023</v>
      </c>
      <c r="AH1074" t="s">
        <v>2457</v>
      </c>
      <c r="AK1074" t="s">
        <v>2481</v>
      </c>
      <c r="AL1074" s="3" t="s">
        <v>59</v>
      </c>
    </row>
    <row r="1075" spans="1:38" ht="30" customHeight="1">
      <c r="A1075" s="3" t="s">
        <v>44</v>
      </c>
      <c r="B1075" s="3" t="s">
        <v>45</v>
      </c>
      <c r="G1075">
        <v>448461</v>
      </c>
      <c r="H1075" s="4">
        <f>IF(DATEDIF(L1075,S1075,"m")&gt;12,DATEDIF(L1075,S1075,"y"),(DATEDIF(L1075,S1075,"m")/12))</f>
        <v>1</v>
      </c>
      <c r="I1075" s="7">
        <f>DATEDIF(L1075,S1075,"M")</f>
        <v>16</v>
      </c>
      <c r="J1075" s="7">
        <f>DATEDIF(L1075,S1075,"D")</f>
        <v>515</v>
      </c>
      <c r="K1075" t="s">
        <v>51</v>
      </c>
      <c r="L1075" s="1">
        <v>44521</v>
      </c>
      <c r="M1075" s="17" t="s">
        <v>45</v>
      </c>
      <c r="N1075" t="s">
        <v>203</v>
      </c>
      <c r="O1075" t="s">
        <v>52</v>
      </c>
      <c r="P1075" t="s">
        <v>91</v>
      </c>
      <c r="Q1075">
        <v>1</v>
      </c>
      <c r="R1075" s="1">
        <v>45037</v>
      </c>
      <c r="S1075" s="1">
        <v>45036</v>
      </c>
      <c r="T1075" s="3" t="s">
        <v>54</v>
      </c>
      <c r="U1075" t="s">
        <v>55</v>
      </c>
      <c r="W1075" s="1">
        <v>45148</v>
      </c>
      <c r="Z1075">
        <f>MONTH(S1075)</f>
        <v>4</v>
      </c>
      <c r="AA1075" s="7">
        <f>INT((S1075-DATE(YEAR(S1075-WEEKDAY(S1075-0)+4),1,4)+WEEKDAY(DATE(YEAR(S1075-WEEKDAY(S1075-0)+4),1,4))+6)/7)</f>
        <v>16</v>
      </c>
      <c r="AB1075" t="s">
        <v>2883</v>
      </c>
      <c r="AG1075" s="7">
        <v>2023</v>
      </c>
      <c r="AH1075" t="s">
        <v>2457</v>
      </c>
      <c r="AK1075" t="s">
        <v>2884</v>
      </c>
      <c r="AL1075" s="3" t="s">
        <v>59</v>
      </c>
    </row>
    <row r="1076" spans="1:38" ht="30" customHeight="1">
      <c r="A1076" s="3" t="s">
        <v>44</v>
      </c>
      <c r="B1076" s="3" t="s">
        <v>45</v>
      </c>
      <c r="G1076">
        <v>489641</v>
      </c>
      <c r="H1076" s="4">
        <f>IF(DATEDIF(L1076,S1076,"m")&gt;12,DATEDIF(L1076,S1076,"y"),(DATEDIF(L1076,S1076,"m")/12))</f>
        <v>16</v>
      </c>
      <c r="I1076" s="7">
        <f>DATEDIF(L1076,S1076,"M")</f>
        <v>197</v>
      </c>
      <c r="J1076" s="7">
        <f>DATEDIF(L1076,S1076,"D")</f>
        <v>6000</v>
      </c>
      <c r="K1076" t="s">
        <v>64</v>
      </c>
      <c r="L1076" s="1">
        <v>39034</v>
      </c>
      <c r="M1076" s="17" t="s">
        <v>45</v>
      </c>
      <c r="N1076" t="s">
        <v>203</v>
      </c>
      <c r="O1076" t="s">
        <v>52</v>
      </c>
      <c r="P1076" t="s">
        <v>91</v>
      </c>
      <c r="Q1076">
        <v>1</v>
      </c>
      <c r="R1076" s="1">
        <v>45035</v>
      </c>
      <c r="S1076" s="1">
        <v>45034</v>
      </c>
      <c r="T1076" s="3" t="s">
        <v>54</v>
      </c>
      <c r="U1076" t="s">
        <v>55</v>
      </c>
      <c r="W1076" s="1">
        <v>45148</v>
      </c>
      <c r="Z1076">
        <f>MONTH(S1076)</f>
        <v>4</v>
      </c>
      <c r="AA1076" s="7">
        <f>INT((S1076-DATE(YEAR(S1076-WEEKDAY(S1076-0)+4),1,4)+WEEKDAY(DATE(YEAR(S1076-WEEKDAY(S1076-0)+4),1,4))+6)/7)</f>
        <v>16</v>
      </c>
      <c r="AB1076" t="s">
        <v>2887</v>
      </c>
      <c r="AG1076" s="7">
        <v>2023</v>
      </c>
      <c r="AH1076" t="s">
        <v>2457</v>
      </c>
      <c r="AK1076" t="s">
        <v>327</v>
      </c>
      <c r="AL1076" s="3" t="s">
        <v>59</v>
      </c>
    </row>
    <row r="1077" spans="1:38" ht="30" customHeight="1">
      <c r="A1077" s="3" t="s">
        <v>44</v>
      </c>
      <c r="B1077" s="3" t="s">
        <v>45</v>
      </c>
      <c r="G1077">
        <v>10305574</v>
      </c>
      <c r="H1077" s="4">
        <f>IF(DATEDIF(L1077,S1077,"m")&gt;12,DATEDIF(L1077,S1077,"y"),(DATEDIF(L1077,S1077,"m")/12))</f>
        <v>9</v>
      </c>
      <c r="I1077" s="7">
        <f>DATEDIF(L1077,S1077,"M")</f>
        <v>115</v>
      </c>
      <c r="J1077" s="7">
        <f>DATEDIF(L1077,S1077,"D")</f>
        <v>3511</v>
      </c>
      <c r="K1077" t="s">
        <v>51</v>
      </c>
      <c r="L1077" s="1">
        <v>41617</v>
      </c>
      <c r="M1077" s="17" t="s">
        <v>45</v>
      </c>
      <c r="N1077" t="s">
        <v>65</v>
      </c>
      <c r="O1077" t="s">
        <v>52</v>
      </c>
      <c r="P1077" t="s">
        <v>1739</v>
      </c>
      <c r="Q1077">
        <v>0</v>
      </c>
      <c r="R1077" s="1">
        <v>45131</v>
      </c>
      <c r="S1077" s="1">
        <v>45128</v>
      </c>
      <c r="T1077" s="3" t="s">
        <v>54</v>
      </c>
      <c r="U1077" t="s">
        <v>55</v>
      </c>
      <c r="W1077" s="1">
        <v>45149</v>
      </c>
      <c r="Z1077">
        <f>MONTH(S1077)</f>
        <v>7</v>
      </c>
      <c r="AA1077" s="7">
        <f>INT((S1077-DATE(YEAR(S1077-WEEKDAY(S1077-0)+4),1,4)+WEEKDAY(DATE(YEAR(S1077-WEEKDAY(S1077-0)+4),1,4))+6)/7)</f>
        <v>29</v>
      </c>
      <c r="AB1077" t="s">
        <v>2879</v>
      </c>
      <c r="AG1077" s="7">
        <v>2023</v>
      </c>
      <c r="AH1077" t="s">
        <v>105</v>
      </c>
      <c r="AK1077" t="s">
        <v>2844</v>
      </c>
      <c r="AL1077" s="3" t="s">
        <v>59</v>
      </c>
    </row>
    <row r="1078" spans="1:38" ht="30" customHeight="1">
      <c r="A1078" s="3" t="s">
        <v>44</v>
      </c>
      <c r="B1078" s="3" t="s">
        <v>45</v>
      </c>
      <c r="G1078">
        <v>10305579</v>
      </c>
      <c r="H1078" s="5">
        <f>IF(DATEDIF(L1078,S1078,"m")&gt;12,DATEDIF(L1078,S1078,"y"),(DATEDIF(L1078,S1078,"m")/12))</f>
        <v>0.5</v>
      </c>
      <c r="I1078" s="7">
        <f>DATEDIF(L1078,S1078,"M")</f>
        <v>6</v>
      </c>
      <c r="J1078" s="7">
        <f>DATEDIF(L1078,S1078,"D")</f>
        <v>196</v>
      </c>
      <c r="K1078" t="s">
        <v>64</v>
      </c>
      <c r="L1078" s="1">
        <v>44932</v>
      </c>
      <c r="M1078" s="17" t="s">
        <v>45</v>
      </c>
      <c r="N1078" t="s">
        <v>65</v>
      </c>
      <c r="O1078" t="s">
        <v>52</v>
      </c>
      <c r="P1078" t="s">
        <v>1087</v>
      </c>
      <c r="Q1078">
        <v>0</v>
      </c>
      <c r="R1078" s="1">
        <v>45131</v>
      </c>
      <c r="S1078" s="1">
        <v>45128</v>
      </c>
      <c r="T1078" s="3" t="s">
        <v>54</v>
      </c>
      <c r="U1078" t="s">
        <v>55</v>
      </c>
      <c r="W1078" s="1">
        <v>45150</v>
      </c>
      <c r="Z1078">
        <f>MONTH(S1078)</f>
        <v>7</v>
      </c>
      <c r="AA1078" s="7">
        <f>INT((S1078-DATE(YEAR(S1078-WEEKDAY(S1078-0)+4),1,4)+WEEKDAY(DATE(YEAR(S1078-WEEKDAY(S1078-0)+4),1,4))+6)/7)</f>
        <v>29</v>
      </c>
      <c r="AB1078" t="s">
        <v>2838</v>
      </c>
      <c r="AG1078" s="7">
        <v>2023</v>
      </c>
      <c r="AH1078" t="s">
        <v>105</v>
      </c>
      <c r="AK1078" t="s">
        <v>2545</v>
      </c>
      <c r="AL1078" s="3" t="s">
        <v>59</v>
      </c>
    </row>
    <row r="1079" spans="1:38" ht="30" customHeight="1">
      <c r="A1079" s="3" t="s">
        <v>44</v>
      </c>
      <c r="B1079" s="3" t="s">
        <v>45</v>
      </c>
      <c r="G1079">
        <v>10305580</v>
      </c>
      <c r="H1079" s="4">
        <f>IF(DATEDIF(L1079,S1079,"m")&gt;12,DATEDIF(L1079,S1079,"y"),(DATEDIF(L1079,S1079,"m")/12))</f>
        <v>10</v>
      </c>
      <c r="I1079" s="7">
        <f>DATEDIF(L1079,S1079,"M")</f>
        <v>121</v>
      </c>
      <c r="J1079" s="7">
        <f>DATEDIF(L1079,S1079,"D")</f>
        <v>3698</v>
      </c>
      <c r="K1079" t="s">
        <v>51</v>
      </c>
      <c r="L1079" s="1">
        <v>41430</v>
      </c>
      <c r="M1079" s="17" t="s">
        <v>45</v>
      </c>
      <c r="N1079" t="s">
        <v>65</v>
      </c>
      <c r="O1079" t="s">
        <v>52</v>
      </c>
      <c r="P1079" t="s">
        <v>1087</v>
      </c>
      <c r="Q1079">
        <v>0</v>
      </c>
      <c r="R1079" s="1">
        <v>45131</v>
      </c>
      <c r="S1079" s="1">
        <v>45128</v>
      </c>
      <c r="T1079" s="3" t="s">
        <v>54</v>
      </c>
      <c r="U1079" t="s">
        <v>55</v>
      </c>
      <c r="W1079" s="1">
        <v>45150</v>
      </c>
      <c r="Z1079">
        <f>MONTH(S1079)</f>
        <v>7</v>
      </c>
      <c r="AA1079" s="7">
        <f>INT((S1079-DATE(YEAR(S1079-WEEKDAY(S1079-0)+4),1,4)+WEEKDAY(DATE(YEAR(S1079-WEEKDAY(S1079-0)+4),1,4))+6)/7)</f>
        <v>29</v>
      </c>
      <c r="AB1079" t="s">
        <v>2839</v>
      </c>
      <c r="AG1079" s="7">
        <v>2023</v>
      </c>
      <c r="AH1079" t="s">
        <v>105</v>
      </c>
      <c r="AK1079" t="s">
        <v>2545</v>
      </c>
      <c r="AL1079" s="3" t="s">
        <v>59</v>
      </c>
    </row>
    <row r="1080" spans="1:38" ht="30" customHeight="1">
      <c r="A1080" s="3" t="s">
        <v>44</v>
      </c>
      <c r="B1080" s="3" t="s">
        <v>45</v>
      </c>
      <c r="G1080">
        <v>10305577</v>
      </c>
      <c r="H1080" s="4">
        <f>IF(DATEDIF(L1080,S1080,"m")&gt;12,DATEDIF(L1080,S1080,"y"),(DATEDIF(L1080,S1080,"m")/12))</f>
        <v>34</v>
      </c>
      <c r="I1080" s="7">
        <f>DATEDIF(L1080,S1080,"M")</f>
        <v>416</v>
      </c>
      <c r="J1080" s="7">
        <f>DATEDIF(L1080,S1080,"D")</f>
        <v>12683</v>
      </c>
      <c r="K1080" t="s">
        <v>64</v>
      </c>
      <c r="L1080" s="1">
        <v>32446</v>
      </c>
      <c r="M1080" s="17" t="s">
        <v>45</v>
      </c>
      <c r="N1080" t="s">
        <v>101</v>
      </c>
      <c r="O1080" t="s">
        <v>52</v>
      </c>
      <c r="P1080" t="s">
        <v>803</v>
      </c>
      <c r="Q1080">
        <v>0</v>
      </c>
      <c r="R1080" s="1">
        <v>45131</v>
      </c>
      <c r="S1080" s="1">
        <v>45129</v>
      </c>
      <c r="T1080" s="3" t="s">
        <v>54</v>
      </c>
      <c r="U1080" t="s">
        <v>55</v>
      </c>
      <c r="W1080" s="1">
        <v>45150</v>
      </c>
      <c r="Z1080">
        <f>MONTH(S1080)</f>
        <v>7</v>
      </c>
      <c r="AA1080" s="7">
        <f>INT((S1080-DATE(YEAR(S1080-WEEKDAY(S1080-0)+4),1,4)+WEEKDAY(DATE(YEAR(S1080-WEEKDAY(S1080-0)+4),1,4))+6)/7)</f>
        <v>29</v>
      </c>
      <c r="AB1080" t="s">
        <v>2840</v>
      </c>
      <c r="AG1080" s="7">
        <v>2023</v>
      </c>
      <c r="AH1080" t="s">
        <v>105</v>
      </c>
      <c r="AK1080" t="s">
        <v>2451</v>
      </c>
      <c r="AL1080" s="3" t="s">
        <v>59</v>
      </c>
    </row>
    <row r="1081" spans="1:38" ht="30" customHeight="1">
      <c r="A1081" s="3" t="s">
        <v>44</v>
      </c>
      <c r="B1081" s="3" t="s">
        <v>45</v>
      </c>
      <c r="G1081">
        <v>24211</v>
      </c>
      <c r="H1081" s="4">
        <f>IF(DATEDIF(L1081,S1081,"m")&gt;12,DATEDIF(L1081,S1081,"y"),(DATEDIF(L1081,S1081,"m")/12))</f>
        <v>10</v>
      </c>
      <c r="I1081" s="7">
        <f>DATEDIF(L1081,S1081,"M")</f>
        <v>131</v>
      </c>
      <c r="J1081" s="7">
        <f>DATEDIF(L1081,S1081,"D")</f>
        <v>4010</v>
      </c>
      <c r="K1081" t="s">
        <v>51</v>
      </c>
      <c r="L1081" s="1">
        <v>41127</v>
      </c>
      <c r="M1081" s="17" t="s">
        <v>45</v>
      </c>
      <c r="N1081" t="s">
        <v>65</v>
      </c>
      <c r="O1081" t="s">
        <v>52</v>
      </c>
      <c r="P1081" t="s">
        <v>2568</v>
      </c>
      <c r="Q1081">
        <v>1</v>
      </c>
      <c r="R1081" s="1">
        <v>45138</v>
      </c>
      <c r="S1081" s="1">
        <v>45137</v>
      </c>
      <c r="T1081" s="3" t="s">
        <v>54</v>
      </c>
      <c r="U1081" t="s">
        <v>55</v>
      </c>
      <c r="W1081" s="1">
        <v>45150</v>
      </c>
      <c r="Z1081">
        <f>MONTH(S1081)</f>
        <v>7</v>
      </c>
      <c r="AA1081" s="7">
        <f>INT((S1081-DATE(YEAR(S1081-WEEKDAY(S1081-0)+4),1,4)+WEEKDAY(DATE(YEAR(S1081-WEEKDAY(S1081-0)+4),1,4))+6)/7)</f>
        <v>31</v>
      </c>
      <c r="AB1081" t="s">
        <v>2843</v>
      </c>
      <c r="AG1081" s="7">
        <v>2023</v>
      </c>
      <c r="AH1081" t="s">
        <v>105</v>
      </c>
      <c r="AK1081" t="s">
        <v>2844</v>
      </c>
      <c r="AL1081" s="3" t="s">
        <v>59</v>
      </c>
    </row>
    <row r="1082" spans="1:38" ht="30" customHeight="1">
      <c r="A1082" s="3" t="s">
        <v>44</v>
      </c>
      <c r="B1082" s="3" t="s">
        <v>45</v>
      </c>
      <c r="G1082">
        <v>7249</v>
      </c>
      <c r="H1082" s="4">
        <f>IF(DATEDIF(L1082,S1082,"m")&gt;12,DATEDIF(L1082,S1082,"y"),(DATEDIF(L1082,S1082,"m")/12))</f>
        <v>7</v>
      </c>
      <c r="I1082" s="7">
        <f>DATEDIF(L1082,S1082,"M")</f>
        <v>84</v>
      </c>
      <c r="J1082" s="7">
        <f>DATEDIF(L1082,S1082,"D")</f>
        <v>2583</v>
      </c>
      <c r="K1082" t="s">
        <v>51</v>
      </c>
      <c r="L1082" s="1">
        <v>42548</v>
      </c>
      <c r="M1082" s="17" t="s">
        <v>45</v>
      </c>
      <c r="N1082" t="s">
        <v>65</v>
      </c>
      <c r="O1082" t="s">
        <v>52</v>
      </c>
      <c r="P1082" t="s">
        <v>2533</v>
      </c>
      <c r="Q1082">
        <v>0</v>
      </c>
      <c r="R1082" s="1">
        <v>45133</v>
      </c>
      <c r="S1082" s="1">
        <v>45131</v>
      </c>
      <c r="T1082" s="3" t="s">
        <v>54</v>
      </c>
      <c r="U1082" t="s">
        <v>55</v>
      </c>
      <c r="W1082" s="1">
        <v>45150</v>
      </c>
      <c r="Z1082">
        <f>MONTH(S1082)</f>
        <v>7</v>
      </c>
      <c r="AA1082" s="7">
        <f>INT((S1082-DATE(YEAR(S1082-WEEKDAY(S1082-0)+4),1,4)+WEEKDAY(DATE(YEAR(S1082-WEEKDAY(S1082-0)+4),1,4))+6)/7)</f>
        <v>30</v>
      </c>
      <c r="AB1082" t="s">
        <v>2848</v>
      </c>
      <c r="AG1082" s="7">
        <v>2023</v>
      </c>
      <c r="AH1082" t="s">
        <v>105</v>
      </c>
      <c r="AK1082" t="s">
        <v>2582</v>
      </c>
      <c r="AL1082" s="3" t="s">
        <v>59</v>
      </c>
    </row>
    <row r="1083" spans="1:38" ht="30" customHeight="1">
      <c r="A1083" s="3" t="s">
        <v>44</v>
      </c>
      <c r="B1083" s="3" t="s">
        <v>45</v>
      </c>
      <c r="G1083">
        <v>28452</v>
      </c>
      <c r="H1083" s="4">
        <f>IF(DATEDIF(L1083,S1083,"m")&gt;12,DATEDIF(L1083,S1083,"y"),(DATEDIF(L1083,S1083,"m")/12))</f>
        <v>8</v>
      </c>
      <c r="I1083" s="7">
        <f>DATEDIF(L1083,S1083,"M")</f>
        <v>98</v>
      </c>
      <c r="J1083" s="7">
        <f>DATEDIF(L1083,S1083,"D")</f>
        <v>2983</v>
      </c>
      <c r="K1083" t="s">
        <v>64</v>
      </c>
      <c r="L1083" s="1">
        <v>42156</v>
      </c>
      <c r="M1083" s="17" t="s">
        <v>45</v>
      </c>
      <c r="N1083" t="s">
        <v>2853</v>
      </c>
      <c r="O1083" t="s">
        <v>52</v>
      </c>
      <c r="P1083" t="s">
        <v>1087</v>
      </c>
      <c r="Q1083">
        <v>1</v>
      </c>
      <c r="R1083" s="1">
        <v>45141</v>
      </c>
      <c r="S1083" s="1">
        <v>45139</v>
      </c>
      <c r="T1083" s="3" t="s">
        <v>54</v>
      </c>
      <c r="U1083" t="s">
        <v>55</v>
      </c>
      <c r="W1083" s="1">
        <v>45150</v>
      </c>
      <c r="Z1083">
        <f>MONTH(S1083)</f>
        <v>8</v>
      </c>
      <c r="AA1083" s="7">
        <f>INT((S1083-DATE(YEAR(S1083-WEEKDAY(S1083-0)+4),1,4)+WEEKDAY(DATE(YEAR(S1083-WEEKDAY(S1083-0)+4),1,4))+6)/7)</f>
        <v>31</v>
      </c>
      <c r="AB1083" t="s">
        <v>2859</v>
      </c>
      <c r="AG1083" s="7">
        <v>2023</v>
      </c>
      <c r="AH1083" t="s">
        <v>105</v>
      </c>
      <c r="AK1083" t="s">
        <v>2860</v>
      </c>
      <c r="AL1083" s="3" t="s">
        <v>59</v>
      </c>
    </row>
    <row r="1084" spans="1:38" ht="30" customHeight="1">
      <c r="A1084" s="3" t="s">
        <v>44</v>
      </c>
      <c r="B1084" s="3" t="s">
        <v>45</v>
      </c>
      <c r="G1084">
        <v>28439</v>
      </c>
      <c r="H1084" s="4">
        <f>IF(DATEDIF(L1084,S1084,"m")&gt;12,DATEDIF(L1084,S1084,"y"),(DATEDIF(L1084,S1084,"m")/12))</f>
        <v>2</v>
      </c>
      <c r="I1084" s="7">
        <f>DATEDIF(L1084,S1084,"M")</f>
        <v>27</v>
      </c>
      <c r="J1084" s="7">
        <f>DATEDIF(L1084,S1084,"D")</f>
        <v>840</v>
      </c>
      <c r="K1084" t="s">
        <v>51</v>
      </c>
      <c r="L1084" s="1">
        <v>44291</v>
      </c>
      <c r="M1084" s="17" t="s">
        <v>45</v>
      </c>
      <c r="N1084" t="s">
        <v>65</v>
      </c>
      <c r="O1084" t="s">
        <v>52</v>
      </c>
      <c r="Q1084">
        <v>1</v>
      </c>
      <c r="R1084" s="1">
        <v>45138</v>
      </c>
      <c r="S1084" s="1">
        <v>45131</v>
      </c>
      <c r="T1084" s="3" t="s">
        <v>54</v>
      </c>
      <c r="U1084" t="s">
        <v>55</v>
      </c>
      <c r="W1084" s="1">
        <v>45150</v>
      </c>
      <c r="Z1084">
        <f>MONTH(S1084)</f>
        <v>7</v>
      </c>
      <c r="AA1084" s="7">
        <f>INT((S1084-DATE(YEAR(S1084-WEEKDAY(S1084-0)+4),1,4)+WEEKDAY(DATE(YEAR(S1084-WEEKDAY(S1084-0)+4),1,4))+6)/7)</f>
        <v>30</v>
      </c>
      <c r="AB1084" t="s">
        <v>2866</v>
      </c>
      <c r="AG1084" s="7">
        <v>2023</v>
      </c>
      <c r="AH1084" t="s">
        <v>105</v>
      </c>
      <c r="AK1084" t="s">
        <v>2470</v>
      </c>
      <c r="AL1084" s="3" t="s">
        <v>59</v>
      </c>
    </row>
    <row r="1085" spans="1:38" ht="30" customHeight="1">
      <c r="A1085" s="3" t="s">
        <v>44</v>
      </c>
      <c r="B1085" s="3" t="s">
        <v>45</v>
      </c>
      <c r="G1085">
        <v>28416</v>
      </c>
      <c r="H1085" s="4">
        <f>IF(DATEDIF(L1085,S1085,"m")&gt;12,DATEDIF(L1085,S1085,"y"),(DATEDIF(L1085,S1085,"m")/12))</f>
        <v>2</v>
      </c>
      <c r="I1085" s="7">
        <f>DATEDIF(L1085,S1085,"M")</f>
        <v>27</v>
      </c>
      <c r="J1085" s="7">
        <f>DATEDIF(L1085,S1085,"D")</f>
        <v>824</v>
      </c>
      <c r="K1085" t="s">
        <v>51</v>
      </c>
      <c r="L1085" s="1">
        <v>44302</v>
      </c>
      <c r="M1085" s="17" t="s">
        <v>45</v>
      </c>
      <c r="N1085" t="s">
        <v>101</v>
      </c>
      <c r="O1085" t="s">
        <v>52</v>
      </c>
      <c r="P1085" t="s">
        <v>1739</v>
      </c>
      <c r="Q1085">
        <v>1</v>
      </c>
      <c r="R1085" s="1">
        <v>45131</v>
      </c>
      <c r="S1085" s="1">
        <v>45126</v>
      </c>
      <c r="T1085" s="3" t="s">
        <v>54</v>
      </c>
      <c r="U1085" t="s">
        <v>55</v>
      </c>
      <c r="W1085" s="1">
        <v>45150</v>
      </c>
      <c r="Z1085">
        <f>MONTH(S1085)</f>
        <v>7</v>
      </c>
      <c r="AA1085" s="7">
        <f>INT((S1085-DATE(YEAR(S1085-WEEKDAY(S1085-0)+4),1,4)+WEEKDAY(DATE(YEAR(S1085-WEEKDAY(S1085-0)+4),1,4))+6)/7)</f>
        <v>29</v>
      </c>
      <c r="AB1085" t="s">
        <v>2873</v>
      </c>
      <c r="AG1085" s="7">
        <v>2023</v>
      </c>
      <c r="AH1085" t="s">
        <v>105</v>
      </c>
      <c r="AK1085" t="s">
        <v>2451</v>
      </c>
      <c r="AL1085" s="3" t="s">
        <v>59</v>
      </c>
    </row>
    <row r="1086" spans="1:38" ht="30" customHeight="1">
      <c r="A1086" s="3" t="s">
        <v>44</v>
      </c>
      <c r="B1086" s="3" t="s">
        <v>45</v>
      </c>
      <c r="G1086">
        <v>10305576</v>
      </c>
      <c r="H1086" s="4">
        <f>IF(DATEDIF(L1086,S1086,"m")&gt;12,DATEDIF(L1086,S1086,"y"),(DATEDIF(L1086,S1086,"m")/12))</f>
        <v>2</v>
      </c>
      <c r="I1086" s="7">
        <f>DATEDIF(L1086,S1086,"M")</f>
        <v>24</v>
      </c>
      <c r="J1086" s="7">
        <f>DATEDIF(L1086,S1086,"D")</f>
        <v>756</v>
      </c>
      <c r="K1086" t="s">
        <v>64</v>
      </c>
      <c r="L1086" s="1">
        <v>44370</v>
      </c>
      <c r="M1086" s="17" t="s">
        <v>45</v>
      </c>
      <c r="N1086" t="s">
        <v>101</v>
      </c>
      <c r="O1086" t="s">
        <v>52</v>
      </c>
      <c r="P1086" t="s">
        <v>2531</v>
      </c>
      <c r="Q1086">
        <v>0</v>
      </c>
      <c r="R1086" s="1">
        <v>45131</v>
      </c>
      <c r="S1086" s="1">
        <v>45126</v>
      </c>
      <c r="T1086" s="3" t="s">
        <v>54</v>
      </c>
      <c r="U1086" t="s">
        <v>55</v>
      </c>
      <c r="W1086" s="1">
        <v>45150</v>
      </c>
      <c r="Z1086">
        <f>MONTH(S1086)</f>
        <v>7</v>
      </c>
      <c r="AA1086" s="7">
        <f>INT((S1086-DATE(YEAR(S1086-WEEKDAY(S1086-0)+4),1,4)+WEEKDAY(DATE(YEAR(S1086-WEEKDAY(S1086-0)+4),1,4))+6)/7)</f>
        <v>29</v>
      </c>
      <c r="AB1086" t="s">
        <v>2878</v>
      </c>
      <c r="AG1086" s="7">
        <v>2023</v>
      </c>
      <c r="AH1086" t="s">
        <v>105</v>
      </c>
      <c r="AK1086" t="s">
        <v>2541</v>
      </c>
      <c r="AL1086" s="3" t="s">
        <v>59</v>
      </c>
    </row>
    <row r="1087" spans="1:38" ht="30" customHeight="1">
      <c r="A1087" s="3" t="s">
        <v>44</v>
      </c>
      <c r="B1087" s="3" t="s">
        <v>45</v>
      </c>
      <c r="G1087">
        <v>10304610</v>
      </c>
      <c r="H1087" s="4">
        <f>IF(DATEDIF(L1087,S1087,"m")&gt;12,DATEDIF(L1087,S1087,"y"),(DATEDIF(L1087,S1087,"m")/12))</f>
        <v>39</v>
      </c>
      <c r="I1087" s="7">
        <f>DATEDIF(L1087,S1087,"M")</f>
        <v>470</v>
      </c>
      <c r="J1087" s="7">
        <f>DATEDIF(L1087,S1087,"D")</f>
        <v>14305</v>
      </c>
      <c r="K1087" t="s">
        <v>64</v>
      </c>
      <c r="L1087" s="1">
        <v>30832</v>
      </c>
      <c r="M1087" s="17" t="s">
        <v>45</v>
      </c>
      <c r="N1087" t="s">
        <v>101</v>
      </c>
      <c r="O1087" t="s">
        <v>52</v>
      </c>
      <c r="P1087" t="s">
        <v>803</v>
      </c>
      <c r="Q1087">
        <v>0</v>
      </c>
      <c r="R1087" s="1">
        <v>45139</v>
      </c>
      <c r="S1087" s="1">
        <v>45137</v>
      </c>
      <c r="T1087" s="3" t="s">
        <v>54</v>
      </c>
      <c r="U1087" t="s">
        <v>55</v>
      </c>
      <c r="W1087" s="1">
        <v>45150</v>
      </c>
      <c r="Z1087">
        <f>MONTH(S1087)</f>
        <v>7</v>
      </c>
      <c r="AA1087" s="7">
        <f>INT((S1087-DATE(YEAR(S1087-WEEKDAY(S1087-0)+4),1,4)+WEEKDAY(DATE(YEAR(S1087-WEEKDAY(S1087-0)+4),1,4))+6)/7)</f>
        <v>31</v>
      </c>
      <c r="AB1087" t="s">
        <v>2880</v>
      </c>
      <c r="AG1087" s="7">
        <v>2023</v>
      </c>
      <c r="AH1087" t="s">
        <v>105</v>
      </c>
      <c r="AK1087" t="s">
        <v>2532</v>
      </c>
      <c r="AL1087" s="3" t="s">
        <v>59</v>
      </c>
    </row>
    <row r="1088" spans="1:38" ht="30" customHeight="1">
      <c r="A1088" s="3" t="s">
        <v>44</v>
      </c>
      <c r="B1088" s="3" t="s">
        <v>45</v>
      </c>
      <c r="G1088">
        <v>10305048</v>
      </c>
      <c r="H1088" s="4">
        <f>IF(DATEDIF(L1088,S1088,"m")&gt;12,DATEDIF(L1088,S1088,"y"),(DATEDIF(L1088,S1088,"m")/12))</f>
        <v>1</v>
      </c>
      <c r="I1088" s="7">
        <f>DATEDIF(L1088,S1088,"M")</f>
        <v>21</v>
      </c>
      <c r="J1088" s="7">
        <f>DATEDIF(L1088,S1088,"D")</f>
        <v>666</v>
      </c>
      <c r="K1088" t="s">
        <v>51</v>
      </c>
      <c r="L1088" s="1">
        <v>44470</v>
      </c>
      <c r="M1088" s="17" t="s">
        <v>45</v>
      </c>
      <c r="N1088" t="s">
        <v>65</v>
      </c>
      <c r="O1088" t="s">
        <v>52</v>
      </c>
      <c r="P1088" t="s">
        <v>2898</v>
      </c>
      <c r="Q1088">
        <v>0</v>
      </c>
      <c r="R1088" s="1">
        <v>45139</v>
      </c>
      <c r="S1088" s="1">
        <v>45136</v>
      </c>
      <c r="T1088" s="3" t="s">
        <v>54</v>
      </c>
      <c r="U1088" t="s">
        <v>55</v>
      </c>
      <c r="W1088" s="1">
        <v>45150</v>
      </c>
      <c r="Z1088">
        <f>MONTH(S1088)</f>
        <v>7</v>
      </c>
      <c r="AA1088" s="7">
        <f>INT((S1088-DATE(YEAR(S1088-WEEKDAY(S1088-0)+4),1,4)+WEEKDAY(DATE(YEAR(S1088-WEEKDAY(S1088-0)+4),1,4))+6)/7)</f>
        <v>30</v>
      </c>
      <c r="AB1088" t="s">
        <v>2899</v>
      </c>
      <c r="AG1088" s="7">
        <v>2023</v>
      </c>
      <c r="AH1088" t="s">
        <v>105</v>
      </c>
      <c r="AK1088" t="s">
        <v>2900</v>
      </c>
      <c r="AL1088" s="3" t="s">
        <v>59</v>
      </c>
    </row>
    <row r="1089" spans="1:38" ht="30" customHeight="1">
      <c r="A1089" s="3" t="s">
        <v>44</v>
      </c>
      <c r="B1089" s="3" t="s">
        <v>45</v>
      </c>
      <c r="G1089">
        <v>490338</v>
      </c>
      <c r="H1089" s="4">
        <f>IF(DATEDIF(L1089,S1089,"m")&gt;12,DATEDIF(L1089,S1089,"y"),(DATEDIF(L1089,S1089,"m")/12))</f>
        <v>1</v>
      </c>
      <c r="I1089" s="7">
        <f>DATEDIF(L1089,S1089,"M")</f>
        <v>19</v>
      </c>
      <c r="J1089" s="7">
        <f>DATEDIF(L1089,S1089,"D")</f>
        <v>600</v>
      </c>
      <c r="K1089" t="s">
        <v>51</v>
      </c>
      <c r="L1089" s="1">
        <v>44547</v>
      </c>
      <c r="M1089" s="17" t="s">
        <v>45</v>
      </c>
      <c r="N1089" t="s">
        <v>329</v>
      </c>
      <c r="O1089" t="s">
        <v>52</v>
      </c>
      <c r="P1089" t="s">
        <v>2861</v>
      </c>
      <c r="Q1089">
        <v>1</v>
      </c>
      <c r="R1089" s="1">
        <v>45150</v>
      </c>
      <c r="S1089" s="1">
        <v>45147</v>
      </c>
      <c r="T1089" s="3" t="s">
        <v>54</v>
      </c>
      <c r="U1089" t="s">
        <v>55</v>
      </c>
      <c r="W1089" s="1">
        <v>45151</v>
      </c>
      <c r="Z1089">
        <f>MONTH(S1089)</f>
        <v>8</v>
      </c>
      <c r="AA1089" s="7">
        <f>INT((S1089-DATE(YEAR(S1089-WEEKDAY(S1089-0)+4),1,4)+WEEKDAY(DATE(YEAR(S1089-WEEKDAY(S1089-0)+4),1,4))+6)/7)</f>
        <v>32</v>
      </c>
      <c r="AB1089" t="s">
        <v>2862</v>
      </c>
      <c r="AG1089" s="7">
        <v>2023</v>
      </c>
      <c r="AH1089" t="s">
        <v>987</v>
      </c>
      <c r="AK1089" t="s">
        <v>2481</v>
      </c>
      <c r="AL1089" s="3" t="s">
        <v>59</v>
      </c>
    </row>
    <row r="1090" spans="1:38" ht="30" customHeight="1">
      <c r="A1090" s="3" t="s">
        <v>44</v>
      </c>
      <c r="B1090" s="3" t="s">
        <v>45</v>
      </c>
      <c r="G1090" t="s">
        <v>2841</v>
      </c>
      <c r="H1090" s="5">
        <f>IF(DATEDIF(L1090,S1090,"m")&gt;12,DATEDIF(L1090,S1090,"y"),(DATEDIF(L1090,S1090,"m")/12))</f>
        <v>0.33333333333333331</v>
      </c>
      <c r="I1090" s="7">
        <f>DATEDIF(L1090,S1090,"M")</f>
        <v>4</v>
      </c>
      <c r="J1090" s="7">
        <f>DATEDIF(L1090,S1090,"D")</f>
        <v>151</v>
      </c>
      <c r="K1090" t="s">
        <v>51</v>
      </c>
      <c r="L1090" s="1">
        <v>44996</v>
      </c>
      <c r="M1090" s="17" t="s">
        <v>45</v>
      </c>
      <c r="N1090" t="s">
        <v>83</v>
      </c>
      <c r="O1090" t="s">
        <v>52</v>
      </c>
      <c r="P1090" t="s">
        <v>2472</v>
      </c>
      <c r="Q1090">
        <v>0</v>
      </c>
      <c r="R1090" s="1">
        <v>45149</v>
      </c>
      <c r="S1090" s="1">
        <v>45147</v>
      </c>
      <c r="T1090" s="3" t="s">
        <v>54</v>
      </c>
      <c r="U1090" t="s">
        <v>55</v>
      </c>
      <c r="W1090" s="1">
        <v>45152</v>
      </c>
      <c r="Z1090">
        <f>MONTH(S1090)</f>
        <v>8</v>
      </c>
      <c r="AA1090" s="7">
        <f>INT((S1090-DATE(YEAR(S1090-WEEKDAY(S1090-0)+4),1,4)+WEEKDAY(DATE(YEAR(S1090-WEEKDAY(S1090-0)+4),1,4))+6)/7)</f>
        <v>32</v>
      </c>
      <c r="AB1090" t="s">
        <v>2842</v>
      </c>
      <c r="AG1090" s="7">
        <v>2023</v>
      </c>
      <c r="AH1090" t="s">
        <v>482</v>
      </c>
      <c r="AK1090" t="s">
        <v>2672</v>
      </c>
      <c r="AL1090" s="3" t="s">
        <v>59</v>
      </c>
    </row>
    <row r="1091" spans="1:38" ht="30" customHeight="1">
      <c r="A1091" s="3" t="s">
        <v>44</v>
      </c>
      <c r="B1091" s="3" t="s">
        <v>45</v>
      </c>
      <c r="G1091" t="s">
        <v>2845</v>
      </c>
      <c r="H1091" s="4">
        <f>IF(DATEDIF(L1091,S1091,"m")&gt;12,DATEDIF(L1091,S1091,"y"),(DATEDIF(L1091,S1091,"m")/12))</f>
        <v>15</v>
      </c>
      <c r="I1091" s="7">
        <f>DATEDIF(L1091,S1091,"M")</f>
        <v>183</v>
      </c>
      <c r="J1091" s="7">
        <f>DATEDIF(L1091,S1091,"D")</f>
        <v>5574</v>
      </c>
      <c r="K1091" t="s">
        <v>64</v>
      </c>
      <c r="L1091" s="1">
        <v>39570</v>
      </c>
      <c r="M1091" s="17" t="s">
        <v>45</v>
      </c>
      <c r="N1091" t="s">
        <v>83</v>
      </c>
      <c r="O1091" t="s">
        <v>52</v>
      </c>
      <c r="P1091" t="s">
        <v>2598</v>
      </c>
      <c r="Q1091">
        <v>0</v>
      </c>
      <c r="R1091" s="1">
        <v>45149</v>
      </c>
      <c r="S1091" s="1">
        <v>45144</v>
      </c>
      <c r="T1091" s="3" t="s">
        <v>54</v>
      </c>
      <c r="U1091" t="s">
        <v>55</v>
      </c>
      <c r="W1091" s="1">
        <v>45152</v>
      </c>
      <c r="Z1091">
        <f>MONTH(S1091)</f>
        <v>8</v>
      </c>
      <c r="AA1091" s="7">
        <f>INT((S1091-DATE(YEAR(S1091-WEEKDAY(S1091-0)+4),1,4)+WEEKDAY(DATE(YEAR(S1091-WEEKDAY(S1091-0)+4),1,4))+6)/7)</f>
        <v>32</v>
      </c>
      <c r="AB1091" t="s">
        <v>2846</v>
      </c>
      <c r="AG1091" s="7">
        <v>2023</v>
      </c>
      <c r="AH1091" t="s">
        <v>482</v>
      </c>
      <c r="AK1091" t="s">
        <v>2847</v>
      </c>
      <c r="AL1091" s="3" t="s">
        <v>59</v>
      </c>
    </row>
    <row r="1092" spans="1:38" ht="30" customHeight="1">
      <c r="A1092" s="3" t="s">
        <v>44</v>
      </c>
      <c r="B1092" s="3" t="s">
        <v>45</v>
      </c>
      <c r="G1092" t="s">
        <v>2855</v>
      </c>
      <c r="H1092" s="4">
        <f>IF(DATEDIF(L1092,S1092,"m")&gt;12,DATEDIF(L1092,S1092,"y"),(DATEDIF(L1092,S1092,"m")/12))</f>
        <v>70</v>
      </c>
      <c r="I1092" s="7">
        <f>DATEDIF(L1092,S1092,"M")</f>
        <v>851</v>
      </c>
      <c r="J1092" s="7">
        <f>DATEDIF(L1092,S1092,"D")</f>
        <v>25917</v>
      </c>
      <c r="K1092" t="s">
        <v>51</v>
      </c>
      <c r="L1092" s="1">
        <v>19230</v>
      </c>
      <c r="M1092" s="17" t="s">
        <v>45</v>
      </c>
      <c r="N1092" t="s">
        <v>83</v>
      </c>
      <c r="O1092" t="s">
        <v>52</v>
      </c>
      <c r="P1092" t="s">
        <v>2521</v>
      </c>
      <c r="Q1092">
        <v>0</v>
      </c>
      <c r="R1092" s="1">
        <v>45149</v>
      </c>
      <c r="S1092" s="1">
        <v>45147</v>
      </c>
      <c r="T1092" s="3" t="s">
        <v>54</v>
      </c>
      <c r="U1092" t="s">
        <v>55</v>
      </c>
      <c r="W1092" s="1">
        <v>45152</v>
      </c>
      <c r="Z1092">
        <f>MONTH(S1092)</f>
        <v>8</v>
      </c>
      <c r="AA1092" s="7">
        <f>INT((S1092-DATE(YEAR(S1092-WEEKDAY(S1092-0)+4),1,4)+WEEKDAY(DATE(YEAR(S1092-WEEKDAY(S1092-0)+4),1,4))+6)/7)</f>
        <v>32</v>
      </c>
      <c r="AB1092" t="s">
        <v>2856</v>
      </c>
      <c r="AG1092" s="7">
        <v>2023</v>
      </c>
      <c r="AH1092" t="s">
        <v>482</v>
      </c>
      <c r="AK1092" t="s">
        <v>2847</v>
      </c>
      <c r="AL1092" s="3" t="s">
        <v>59</v>
      </c>
    </row>
    <row r="1093" spans="1:38" ht="30" customHeight="1">
      <c r="A1093" s="3" t="s">
        <v>44</v>
      </c>
      <c r="B1093" s="3" t="s">
        <v>45</v>
      </c>
      <c r="G1093" t="s">
        <v>2869</v>
      </c>
      <c r="H1093" s="4">
        <f>IF(DATEDIF(L1093,S1093,"m")&gt;12,DATEDIF(L1093,S1093,"y"),(DATEDIF(L1093,S1093,"m")/12))</f>
        <v>33</v>
      </c>
      <c r="I1093" s="7">
        <f>DATEDIF(L1093,S1093,"M")</f>
        <v>403</v>
      </c>
      <c r="J1093" s="7">
        <f>DATEDIF(L1093,S1093,"D")</f>
        <v>12270</v>
      </c>
      <c r="K1093" t="s">
        <v>64</v>
      </c>
      <c r="L1093" s="1">
        <v>32874</v>
      </c>
      <c r="M1093" s="17" t="s">
        <v>45</v>
      </c>
      <c r="N1093" t="s">
        <v>83</v>
      </c>
      <c r="O1093" t="s">
        <v>52</v>
      </c>
      <c r="P1093" t="s">
        <v>2598</v>
      </c>
      <c r="Q1093">
        <v>0</v>
      </c>
      <c r="R1093" s="1">
        <v>45149</v>
      </c>
      <c r="S1093" s="1">
        <v>45144</v>
      </c>
      <c r="T1093" s="3" t="s">
        <v>54</v>
      </c>
      <c r="U1093" t="s">
        <v>55</v>
      </c>
      <c r="W1093" s="1">
        <v>45152</v>
      </c>
      <c r="Z1093">
        <f>MONTH(S1093)</f>
        <v>8</v>
      </c>
      <c r="AA1093" s="7">
        <f>INT((S1093-DATE(YEAR(S1093-WEEKDAY(S1093-0)+4),1,4)+WEEKDAY(DATE(YEAR(S1093-WEEKDAY(S1093-0)+4),1,4))+6)/7)</f>
        <v>32</v>
      </c>
      <c r="AB1093" t="s">
        <v>2870</v>
      </c>
      <c r="AG1093" s="7">
        <v>2023</v>
      </c>
      <c r="AH1093" t="s">
        <v>482</v>
      </c>
      <c r="AK1093" t="s">
        <v>140</v>
      </c>
      <c r="AL1093" s="3" t="s">
        <v>59</v>
      </c>
    </row>
    <row r="1094" spans="1:38" ht="30" customHeight="1">
      <c r="A1094" s="3" t="s">
        <v>44</v>
      </c>
      <c r="B1094" s="3" t="s">
        <v>45</v>
      </c>
      <c r="G1094" t="s">
        <v>2888</v>
      </c>
      <c r="H1094" s="4">
        <f>IF(DATEDIF(L1094,S1094,"m")&gt;12,DATEDIF(L1094,S1094,"y"),(DATEDIF(L1094,S1094,"m")/12))</f>
        <v>7</v>
      </c>
      <c r="I1094" s="7">
        <f>DATEDIF(L1094,S1094,"M")</f>
        <v>88</v>
      </c>
      <c r="J1094" s="7">
        <f>DATEDIF(L1094,S1094,"D")</f>
        <v>2678</v>
      </c>
      <c r="K1094" t="s">
        <v>64</v>
      </c>
      <c r="L1094" s="1">
        <v>42440</v>
      </c>
      <c r="M1094" s="17" t="s">
        <v>45</v>
      </c>
      <c r="N1094" t="s">
        <v>83</v>
      </c>
      <c r="O1094" t="s">
        <v>52</v>
      </c>
      <c r="P1094" t="s">
        <v>2889</v>
      </c>
      <c r="Q1094">
        <v>1</v>
      </c>
      <c r="R1094" s="1">
        <v>45149</v>
      </c>
      <c r="S1094" s="1">
        <v>45118</v>
      </c>
      <c r="T1094" s="3" t="s">
        <v>464</v>
      </c>
      <c r="U1094" t="s">
        <v>55</v>
      </c>
      <c r="W1094" s="1">
        <v>45152</v>
      </c>
      <c r="Z1094">
        <f>MONTH(S1094)</f>
        <v>7</v>
      </c>
      <c r="AA1094" s="7">
        <f>INT((S1094-DATE(YEAR(S1094-WEEKDAY(S1094-0)+4),1,4)+WEEKDAY(DATE(YEAR(S1094-WEEKDAY(S1094-0)+4),1,4))+6)/7)</f>
        <v>28</v>
      </c>
      <c r="AB1094" t="s">
        <v>2890</v>
      </c>
      <c r="AG1094" s="7">
        <v>2023</v>
      </c>
      <c r="AH1094" t="s">
        <v>2509</v>
      </c>
      <c r="AK1094" t="s">
        <v>2638</v>
      </c>
      <c r="AL1094" s="3" t="s">
        <v>59</v>
      </c>
    </row>
    <row r="1095" spans="1:38" ht="30" customHeight="1">
      <c r="A1095" s="3" t="s">
        <v>44</v>
      </c>
      <c r="B1095" s="3" t="s">
        <v>45</v>
      </c>
      <c r="G1095" t="s">
        <v>2891</v>
      </c>
      <c r="H1095" s="4">
        <f>IF(DATEDIF(L1095,S1095,"m")&gt;12,DATEDIF(L1095,S1095,"y"),(DATEDIF(L1095,S1095,"m")/12))</f>
        <v>76</v>
      </c>
      <c r="I1095" s="7">
        <f>DATEDIF(L1095,S1095,"M")</f>
        <v>912</v>
      </c>
      <c r="J1095" s="7">
        <f>DATEDIF(L1095,S1095,"D")</f>
        <v>27780</v>
      </c>
      <c r="K1095" t="s">
        <v>51</v>
      </c>
      <c r="L1095" s="1">
        <v>17365</v>
      </c>
      <c r="M1095" s="17" t="s">
        <v>45</v>
      </c>
      <c r="N1095" t="s">
        <v>83</v>
      </c>
      <c r="O1095" t="s">
        <v>52</v>
      </c>
      <c r="P1095" t="s">
        <v>2892</v>
      </c>
      <c r="Q1095">
        <v>0</v>
      </c>
      <c r="R1095" s="1">
        <v>45149</v>
      </c>
      <c r="S1095" s="1">
        <v>45145</v>
      </c>
      <c r="T1095" s="3" t="s">
        <v>54</v>
      </c>
      <c r="U1095" t="s">
        <v>55</v>
      </c>
      <c r="W1095" s="1">
        <v>45152</v>
      </c>
      <c r="Z1095">
        <f>MONTH(S1095)</f>
        <v>8</v>
      </c>
      <c r="AA1095" s="7">
        <f>INT((S1095-DATE(YEAR(S1095-WEEKDAY(S1095-0)+4),1,4)+WEEKDAY(DATE(YEAR(S1095-WEEKDAY(S1095-0)+4),1,4))+6)/7)</f>
        <v>32</v>
      </c>
      <c r="AB1095" t="s">
        <v>2893</v>
      </c>
      <c r="AG1095" s="7">
        <v>2023</v>
      </c>
      <c r="AH1095" t="s">
        <v>482</v>
      </c>
      <c r="AK1095" t="s">
        <v>2826</v>
      </c>
      <c r="AL1095" s="3" t="s">
        <v>59</v>
      </c>
    </row>
    <row r="1096" spans="1:38" ht="30" customHeight="1">
      <c r="A1096" s="3" t="s">
        <v>44</v>
      </c>
      <c r="B1096" s="3" t="s">
        <v>45</v>
      </c>
      <c r="G1096" t="s">
        <v>2896</v>
      </c>
      <c r="H1096" s="4">
        <f>IF(DATEDIF(L1096,S1096,"m")&gt;12,DATEDIF(L1096,S1096,"y"),(DATEDIF(L1096,S1096,"m")/12))</f>
        <v>83</v>
      </c>
      <c r="I1096" s="7">
        <f>DATEDIF(L1096,S1096,"M")</f>
        <v>1001</v>
      </c>
      <c r="J1096" s="7">
        <f>DATEDIF(L1096,S1096,"D")</f>
        <v>30489</v>
      </c>
      <c r="K1096" t="s">
        <v>64</v>
      </c>
      <c r="L1096" s="1">
        <v>14643</v>
      </c>
      <c r="M1096" s="17" t="s">
        <v>45</v>
      </c>
      <c r="N1096" t="s">
        <v>83</v>
      </c>
      <c r="O1096" t="s">
        <v>52</v>
      </c>
      <c r="P1096" t="s">
        <v>2598</v>
      </c>
      <c r="Q1096">
        <v>0</v>
      </c>
      <c r="R1096" s="1">
        <v>45149</v>
      </c>
      <c r="S1096" s="1">
        <v>45132</v>
      </c>
      <c r="T1096" s="3" t="s">
        <v>54</v>
      </c>
      <c r="U1096" t="s">
        <v>55</v>
      </c>
      <c r="W1096" s="1">
        <v>45152</v>
      </c>
      <c r="Z1096">
        <f>MONTH(S1096)</f>
        <v>7</v>
      </c>
      <c r="AA1096" s="7">
        <f>INT((S1096-DATE(YEAR(S1096-WEEKDAY(S1096-0)+4),1,4)+WEEKDAY(DATE(YEAR(S1096-WEEKDAY(S1096-0)+4),1,4))+6)/7)</f>
        <v>30</v>
      </c>
      <c r="AB1096" t="s">
        <v>2897</v>
      </c>
      <c r="AG1096" s="7">
        <v>2023</v>
      </c>
      <c r="AH1096" t="s">
        <v>482</v>
      </c>
      <c r="AK1096" t="s">
        <v>2826</v>
      </c>
      <c r="AL1096" s="3" t="s">
        <v>59</v>
      </c>
    </row>
    <row r="1097" spans="1:38" ht="30" customHeight="1">
      <c r="A1097" s="3" t="s">
        <v>44</v>
      </c>
      <c r="B1097" s="3" t="s">
        <v>45</v>
      </c>
      <c r="G1097" t="s">
        <v>2901</v>
      </c>
      <c r="H1097" s="4">
        <f>IF(DATEDIF(L1097,S1097,"m")&gt;12,DATEDIF(L1097,S1097,"y"),(DATEDIF(L1097,S1097,"m")/12))</f>
        <v>49</v>
      </c>
      <c r="I1097" s="7">
        <f>DATEDIF(L1097,S1097,"M")</f>
        <v>599</v>
      </c>
      <c r="J1097" s="7">
        <f>DATEDIF(L1097,S1097,"D")</f>
        <v>18233</v>
      </c>
      <c r="K1097" t="s">
        <v>64</v>
      </c>
      <c r="L1097" s="1">
        <v>26915</v>
      </c>
      <c r="M1097" s="17" t="s">
        <v>45</v>
      </c>
      <c r="N1097" t="s">
        <v>2853</v>
      </c>
      <c r="O1097" t="s">
        <v>52</v>
      </c>
      <c r="P1097" t="s">
        <v>2902</v>
      </c>
      <c r="Q1097">
        <v>1</v>
      </c>
      <c r="R1097" s="1">
        <v>45155</v>
      </c>
      <c r="S1097" s="1">
        <v>45148</v>
      </c>
      <c r="T1097" s="3" t="s">
        <v>54</v>
      </c>
      <c r="U1097" t="s">
        <v>55</v>
      </c>
      <c r="W1097" s="1">
        <v>45159</v>
      </c>
      <c r="Z1097">
        <f>MONTH(S1097)</f>
        <v>8</v>
      </c>
      <c r="AA1097" s="7">
        <f>INT((S1097-DATE(YEAR(S1097-WEEKDAY(S1097-0)+4),1,4)+WEEKDAY(DATE(YEAR(S1097-WEEKDAY(S1097-0)+4),1,4))+6)/7)</f>
        <v>32</v>
      </c>
      <c r="AB1097" t="s">
        <v>2903</v>
      </c>
      <c r="AG1097" s="7">
        <v>2023</v>
      </c>
      <c r="AH1097" t="s">
        <v>2509</v>
      </c>
      <c r="AK1097" t="s">
        <v>2904</v>
      </c>
      <c r="AL1097" s="3" t="s">
        <v>59</v>
      </c>
    </row>
    <row r="1098" spans="1:38" ht="30" customHeight="1">
      <c r="A1098" s="3" t="s">
        <v>44</v>
      </c>
      <c r="B1098" s="3" t="s">
        <v>45</v>
      </c>
      <c r="G1098">
        <v>12667</v>
      </c>
      <c r="H1098" s="4">
        <f>IF(DATEDIF(L1098,S1098,"m")&gt;12,DATEDIF(L1098,S1098,"y"),(DATEDIF(L1098,S1098,"m")/12))</f>
        <v>5</v>
      </c>
      <c r="I1098" s="7">
        <f>DATEDIF(L1098,S1098,"M")</f>
        <v>63</v>
      </c>
      <c r="J1098" s="7">
        <f>DATEDIF(L1098,S1098,"D")</f>
        <v>1942</v>
      </c>
      <c r="K1098" t="s">
        <v>51</v>
      </c>
      <c r="L1098" s="1">
        <v>43186</v>
      </c>
      <c r="M1098" s="17" t="s">
        <v>45</v>
      </c>
      <c r="N1098" t="s">
        <v>101</v>
      </c>
      <c r="O1098" t="s">
        <v>52</v>
      </c>
      <c r="P1098" t="s">
        <v>2579</v>
      </c>
      <c r="Q1098">
        <v>1</v>
      </c>
      <c r="R1098" s="1">
        <v>45131</v>
      </c>
      <c r="S1098" s="1">
        <v>45128</v>
      </c>
      <c r="T1098" s="3" t="s">
        <v>54</v>
      </c>
      <c r="U1098" t="s">
        <v>55</v>
      </c>
      <c r="W1098" s="1">
        <v>45161</v>
      </c>
      <c r="Z1098">
        <f>MONTH(S1098)</f>
        <v>7</v>
      </c>
      <c r="AA1098" s="7">
        <f>INT((S1098-DATE(YEAR(S1098-WEEKDAY(S1098-0)+4),1,4)+WEEKDAY(DATE(YEAR(S1098-WEEKDAY(S1098-0)+4),1,4))+6)/7)</f>
        <v>29</v>
      </c>
      <c r="AB1098" t="s">
        <v>2941</v>
      </c>
      <c r="AG1098" s="7">
        <v>2023</v>
      </c>
      <c r="AH1098" t="s">
        <v>223</v>
      </c>
      <c r="AK1098" t="s">
        <v>2451</v>
      </c>
      <c r="AL1098" s="3" t="s">
        <v>59</v>
      </c>
    </row>
    <row r="1099" spans="1:38" ht="30" customHeight="1">
      <c r="A1099" s="3" t="s">
        <v>44</v>
      </c>
      <c r="B1099" s="3" t="s">
        <v>45</v>
      </c>
      <c r="G1099">
        <v>29922</v>
      </c>
      <c r="H1099" s="4">
        <f>IF(DATEDIF(L1099,S1099,"m")&gt;12,DATEDIF(L1099,S1099,"y"),(DATEDIF(L1099,S1099,"m")/12))</f>
        <v>9</v>
      </c>
      <c r="I1099" s="7">
        <f>DATEDIF(L1099,S1099,"M")</f>
        <v>109</v>
      </c>
      <c r="J1099" s="7">
        <f>DATEDIF(L1099,S1099,"D")</f>
        <v>3347</v>
      </c>
      <c r="K1099" t="s">
        <v>64</v>
      </c>
      <c r="L1099" s="1">
        <v>41803</v>
      </c>
      <c r="M1099" s="17" t="s">
        <v>45</v>
      </c>
      <c r="N1099" t="s">
        <v>101</v>
      </c>
      <c r="O1099" t="s">
        <v>52</v>
      </c>
      <c r="P1099" t="s">
        <v>2579</v>
      </c>
      <c r="Q1099">
        <v>1</v>
      </c>
      <c r="R1099" s="1">
        <v>45153</v>
      </c>
      <c r="S1099" s="1">
        <v>45150</v>
      </c>
      <c r="T1099" s="3" t="s">
        <v>54</v>
      </c>
      <c r="U1099" t="s">
        <v>55</v>
      </c>
      <c r="W1099" s="1">
        <v>45161</v>
      </c>
      <c r="Z1099">
        <f>MONTH(S1099)</f>
        <v>8</v>
      </c>
      <c r="AA1099" s="7">
        <f>INT((S1099-DATE(YEAR(S1099-WEEKDAY(S1099-0)+4),1,4)+WEEKDAY(DATE(YEAR(S1099-WEEKDAY(S1099-0)+4),1,4))+6)/7)</f>
        <v>32</v>
      </c>
      <c r="AB1099" t="s">
        <v>2956</v>
      </c>
      <c r="AG1099" s="7">
        <v>2023</v>
      </c>
      <c r="AH1099" t="s">
        <v>223</v>
      </c>
      <c r="AK1099" t="s">
        <v>2481</v>
      </c>
      <c r="AL1099" s="3" t="s">
        <v>59</v>
      </c>
    </row>
    <row r="1100" spans="1:38" ht="30" customHeight="1">
      <c r="A1100" s="3" t="s">
        <v>44</v>
      </c>
      <c r="B1100" s="3" t="s">
        <v>45</v>
      </c>
      <c r="G1100" t="s">
        <v>2905</v>
      </c>
      <c r="H1100" s="4">
        <f>IF(DATEDIF(L1100,S1100,"m")&gt;12,DATEDIF(L1100,S1100,"y"),(DATEDIF(L1100,S1100,"m")/12))</f>
        <v>2</v>
      </c>
      <c r="I1100" s="7">
        <f>DATEDIF(L1100,S1100,"M")</f>
        <v>35</v>
      </c>
      <c r="J1100" s="7">
        <f>DATEDIF(L1100,S1100,"D")</f>
        <v>1065</v>
      </c>
      <c r="K1100" t="s">
        <v>64</v>
      </c>
      <c r="L1100" s="1">
        <v>44095</v>
      </c>
      <c r="M1100" s="17" t="s">
        <v>45</v>
      </c>
      <c r="N1100" t="s">
        <v>83</v>
      </c>
      <c r="O1100" t="s">
        <v>52</v>
      </c>
      <c r="P1100" t="s">
        <v>2527</v>
      </c>
      <c r="Q1100">
        <v>0</v>
      </c>
      <c r="R1100" s="1">
        <v>45162</v>
      </c>
      <c r="S1100" s="1">
        <v>45160</v>
      </c>
      <c r="T1100" s="3" t="s">
        <v>54</v>
      </c>
      <c r="U1100" t="s">
        <v>55</v>
      </c>
      <c r="W1100" s="1">
        <v>45162</v>
      </c>
      <c r="Z1100">
        <f>MONTH(S1100)</f>
        <v>8</v>
      </c>
      <c r="AA1100" s="7">
        <f>INT((S1100-DATE(YEAR(S1100-WEEKDAY(S1100-0)+4),1,4)+WEEKDAY(DATE(YEAR(S1100-WEEKDAY(S1100-0)+4),1,4))+6)/7)</f>
        <v>34</v>
      </c>
      <c r="AB1100" t="s">
        <v>2906</v>
      </c>
      <c r="AG1100" s="7">
        <v>2023</v>
      </c>
      <c r="AH1100" t="s">
        <v>482</v>
      </c>
      <c r="AK1100" t="s">
        <v>140</v>
      </c>
      <c r="AL1100" s="3" t="s">
        <v>59</v>
      </c>
    </row>
    <row r="1101" spans="1:38" ht="30" customHeight="1">
      <c r="A1101" s="3" t="s">
        <v>44</v>
      </c>
      <c r="B1101" s="3" t="s">
        <v>45</v>
      </c>
      <c r="G1101" t="s">
        <v>2909</v>
      </c>
      <c r="H1101" s="4">
        <f>IF(DATEDIF(L1101,S1101,"m")&gt;12,DATEDIF(L1101,S1101,"y"),(DATEDIF(L1101,S1101,"m")/12))</f>
        <v>67</v>
      </c>
      <c r="I1101" s="7">
        <f>DATEDIF(L1101,S1101,"M")</f>
        <v>815</v>
      </c>
      <c r="J1101" s="7">
        <f>DATEDIF(L1101,S1101,"D")</f>
        <v>24824</v>
      </c>
      <c r="K1101" t="s">
        <v>64</v>
      </c>
      <c r="L1101" s="1">
        <v>20316</v>
      </c>
      <c r="M1101" s="17" t="s">
        <v>45</v>
      </c>
      <c r="N1101" t="s">
        <v>83</v>
      </c>
      <c r="O1101" t="s">
        <v>52</v>
      </c>
      <c r="P1101" t="s">
        <v>2521</v>
      </c>
      <c r="Q1101">
        <v>0</v>
      </c>
      <c r="R1101" s="1">
        <v>45161</v>
      </c>
      <c r="S1101" s="1">
        <v>45140</v>
      </c>
      <c r="T1101" s="3" t="s">
        <v>54</v>
      </c>
      <c r="U1101" t="s">
        <v>55</v>
      </c>
      <c r="W1101" s="1">
        <v>45162</v>
      </c>
      <c r="Z1101">
        <f>MONTH(S1101)</f>
        <v>8</v>
      </c>
      <c r="AA1101" s="7">
        <f>INT((S1101-DATE(YEAR(S1101-WEEKDAY(S1101-0)+4),1,4)+WEEKDAY(DATE(YEAR(S1101-WEEKDAY(S1101-0)+4),1,4))+6)/7)</f>
        <v>31</v>
      </c>
      <c r="AB1101" t="s">
        <v>2910</v>
      </c>
      <c r="AG1101" s="7">
        <v>2023</v>
      </c>
      <c r="AH1101" t="s">
        <v>482</v>
      </c>
      <c r="AK1101" t="s">
        <v>2519</v>
      </c>
      <c r="AL1101" s="3" t="s">
        <v>59</v>
      </c>
    </row>
    <row r="1102" spans="1:38" ht="30" customHeight="1">
      <c r="A1102" s="3" t="s">
        <v>44</v>
      </c>
      <c r="B1102" s="3" t="s">
        <v>45</v>
      </c>
      <c r="G1102" t="s">
        <v>2911</v>
      </c>
      <c r="H1102" s="4">
        <f>IF(DATEDIF(L1102,S1102,"m")&gt;12,DATEDIF(L1102,S1102,"y"),(DATEDIF(L1102,S1102,"m")/12))</f>
        <v>5</v>
      </c>
      <c r="I1102" s="7">
        <f>DATEDIF(L1102,S1102,"M")</f>
        <v>67</v>
      </c>
      <c r="J1102" s="7">
        <f>DATEDIF(L1102,S1102,"D")</f>
        <v>2046</v>
      </c>
      <c r="K1102" t="s">
        <v>64</v>
      </c>
      <c r="L1102" s="1">
        <v>43102</v>
      </c>
      <c r="M1102" s="17" t="s">
        <v>45</v>
      </c>
      <c r="N1102" t="s">
        <v>83</v>
      </c>
      <c r="O1102" t="s">
        <v>52</v>
      </c>
      <c r="P1102" t="s">
        <v>2912</v>
      </c>
      <c r="Q1102">
        <v>0</v>
      </c>
      <c r="R1102" s="1">
        <v>45162</v>
      </c>
      <c r="S1102" s="1">
        <v>45148</v>
      </c>
      <c r="T1102" s="3" t="s">
        <v>54</v>
      </c>
      <c r="U1102" t="s">
        <v>55</v>
      </c>
      <c r="W1102" s="1">
        <v>45162</v>
      </c>
      <c r="Z1102">
        <f>MONTH(S1102)</f>
        <v>8</v>
      </c>
      <c r="AA1102" s="7">
        <f>INT((S1102-DATE(YEAR(S1102-WEEKDAY(S1102-0)+4),1,4)+WEEKDAY(DATE(YEAR(S1102-WEEKDAY(S1102-0)+4),1,4))+6)/7)</f>
        <v>32</v>
      </c>
      <c r="AB1102" t="s">
        <v>2913</v>
      </c>
      <c r="AG1102" s="7">
        <v>2023</v>
      </c>
      <c r="AH1102" t="s">
        <v>482</v>
      </c>
      <c r="AK1102" t="s">
        <v>140</v>
      </c>
      <c r="AL1102" s="3" t="s">
        <v>59</v>
      </c>
    </row>
    <row r="1103" spans="1:38" ht="30" customHeight="1">
      <c r="A1103" s="3" t="s">
        <v>44</v>
      </c>
      <c r="B1103" s="3" t="s">
        <v>45</v>
      </c>
      <c r="G1103" t="s">
        <v>2914</v>
      </c>
      <c r="H1103" s="5">
        <f>IF(DATEDIF(L1103,S1103,"m")&gt;12,DATEDIF(L1103,S1103,"y"),(DATEDIF(L1103,S1103,"m")/12))</f>
        <v>0.33333333333333331</v>
      </c>
      <c r="I1103" s="7">
        <f>DATEDIF(L1103,S1103,"M")</f>
        <v>4</v>
      </c>
      <c r="J1103" s="7">
        <f>DATEDIF(L1103,S1103,"D")</f>
        <v>129</v>
      </c>
      <c r="K1103" t="s">
        <v>64</v>
      </c>
      <c r="L1103" s="1">
        <v>45025</v>
      </c>
      <c r="M1103" s="17" t="s">
        <v>45</v>
      </c>
      <c r="N1103" t="s">
        <v>83</v>
      </c>
      <c r="O1103" t="s">
        <v>52</v>
      </c>
      <c r="P1103" t="s">
        <v>2620</v>
      </c>
      <c r="Q1103">
        <v>0</v>
      </c>
      <c r="R1103" s="1">
        <v>45162</v>
      </c>
      <c r="S1103" s="1">
        <v>45154</v>
      </c>
      <c r="T1103" s="3" t="s">
        <v>54</v>
      </c>
      <c r="U1103" t="s">
        <v>55</v>
      </c>
      <c r="W1103" s="1">
        <v>45162</v>
      </c>
      <c r="Z1103">
        <f>MONTH(S1103)</f>
        <v>8</v>
      </c>
      <c r="AA1103" s="7">
        <f>INT((S1103-DATE(YEAR(S1103-WEEKDAY(S1103-0)+4),1,4)+WEEKDAY(DATE(YEAR(S1103-WEEKDAY(S1103-0)+4),1,4))+6)/7)</f>
        <v>33</v>
      </c>
      <c r="AB1103" t="s">
        <v>2915</v>
      </c>
      <c r="AG1103" s="7">
        <v>2023</v>
      </c>
      <c r="AH1103" t="s">
        <v>482</v>
      </c>
      <c r="AK1103" t="s">
        <v>2802</v>
      </c>
      <c r="AL1103" s="3" t="s">
        <v>59</v>
      </c>
    </row>
    <row r="1104" spans="1:38" ht="30" customHeight="1">
      <c r="A1104" s="3" t="s">
        <v>44</v>
      </c>
      <c r="B1104" s="3" t="s">
        <v>45</v>
      </c>
      <c r="G1104" t="s">
        <v>2920</v>
      </c>
      <c r="H1104" s="4">
        <f>IF(DATEDIF(L1104,S1104,"m")&gt;12,DATEDIF(L1104,S1104,"y"),(DATEDIF(L1104,S1104,"m")/12))</f>
        <v>67</v>
      </c>
      <c r="I1104" s="7">
        <f>DATEDIF(L1104,S1104,"M")</f>
        <v>813</v>
      </c>
      <c r="J1104" s="7">
        <f>DATEDIF(L1104,S1104,"D")</f>
        <v>24775</v>
      </c>
      <c r="K1104" t="s">
        <v>51</v>
      </c>
      <c r="L1104" s="1">
        <v>20384</v>
      </c>
      <c r="M1104" s="17" t="s">
        <v>45</v>
      </c>
      <c r="N1104" t="s">
        <v>83</v>
      </c>
      <c r="O1104" t="s">
        <v>52</v>
      </c>
      <c r="P1104" t="s">
        <v>2921</v>
      </c>
      <c r="Q1104">
        <v>0</v>
      </c>
      <c r="R1104" s="1">
        <v>45161</v>
      </c>
      <c r="S1104" s="1">
        <v>45159</v>
      </c>
      <c r="T1104" s="3" t="s">
        <v>54</v>
      </c>
      <c r="U1104" t="s">
        <v>55</v>
      </c>
      <c r="W1104" s="1">
        <v>45162</v>
      </c>
      <c r="Z1104">
        <f>MONTH(S1104)</f>
        <v>8</v>
      </c>
      <c r="AA1104" s="7">
        <f>INT((S1104-DATE(YEAR(S1104-WEEKDAY(S1104-0)+4),1,4)+WEEKDAY(DATE(YEAR(S1104-WEEKDAY(S1104-0)+4),1,4))+6)/7)</f>
        <v>34</v>
      </c>
      <c r="AB1104" t="s">
        <v>2922</v>
      </c>
      <c r="AG1104" s="7">
        <v>2023</v>
      </c>
      <c r="AH1104" t="s">
        <v>482</v>
      </c>
      <c r="AK1104" t="s">
        <v>140</v>
      </c>
      <c r="AL1104" s="3" t="s">
        <v>59</v>
      </c>
    </row>
    <row r="1105" spans="1:44" ht="30" customHeight="1">
      <c r="A1105" s="3" t="s">
        <v>44</v>
      </c>
      <c r="B1105" s="3" t="s">
        <v>45</v>
      </c>
      <c r="G1105" t="s">
        <v>2927</v>
      </c>
      <c r="H1105" s="4">
        <f>IF(DATEDIF(L1105,S1105,"m")&gt;12,DATEDIF(L1105,S1105,"y"),(DATEDIF(L1105,S1105,"m")/12))</f>
        <v>16</v>
      </c>
      <c r="I1105" s="7">
        <f>DATEDIF(L1105,S1105,"M")</f>
        <v>203</v>
      </c>
      <c r="J1105" s="7">
        <f>DATEDIF(L1105,S1105,"D")</f>
        <v>6207</v>
      </c>
      <c r="K1105" t="s">
        <v>51</v>
      </c>
      <c r="L1105" s="1">
        <v>38953</v>
      </c>
      <c r="M1105" s="17" t="s">
        <v>45</v>
      </c>
      <c r="N1105" t="s">
        <v>83</v>
      </c>
      <c r="O1105" t="s">
        <v>52</v>
      </c>
      <c r="P1105" t="s">
        <v>2472</v>
      </c>
      <c r="Q1105">
        <v>0</v>
      </c>
      <c r="R1105" s="1">
        <v>45162</v>
      </c>
      <c r="S1105" s="1">
        <v>45160</v>
      </c>
      <c r="T1105" s="3" t="s">
        <v>54</v>
      </c>
      <c r="U1105" t="s">
        <v>55</v>
      </c>
      <c r="W1105" s="1">
        <v>45162</v>
      </c>
      <c r="Z1105">
        <f>MONTH(S1105)</f>
        <v>8</v>
      </c>
      <c r="AA1105" s="7">
        <f>INT((S1105-DATE(YEAR(S1105-WEEKDAY(S1105-0)+4),1,4)+WEEKDAY(DATE(YEAR(S1105-WEEKDAY(S1105-0)+4),1,4))+6)/7)</f>
        <v>34</v>
      </c>
      <c r="AB1105" t="s">
        <v>2928</v>
      </c>
      <c r="AG1105" s="7">
        <v>2023</v>
      </c>
      <c r="AH1105" t="s">
        <v>482</v>
      </c>
      <c r="AK1105" t="s">
        <v>2929</v>
      </c>
      <c r="AL1105" s="3" t="s">
        <v>59</v>
      </c>
    </row>
    <row r="1106" spans="1:44" ht="30" customHeight="1">
      <c r="A1106" s="3" t="s">
        <v>44</v>
      </c>
      <c r="B1106" s="3" t="s">
        <v>45</v>
      </c>
      <c r="G1106" t="s">
        <v>2930</v>
      </c>
      <c r="H1106" s="4">
        <f>IF(DATEDIF(L1106,S1106,"m")&gt;12,DATEDIF(L1106,S1106,"y"),(DATEDIF(L1106,S1106,"m")/12))</f>
        <v>3</v>
      </c>
      <c r="I1106" s="7">
        <f>DATEDIF(L1106,S1106,"M")</f>
        <v>37</v>
      </c>
      <c r="J1106" s="7">
        <f>DATEDIF(L1106,S1106,"D")</f>
        <v>1154</v>
      </c>
      <c r="K1106" t="s">
        <v>51</v>
      </c>
      <c r="L1106" s="1">
        <v>44003</v>
      </c>
      <c r="M1106" s="17" t="s">
        <v>45</v>
      </c>
      <c r="N1106" t="s">
        <v>83</v>
      </c>
      <c r="O1106" t="s">
        <v>52</v>
      </c>
      <c r="P1106" t="s">
        <v>2620</v>
      </c>
      <c r="Q1106">
        <v>0</v>
      </c>
      <c r="R1106" s="1">
        <v>45162</v>
      </c>
      <c r="S1106" s="1">
        <v>45157</v>
      </c>
      <c r="T1106" s="3" t="s">
        <v>54</v>
      </c>
      <c r="U1106" t="s">
        <v>55</v>
      </c>
      <c r="W1106" s="1">
        <v>45162</v>
      </c>
      <c r="Z1106">
        <f>MONTH(S1106)</f>
        <v>8</v>
      </c>
      <c r="AA1106" s="7">
        <f>INT((S1106-DATE(YEAR(S1106-WEEKDAY(S1106-0)+4),1,4)+WEEKDAY(DATE(YEAR(S1106-WEEKDAY(S1106-0)+4),1,4))+6)/7)</f>
        <v>33</v>
      </c>
      <c r="AB1106" t="s">
        <v>2931</v>
      </c>
      <c r="AG1106" s="7">
        <v>2023</v>
      </c>
      <c r="AH1106" t="s">
        <v>482</v>
      </c>
      <c r="AK1106" t="s">
        <v>2519</v>
      </c>
      <c r="AL1106" s="3" t="s">
        <v>59</v>
      </c>
    </row>
    <row r="1107" spans="1:44" ht="30" customHeight="1">
      <c r="A1107" s="3" t="s">
        <v>44</v>
      </c>
      <c r="B1107" s="3" t="s">
        <v>45</v>
      </c>
      <c r="G1107" t="s">
        <v>2934</v>
      </c>
      <c r="H1107" s="4">
        <f>IF(DATEDIF(L1107,S1107,"m")&gt;12,DATEDIF(L1107,S1107,"y"),(DATEDIF(L1107,S1107,"m")/12))</f>
        <v>32</v>
      </c>
      <c r="I1107" s="7">
        <f>DATEDIF(L1107,S1107,"M")</f>
        <v>386</v>
      </c>
      <c r="J1107" s="7">
        <f>DATEDIF(L1107,S1107,"D")</f>
        <v>11772</v>
      </c>
      <c r="K1107" t="s">
        <v>64</v>
      </c>
      <c r="L1107" s="1">
        <v>33382</v>
      </c>
      <c r="M1107" s="17" t="s">
        <v>45</v>
      </c>
      <c r="N1107" t="s">
        <v>83</v>
      </c>
      <c r="O1107" t="s">
        <v>52</v>
      </c>
      <c r="P1107" t="s">
        <v>2579</v>
      </c>
      <c r="Q1107">
        <v>0</v>
      </c>
      <c r="R1107" s="1">
        <v>45161</v>
      </c>
      <c r="S1107" s="1">
        <v>45154</v>
      </c>
      <c r="T1107" s="3" t="s">
        <v>54</v>
      </c>
      <c r="U1107" t="s">
        <v>55</v>
      </c>
      <c r="W1107" s="1">
        <v>45162</v>
      </c>
      <c r="Z1107">
        <f>MONTH(S1107)</f>
        <v>8</v>
      </c>
      <c r="AA1107" s="7">
        <f>INT((S1107-DATE(YEAR(S1107-WEEKDAY(S1107-0)+4),1,4)+WEEKDAY(DATE(YEAR(S1107-WEEKDAY(S1107-0)+4),1,4))+6)/7)</f>
        <v>33</v>
      </c>
      <c r="AB1107" t="s">
        <v>2935</v>
      </c>
      <c r="AG1107" s="7">
        <v>2023</v>
      </c>
      <c r="AH1107" t="s">
        <v>482</v>
      </c>
      <c r="AK1107" t="s">
        <v>2818</v>
      </c>
      <c r="AL1107" s="3" t="s">
        <v>59</v>
      </c>
    </row>
    <row r="1108" spans="1:44" ht="30" customHeight="1">
      <c r="A1108" s="3" t="s">
        <v>44</v>
      </c>
      <c r="B1108" s="3" t="s">
        <v>45</v>
      </c>
      <c r="G1108" t="s">
        <v>2937</v>
      </c>
      <c r="H1108" s="4">
        <f>IF(DATEDIF(L1108,S1108,"m")&gt;12,DATEDIF(L1108,S1108,"y"),(DATEDIF(L1108,S1108,"m")/12))</f>
        <v>12</v>
      </c>
      <c r="I1108" s="7">
        <f>DATEDIF(L1108,S1108,"M")</f>
        <v>147</v>
      </c>
      <c r="J1108" s="7">
        <f>DATEDIF(L1108,S1108,"D")</f>
        <v>4496</v>
      </c>
      <c r="K1108" t="s">
        <v>51</v>
      </c>
      <c r="L1108" s="1">
        <v>40661</v>
      </c>
      <c r="M1108" s="17" t="s">
        <v>45</v>
      </c>
      <c r="N1108" t="s">
        <v>83</v>
      </c>
      <c r="O1108" t="s">
        <v>52</v>
      </c>
      <c r="P1108" t="s">
        <v>2518</v>
      </c>
      <c r="Q1108">
        <v>0</v>
      </c>
      <c r="R1108" s="1">
        <v>45161</v>
      </c>
      <c r="S1108" s="1">
        <v>45157</v>
      </c>
      <c r="T1108" s="3" t="s">
        <v>54</v>
      </c>
      <c r="U1108" t="s">
        <v>55</v>
      </c>
      <c r="W1108" s="1">
        <v>45162</v>
      </c>
      <c r="Z1108">
        <f>MONTH(S1108)</f>
        <v>8</v>
      </c>
      <c r="AA1108" s="7">
        <f>INT((S1108-DATE(YEAR(S1108-WEEKDAY(S1108-0)+4),1,4)+WEEKDAY(DATE(YEAR(S1108-WEEKDAY(S1108-0)+4),1,4))+6)/7)</f>
        <v>33</v>
      </c>
      <c r="AB1108" t="s">
        <v>2938</v>
      </c>
      <c r="AG1108" s="7">
        <v>2023</v>
      </c>
      <c r="AH1108" t="s">
        <v>482</v>
      </c>
      <c r="AK1108" t="s">
        <v>2638</v>
      </c>
      <c r="AL1108" s="3" t="s">
        <v>59</v>
      </c>
    </row>
    <row r="1109" spans="1:44" ht="30" customHeight="1">
      <c r="A1109" s="3" t="s">
        <v>44</v>
      </c>
      <c r="B1109" s="3" t="s">
        <v>45</v>
      </c>
      <c r="G1109" t="s">
        <v>2939</v>
      </c>
      <c r="H1109" s="4">
        <f>IF(DATEDIF(L1109,S1109,"m")&gt;12,DATEDIF(L1109,S1109,"y"),(DATEDIF(L1109,S1109,"m")/12))</f>
        <v>22</v>
      </c>
      <c r="I1109" s="7">
        <f>DATEDIF(L1109,S1109,"M")</f>
        <v>267</v>
      </c>
      <c r="J1109" s="7">
        <f>DATEDIF(L1109,S1109,"D")</f>
        <v>8156</v>
      </c>
      <c r="K1109" t="s">
        <v>64</v>
      </c>
      <c r="L1109" s="1">
        <v>37003</v>
      </c>
      <c r="M1109" s="17" t="s">
        <v>45</v>
      </c>
      <c r="N1109" t="s">
        <v>83</v>
      </c>
      <c r="O1109" t="s">
        <v>52</v>
      </c>
      <c r="P1109" t="s">
        <v>2463</v>
      </c>
      <c r="Q1109">
        <v>0</v>
      </c>
      <c r="R1109" s="1">
        <v>45161</v>
      </c>
      <c r="S1109" s="1">
        <v>45159</v>
      </c>
      <c r="T1109" s="3" t="s">
        <v>54</v>
      </c>
      <c r="U1109" t="s">
        <v>55</v>
      </c>
      <c r="W1109" s="1">
        <v>45162</v>
      </c>
      <c r="Z1109">
        <f>MONTH(S1109)</f>
        <v>8</v>
      </c>
      <c r="AA1109" s="7">
        <f>INT((S1109-DATE(YEAR(S1109-WEEKDAY(S1109-0)+4),1,4)+WEEKDAY(DATE(YEAR(S1109-WEEKDAY(S1109-0)+4),1,4))+6)/7)</f>
        <v>34</v>
      </c>
      <c r="AB1109" t="e">
        <f>-ILI-82323-14-2-82323</f>
        <v>#NAME?</v>
      </c>
      <c r="AG1109" s="7">
        <v>2023</v>
      </c>
      <c r="AH1109" t="s">
        <v>133</v>
      </c>
      <c r="AK1109" t="s">
        <v>2474</v>
      </c>
      <c r="AL1109" s="3" t="s">
        <v>59</v>
      </c>
    </row>
    <row r="1110" spans="1:44" ht="30" customHeight="1">
      <c r="A1110" s="3" t="s">
        <v>44</v>
      </c>
      <c r="B1110" s="3" t="s">
        <v>45</v>
      </c>
      <c r="G1110" t="s">
        <v>2942</v>
      </c>
      <c r="H1110" s="5">
        <f>IF(DATEDIF(L1110,S1110,"m")&gt;12,DATEDIF(L1110,S1110,"y"),(DATEDIF(L1110,S1110,"m")/12))</f>
        <v>0.25</v>
      </c>
      <c r="I1110" s="7">
        <f>DATEDIF(L1110,S1110,"M")</f>
        <v>3</v>
      </c>
      <c r="J1110" s="7">
        <f>DATEDIF(L1110,S1110,"D")</f>
        <v>119</v>
      </c>
      <c r="K1110" t="s">
        <v>64</v>
      </c>
      <c r="L1110" s="1">
        <v>45037</v>
      </c>
      <c r="M1110" s="17" t="s">
        <v>45</v>
      </c>
      <c r="N1110" t="s">
        <v>83</v>
      </c>
      <c r="O1110" t="s">
        <v>52</v>
      </c>
      <c r="P1110" t="s">
        <v>2921</v>
      </c>
      <c r="Q1110">
        <v>0</v>
      </c>
      <c r="R1110" s="1">
        <v>45161</v>
      </c>
      <c r="S1110" s="1">
        <v>45156</v>
      </c>
      <c r="T1110" s="3" t="s">
        <v>54</v>
      </c>
      <c r="U1110" t="s">
        <v>55</v>
      </c>
      <c r="W1110" s="1">
        <v>45162</v>
      </c>
      <c r="Z1110">
        <f>MONTH(S1110)</f>
        <v>8</v>
      </c>
      <c r="AA1110" s="7">
        <f>INT((S1110-DATE(YEAR(S1110-WEEKDAY(S1110-0)+4),1,4)+WEEKDAY(DATE(YEAR(S1110-WEEKDAY(S1110-0)+4),1,4))+6)/7)</f>
        <v>33</v>
      </c>
      <c r="AB1110" t="s">
        <v>2943</v>
      </c>
      <c r="AG1110" s="7">
        <v>2023</v>
      </c>
      <c r="AH1110" t="s">
        <v>482</v>
      </c>
      <c r="AK1110" t="s">
        <v>140</v>
      </c>
      <c r="AL1110" s="3" t="s">
        <v>59</v>
      </c>
    </row>
    <row r="1111" spans="1:44" ht="30" customHeight="1">
      <c r="A1111" s="3" t="s">
        <v>44</v>
      </c>
      <c r="B1111" s="3" t="s">
        <v>45</v>
      </c>
      <c r="G1111" t="s">
        <v>2946</v>
      </c>
      <c r="H1111" s="4">
        <f>IF(DATEDIF(L1111,S1111,"m")&gt;12,DATEDIF(L1111,S1111,"y"),(DATEDIF(L1111,S1111,"m")/12))</f>
        <v>4</v>
      </c>
      <c r="I1111" s="7">
        <f>DATEDIF(L1111,S1111,"M")</f>
        <v>50</v>
      </c>
      <c r="J1111" s="7">
        <f>DATEDIF(L1111,S1111,"D")</f>
        <v>1539</v>
      </c>
      <c r="K1111" t="s">
        <v>64</v>
      </c>
      <c r="L1111" s="1">
        <v>43619</v>
      </c>
      <c r="M1111" s="17" t="s">
        <v>45</v>
      </c>
      <c r="N1111" t="s">
        <v>83</v>
      </c>
      <c r="O1111" t="s">
        <v>52</v>
      </c>
      <c r="P1111" t="s">
        <v>2598</v>
      </c>
      <c r="Q1111">
        <v>0</v>
      </c>
      <c r="R1111" s="1">
        <v>45162</v>
      </c>
      <c r="S1111" s="1">
        <v>45158</v>
      </c>
      <c r="T1111" s="3" t="s">
        <v>54</v>
      </c>
      <c r="U1111" t="s">
        <v>55</v>
      </c>
      <c r="W1111" s="1">
        <v>45162</v>
      </c>
      <c r="Z1111">
        <f>MONTH(S1111)</f>
        <v>8</v>
      </c>
      <c r="AA1111" s="7">
        <f>INT((S1111-DATE(YEAR(S1111-WEEKDAY(S1111-0)+4),1,4)+WEEKDAY(DATE(YEAR(S1111-WEEKDAY(S1111-0)+4),1,4))+6)/7)</f>
        <v>34</v>
      </c>
      <c r="AB1111" t="s">
        <v>2947</v>
      </c>
      <c r="AG1111" s="7">
        <v>2023</v>
      </c>
      <c r="AH1111" t="s">
        <v>482</v>
      </c>
      <c r="AK1111" t="s">
        <v>2556</v>
      </c>
      <c r="AL1111" s="3" t="s">
        <v>59</v>
      </c>
    </row>
    <row r="1112" spans="1:44" ht="30" customHeight="1">
      <c r="A1112" s="3" t="s">
        <v>44</v>
      </c>
      <c r="B1112" s="3" t="s">
        <v>45</v>
      </c>
      <c r="G1112" t="s">
        <v>2949</v>
      </c>
      <c r="H1112" s="4">
        <f>IF(DATEDIF(L1112,S1112,"m")&gt;12,DATEDIF(L1112,S1112,"y"),(DATEDIF(L1112,S1112,"m")/12))</f>
        <v>5</v>
      </c>
      <c r="I1112" s="7">
        <f>DATEDIF(L1112,S1112,"M")</f>
        <v>67</v>
      </c>
      <c r="J1112" s="7">
        <f>DATEDIF(L1112,S1112,"D")</f>
        <v>2056</v>
      </c>
      <c r="K1112" t="s">
        <v>51</v>
      </c>
      <c r="L1112" s="1">
        <v>43102</v>
      </c>
      <c r="M1112" s="17" t="s">
        <v>45</v>
      </c>
      <c r="N1112" t="s">
        <v>83</v>
      </c>
      <c r="O1112" t="s">
        <v>52</v>
      </c>
      <c r="P1112" t="s">
        <v>2598</v>
      </c>
      <c r="Q1112">
        <v>0</v>
      </c>
      <c r="R1112" s="1">
        <v>45162</v>
      </c>
      <c r="S1112" s="1">
        <v>45158</v>
      </c>
      <c r="T1112" s="3" t="s">
        <v>54</v>
      </c>
      <c r="U1112" t="s">
        <v>55</v>
      </c>
      <c r="W1112" s="1">
        <v>45162</v>
      </c>
      <c r="Z1112">
        <f>MONTH(S1112)</f>
        <v>8</v>
      </c>
      <c r="AA1112" s="7">
        <f>INT((S1112-DATE(YEAR(S1112-WEEKDAY(S1112-0)+4),1,4)+WEEKDAY(DATE(YEAR(S1112-WEEKDAY(S1112-0)+4),1,4))+6)/7)</f>
        <v>34</v>
      </c>
      <c r="AB1112" t="s">
        <v>2950</v>
      </c>
      <c r="AG1112" s="7">
        <v>2023</v>
      </c>
      <c r="AH1112" t="s">
        <v>482</v>
      </c>
      <c r="AK1112" t="s">
        <v>2556</v>
      </c>
      <c r="AL1112" s="3" t="s">
        <v>59</v>
      </c>
    </row>
    <row r="1113" spans="1:44" ht="30" customHeight="1">
      <c r="A1113" s="3" t="s">
        <v>44</v>
      </c>
      <c r="B1113" s="3" t="s">
        <v>45</v>
      </c>
      <c r="G1113" t="s">
        <v>2951</v>
      </c>
      <c r="H1113" s="4">
        <f>IF(DATEDIF(L1113,S1113,"m")&gt;12,DATEDIF(L1113,S1113,"y"),(DATEDIF(L1113,S1113,"m")/12))</f>
        <v>6</v>
      </c>
      <c r="I1113" s="7">
        <f>DATEDIF(L1113,S1113,"M")</f>
        <v>83</v>
      </c>
      <c r="J1113" s="7">
        <f>DATEDIF(L1113,S1113,"D")</f>
        <v>2535</v>
      </c>
      <c r="K1113" t="s">
        <v>64</v>
      </c>
      <c r="L1113" s="1">
        <v>42622</v>
      </c>
      <c r="M1113" s="17" t="s">
        <v>45</v>
      </c>
      <c r="N1113" t="s">
        <v>83</v>
      </c>
      <c r="O1113" t="s">
        <v>52</v>
      </c>
      <c r="P1113" t="s">
        <v>2598</v>
      </c>
      <c r="Q1113">
        <v>0</v>
      </c>
      <c r="R1113" s="1">
        <v>45162</v>
      </c>
      <c r="S1113" s="1">
        <v>45157</v>
      </c>
      <c r="T1113" s="3" t="s">
        <v>54</v>
      </c>
      <c r="U1113" t="s">
        <v>55</v>
      </c>
      <c r="W1113" s="1">
        <v>45162</v>
      </c>
      <c r="Z1113">
        <f>MONTH(S1113)</f>
        <v>8</v>
      </c>
      <c r="AA1113" s="7">
        <f>INT((S1113-DATE(YEAR(S1113-WEEKDAY(S1113-0)+4),1,4)+WEEKDAY(DATE(YEAR(S1113-WEEKDAY(S1113-0)+4),1,4))+6)/7)</f>
        <v>33</v>
      </c>
      <c r="AB1113" t="s">
        <v>2952</v>
      </c>
      <c r="AG1113" s="7">
        <v>2023</v>
      </c>
      <c r="AH1113" t="s">
        <v>482</v>
      </c>
      <c r="AK1113" t="s">
        <v>2654</v>
      </c>
      <c r="AL1113" s="3" t="s">
        <v>59</v>
      </c>
    </row>
    <row r="1114" spans="1:44" ht="30" customHeight="1">
      <c r="A1114" s="3" t="s">
        <v>44</v>
      </c>
      <c r="B1114" s="3" t="s">
        <v>45</v>
      </c>
      <c r="G1114" t="s">
        <v>2953</v>
      </c>
      <c r="H1114" s="4">
        <f>IF(DATEDIF(L1114,S1114,"m")&gt;12,DATEDIF(L1114,S1114,"y"),(DATEDIF(L1114,S1114,"m")/12))</f>
        <v>1</v>
      </c>
      <c r="I1114" s="7">
        <f>DATEDIF(L1114,S1114,"M")</f>
        <v>23</v>
      </c>
      <c r="J1114" s="7">
        <f>DATEDIF(L1114,S1114,"D")</f>
        <v>717</v>
      </c>
      <c r="K1114" t="s">
        <v>64</v>
      </c>
      <c r="L1114" s="1">
        <v>44437</v>
      </c>
      <c r="M1114" s="17" t="s">
        <v>45</v>
      </c>
      <c r="N1114" t="s">
        <v>83</v>
      </c>
      <c r="O1114" t="s">
        <v>52</v>
      </c>
      <c r="P1114" t="s">
        <v>2579</v>
      </c>
      <c r="Q1114">
        <v>0</v>
      </c>
      <c r="R1114" s="1">
        <v>45161</v>
      </c>
      <c r="S1114" s="1">
        <v>45154</v>
      </c>
      <c r="T1114" s="3" t="s">
        <v>54</v>
      </c>
      <c r="U1114" t="s">
        <v>55</v>
      </c>
      <c r="W1114" s="1">
        <v>45162</v>
      </c>
      <c r="Z1114">
        <f>MONTH(S1114)</f>
        <v>8</v>
      </c>
      <c r="AA1114" s="7">
        <f>INT((S1114-DATE(YEAR(S1114-WEEKDAY(S1114-0)+4),1,4)+WEEKDAY(DATE(YEAR(S1114-WEEKDAY(S1114-0)+4),1,4))+6)/7)</f>
        <v>33</v>
      </c>
      <c r="AB1114" t="s">
        <v>2954</v>
      </c>
      <c r="AG1114" s="7">
        <v>2023</v>
      </c>
      <c r="AH1114" t="s">
        <v>482</v>
      </c>
      <c r="AK1114" t="s">
        <v>2672</v>
      </c>
      <c r="AL1114" s="3" t="s">
        <v>59</v>
      </c>
    </row>
    <row r="1115" spans="1:44" ht="30" customHeight="1">
      <c r="A1115" s="3" t="s">
        <v>44</v>
      </c>
      <c r="B1115" s="3" t="s">
        <v>45</v>
      </c>
      <c r="G1115" t="s">
        <v>2960</v>
      </c>
      <c r="H1115" s="5">
        <f>IF(DATEDIF(L1115,S1115,"m")&gt;12,DATEDIF(L1115,S1115,"y"),(DATEDIF(L1115,S1115,"m")/12))</f>
        <v>0.58333333333333337</v>
      </c>
      <c r="I1115" s="7">
        <f>DATEDIF(L1115,S1115,"M")</f>
        <v>7</v>
      </c>
      <c r="J1115" s="7">
        <f>DATEDIF(L1115,S1115,"D")</f>
        <v>239</v>
      </c>
      <c r="K1115" t="s">
        <v>64</v>
      </c>
      <c r="L1115" s="1">
        <v>44918</v>
      </c>
      <c r="M1115" s="17" t="s">
        <v>45</v>
      </c>
      <c r="N1115" t="s">
        <v>83</v>
      </c>
      <c r="O1115" t="s">
        <v>52</v>
      </c>
      <c r="P1115" t="s">
        <v>2472</v>
      </c>
      <c r="Q1115">
        <v>0</v>
      </c>
      <c r="R1115" s="1">
        <v>45161</v>
      </c>
      <c r="S1115" s="1">
        <v>45157</v>
      </c>
      <c r="T1115" s="3" t="s">
        <v>54</v>
      </c>
      <c r="U1115" t="s">
        <v>55</v>
      </c>
      <c r="W1115" s="1">
        <v>45162</v>
      </c>
      <c r="Z1115">
        <f>MONTH(S1115)</f>
        <v>8</v>
      </c>
      <c r="AA1115" s="7">
        <f>INT((S1115-DATE(YEAR(S1115-WEEKDAY(S1115-0)+4),1,4)+WEEKDAY(DATE(YEAR(S1115-WEEKDAY(S1115-0)+4),1,4))+6)/7)</f>
        <v>33</v>
      </c>
      <c r="AB1115" t="s">
        <v>2961</v>
      </c>
      <c r="AG1115" s="7">
        <v>2023</v>
      </c>
      <c r="AH1115" t="s">
        <v>482</v>
      </c>
      <c r="AK1115" t="s">
        <v>2672</v>
      </c>
      <c r="AL1115" s="3" t="s">
        <v>59</v>
      </c>
    </row>
    <row r="1116" spans="1:44" ht="30" customHeight="1">
      <c r="A1116" s="3" t="s">
        <v>44</v>
      </c>
      <c r="B1116" s="3" t="s">
        <v>45</v>
      </c>
      <c r="G1116" t="s">
        <v>2963</v>
      </c>
      <c r="H1116" s="5">
        <f>IF(DATEDIF(L1116,S1116,"m")&gt;12,DATEDIF(L1116,S1116,"y"),(DATEDIF(L1116,S1116,"m")/12))</f>
        <v>0.33333333333333331</v>
      </c>
      <c r="I1116" s="7">
        <f>DATEDIF(L1116,S1116,"M")</f>
        <v>4</v>
      </c>
      <c r="J1116" s="7">
        <f>DATEDIF(L1116,S1116,"D")</f>
        <v>129</v>
      </c>
      <c r="K1116" t="s">
        <v>51</v>
      </c>
      <c r="L1116" s="1">
        <v>45025</v>
      </c>
      <c r="M1116" s="17" t="s">
        <v>45</v>
      </c>
      <c r="N1116" t="s">
        <v>83</v>
      </c>
      <c r="O1116" t="s">
        <v>52</v>
      </c>
      <c r="P1116" t="s">
        <v>2527</v>
      </c>
      <c r="Q1116">
        <v>0</v>
      </c>
      <c r="R1116" s="1">
        <v>45162</v>
      </c>
      <c r="S1116" s="1">
        <v>45154</v>
      </c>
      <c r="T1116" s="3" t="s">
        <v>54</v>
      </c>
      <c r="U1116" t="s">
        <v>55</v>
      </c>
      <c r="W1116" s="1">
        <v>45162</v>
      </c>
      <c r="Z1116">
        <f>MONTH(S1116)</f>
        <v>8</v>
      </c>
      <c r="AA1116" s="7">
        <f>INT((S1116-DATE(YEAR(S1116-WEEKDAY(S1116-0)+4),1,4)+WEEKDAY(DATE(YEAR(S1116-WEEKDAY(S1116-0)+4),1,4))+6)/7)</f>
        <v>33</v>
      </c>
      <c r="AB1116" t="s">
        <v>2964</v>
      </c>
      <c r="AG1116" s="7">
        <v>2023</v>
      </c>
      <c r="AH1116" t="s">
        <v>482</v>
      </c>
      <c r="AK1116" t="s">
        <v>140</v>
      </c>
      <c r="AL1116" s="3" t="s">
        <v>59</v>
      </c>
    </row>
    <row r="1117" spans="1:44" ht="30" customHeight="1">
      <c r="A1117" s="3" t="s">
        <v>44</v>
      </c>
      <c r="B1117" s="3" t="s">
        <v>45</v>
      </c>
      <c r="C1117" s="26" t="s">
        <v>46</v>
      </c>
      <c r="D1117" s="26" t="s">
        <v>108</v>
      </c>
      <c r="E1117" s="26" t="s">
        <v>48</v>
      </c>
      <c r="F1117" s="26" t="s">
        <v>108</v>
      </c>
      <c r="G1117" s="26" t="s">
        <v>2384</v>
      </c>
      <c r="H1117" s="4">
        <f>IF(DATEDIF(L1117,S1117,"m")&gt;12,DATEDIF(L1117,S1117,"y"),(DATEDIF(L1117,S1117,"m")/12))</f>
        <v>9</v>
      </c>
      <c r="I1117" s="7">
        <f>DATEDIF(L1117,S1117,"M")</f>
        <v>117</v>
      </c>
      <c r="J1117" s="7">
        <f>DATEDIF(L1117,S1117,"D")</f>
        <v>3571</v>
      </c>
      <c r="K1117" s="26" t="s">
        <v>51</v>
      </c>
      <c r="L1117" s="27">
        <v>41447</v>
      </c>
      <c r="M1117" s="26" t="s">
        <v>45</v>
      </c>
      <c r="N1117" s="26" t="s">
        <v>73</v>
      </c>
      <c r="O1117" s="26" t="s">
        <v>52</v>
      </c>
      <c r="P1117" s="26" t="s">
        <v>2385</v>
      </c>
      <c r="Q1117" s="28">
        <v>0</v>
      </c>
      <c r="R1117" s="27">
        <v>45021</v>
      </c>
      <c r="S1117" s="27">
        <v>45018</v>
      </c>
      <c r="T1117" s="3" t="s">
        <v>54</v>
      </c>
      <c r="U1117" s="26" t="s">
        <v>55</v>
      </c>
      <c r="V1117" s="9"/>
      <c r="W1117" s="30">
        <v>45021</v>
      </c>
      <c r="X1117" s="28">
        <v>0</v>
      </c>
      <c r="Y1117" s="28">
        <v>3</v>
      </c>
      <c r="Z1117" s="28">
        <v>4</v>
      </c>
      <c r="AA1117" s="7">
        <f>INT((S1117-DATE(YEAR(S1117-WEEKDAY(S1117-0)+4),1,4)+WEEKDAY(DATE(YEAR(S1117-WEEKDAY(S1117-0)+4),1,4))+6)/7)</f>
        <v>14</v>
      </c>
      <c r="AB1117" s="26" t="s">
        <v>2386</v>
      </c>
      <c r="AC1117" s="28">
        <v>449</v>
      </c>
      <c r="AD1117" s="28">
        <v>0</v>
      </c>
      <c r="AE1117" s="28">
        <v>0</v>
      </c>
      <c r="AF1117" s="26" t="s">
        <v>48</v>
      </c>
      <c r="AG1117" s="7">
        <v>2023</v>
      </c>
      <c r="AH1117" s="26" t="s">
        <v>112</v>
      </c>
      <c r="AI1117" s="26" t="s">
        <v>113</v>
      </c>
      <c r="AJ1117" s="26" t="s">
        <v>48</v>
      </c>
      <c r="AK1117" s="26" t="s">
        <v>235</v>
      </c>
      <c r="AL1117" s="3" t="s">
        <v>59</v>
      </c>
      <c r="AM1117" s="26" t="s">
        <v>115</v>
      </c>
      <c r="AN1117" s="26" t="s">
        <v>61</v>
      </c>
      <c r="AO1117" s="26" t="s">
        <v>62</v>
      </c>
      <c r="AP1117" s="26" t="s">
        <v>61</v>
      </c>
      <c r="AQ1117" s="26" t="s">
        <v>61</v>
      </c>
      <c r="AR1117" s="26" t="s">
        <v>48</v>
      </c>
    </row>
    <row r="1118" spans="1:44" ht="30" customHeight="1">
      <c r="A1118" s="3" t="s">
        <v>44</v>
      </c>
      <c r="B1118" s="3" t="s">
        <v>45</v>
      </c>
      <c r="G1118">
        <v>28498</v>
      </c>
      <c r="H1118" s="4">
        <f>IF(DATEDIF(L1118,S1118,"m")&gt;12,DATEDIF(L1118,S1118,"y"),(DATEDIF(L1118,S1118,"m")/12))</f>
        <v>15</v>
      </c>
      <c r="I1118" s="7">
        <f>DATEDIF(L1118,S1118,"M")</f>
        <v>185</v>
      </c>
      <c r="J1118" s="7">
        <f>DATEDIF(L1118,S1118,"D")</f>
        <v>5636</v>
      </c>
      <c r="K1118" t="s">
        <v>64</v>
      </c>
      <c r="L1118" s="1">
        <v>39512</v>
      </c>
      <c r="M1118" s="17" t="s">
        <v>45</v>
      </c>
      <c r="N1118" t="s">
        <v>101</v>
      </c>
      <c r="O1118" t="s">
        <v>52</v>
      </c>
      <c r="P1118" t="s">
        <v>2512</v>
      </c>
      <c r="Q1118">
        <v>1</v>
      </c>
      <c r="R1118" s="1">
        <v>45153</v>
      </c>
      <c r="S1118" s="1">
        <v>45148</v>
      </c>
      <c r="T1118" s="3" t="s">
        <v>54</v>
      </c>
      <c r="U1118" t="s">
        <v>55</v>
      </c>
      <c r="W1118" s="1">
        <v>45163</v>
      </c>
      <c r="Z1118">
        <f>MONTH(S1118)</f>
        <v>8</v>
      </c>
      <c r="AA1118" s="7">
        <f>INT((S1118-DATE(YEAR(S1118-WEEKDAY(S1118-0)+4),1,4)+WEEKDAY(DATE(YEAR(S1118-WEEKDAY(S1118-0)+4),1,4))+6)/7)</f>
        <v>32</v>
      </c>
      <c r="AB1118" t="s">
        <v>2923</v>
      </c>
      <c r="AG1118" s="7">
        <v>2023</v>
      </c>
      <c r="AH1118" t="s">
        <v>105</v>
      </c>
      <c r="AK1118" t="s">
        <v>2451</v>
      </c>
      <c r="AL1118" s="3" t="s">
        <v>59</v>
      </c>
    </row>
    <row r="1119" spans="1:44" ht="30" customHeight="1">
      <c r="A1119" s="3" t="s">
        <v>44</v>
      </c>
      <c r="B1119" s="3" t="s">
        <v>45</v>
      </c>
      <c r="G1119">
        <v>28503</v>
      </c>
      <c r="H1119" s="4">
        <f>IF(DATEDIF(L1119,S1119,"m")&gt;12,DATEDIF(L1119,S1119,"y"),(DATEDIF(L1119,S1119,"m")/12))</f>
        <v>2</v>
      </c>
      <c r="I1119" s="7">
        <f>DATEDIF(L1119,S1119,"M")</f>
        <v>30</v>
      </c>
      <c r="J1119" s="7">
        <f>DATEDIF(L1119,S1119,"D")</f>
        <v>914</v>
      </c>
      <c r="K1119" t="s">
        <v>51</v>
      </c>
      <c r="L1119" s="1">
        <v>44236</v>
      </c>
      <c r="M1119" s="17" t="s">
        <v>45</v>
      </c>
      <c r="N1119" t="s">
        <v>101</v>
      </c>
      <c r="O1119" t="s">
        <v>52</v>
      </c>
      <c r="P1119" t="s">
        <v>2533</v>
      </c>
      <c r="Q1119">
        <v>1</v>
      </c>
      <c r="R1119" s="1">
        <v>45155</v>
      </c>
      <c r="S1119" s="1">
        <v>45150</v>
      </c>
      <c r="T1119" s="3" t="s">
        <v>54</v>
      </c>
      <c r="U1119" t="s">
        <v>55</v>
      </c>
      <c r="W1119" s="1">
        <v>45163</v>
      </c>
      <c r="Z1119">
        <f>MONTH(S1119)</f>
        <v>8</v>
      </c>
      <c r="AA1119" s="7">
        <f>INT((S1119-DATE(YEAR(S1119-WEEKDAY(S1119-0)+4),1,4)+WEEKDAY(DATE(YEAR(S1119-WEEKDAY(S1119-0)+4),1,4))+6)/7)</f>
        <v>32</v>
      </c>
      <c r="AB1119" t="s">
        <v>2924</v>
      </c>
      <c r="AG1119" s="7">
        <v>2023</v>
      </c>
      <c r="AH1119" t="s">
        <v>105</v>
      </c>
      <c r="AK1119" t="s">
        <v>2541</v>
      </c>
      <c r="AL1119" s="3" t="s">
        <v>59</v>
      </c>
    </row>
    <row r="1120" spans="1:44" ht="30" customHeight="1">
      <c r="A1120" s="3" t="s">
        <v>44</v>
      </c>
      <c r="B1120" s="3" t="s">
        <v>45</v>
      </c>
      <c r="G1120">
        <v>26350</v>
      </c>
      <c r="H1120" s="4">
        <f>IF(DATEDIF(L1120,S1120,"m")&gt;12,DATEDIF(L1120,S1120,"y"),(DATEDIF(L1120,S1120,"m")/12))</f>
        <v>4</v>
      </c>
      <c r="I1120" s="7">
        <f>DATEDIF(L1120,S1120,"M")</f>
        <v>49</v>
      </c>
      <c r="J1120" s="7">
        <f>DATEDIF(L1120,S1120,"D")</f>
        <v>1504</v>
      </c>
      <c r="K1120" t="s">
        <v>64</v>
      </c>
      <c r="L1120" s="1">
        <v>43648</v>
      </c>
      <c r="M1120" s="17" t="s">
        <v>45</v>
      </c>
      <c r="N1120" t="s">
        <v>2853</v>
      </c>
      <c r="O1120" t="s">
        <v>52</v>
      </c>
      <c r="P1120" t="s">
        <v>2531</v>
      </c>
      <c r="Q1120">
        <v>1</v>
      </c>
      <c r="R1120" s="1">
        <v>45157</v>
      </c>
      <c r="S1120" s="1">
        <v>45152</v>
      </c>
      <c r="T1120" s="3" t="s">
        <v>54</v>
      </c>
      <c r="U1120" t="s">
        <v>55</v>
      </c>
      <c r="W1120" s="1">
        <v>45163</v>
      </c>
      <c r="Z1120">
        <f>MONTH(S1120)</f>
        <v>8</v>
      </c>
      <c r="AA1120" s="7">
        <f>INT((S1120-DATE(YEAR(S1120-WEEKDAY(S1120-0)+4),1,4)+WEEKDAY(DATE(YEAR(S1120-WEEKDAY(S1120-0)+4),1,4))+6)/7)</f>
        <v>33</v>
      </c>
      <c r="AB1120" t="s">
        <v>2925</v>
      </c>
      <c r="AG1120" s="7">
        <v>2023</v>
      </c>
      <c r="AH1120" t="s">
        <v>105</v>
      </c>
      <c r="AK1120" t="s">
        <v>2926</v>
      </c>
      <c r="AL1120" s="3" t="s">
        <v>59</v>
      </c>
    </row>
    <row r="1121" spans="1:38" ht="30" customHeight="1">
      <c r="A1121" s="3" t="s">
        <v>44</v>
      </c>
      <c r="B1121" s="3" t="s">
        <v>45</v>
      </c>
      <c r="G1121">
        <v>20355</v>
      </c>
      <c r="H1121" s="4">
        <f>IF(DATEDIF(L1121,S1121,"m")&gt;12,DATEDIF(L1121,S1121,"y"),(DATEDIF(L1121,S1121,"m")/12))</f>
        <v>70</v>
      </c>
      <c r="I1121" s="7">
        <f>DATEDIF(L1121,S1121,"M")</f>
        <v>847</v>
      </c>
      <c r="J1121" s="7">
        <f>DATEDIF(L1121,S1121,"D")</f>
        <v>25790</v>
      </c>
      <c r="K1121" t="s">
        <v>64</v>
      </c>
      <c r="L1121" s="1">
        <v>19361</v>
      </c>
      <c r="M1121" s="17" t="s">
        <v>45</v>
      </c>
      <c r="N1121" t="s">
        <v>101</v>
      </c>
      <c r="O1121" t="s">
        <v>52</v>
      </c>
      <c r="P1121" t="s">
        <v>2512</v>
      </c>
      <c r="Q1121">
        <v>1</v>
      </c>
      <c r="R1121" s="1">
        <v>45154</v>
      </c>
      <c r="S1121" s="1">
        <v>45151</v>
      </c>
      <c r="T1121" s="3" t="s">
        <v>54</v>
      </c>
      <c r="U1121" t="s">
        <v>55</v>
      </c>
      <c r="W1121" s="1">
        <v>45163</v>
      </c>
      <c r="Z1121">
        <f>MONTH(S1121)</f>
        <v>8</v>
      </c>
      <c r="AA1121" s="7">
        <f>INT((S1121-DATE(YEAR(S1121-WEEKDAY(S1121-0)+4),1,4)+WEEKDAY(DATE(YEAR(S1121-WEEKDAY(S1121-0)+4),1,4))+6)/7)</f>
        <v>33</v>
      </c>
      <c r="AB1121" t="s">
        <v>2932</v>
      </c>
      <c r="AG1121" s="7">
        <v>2023</v>
      </c>
      <c r="AH1121" t="s">
        <v>105</v>
      </c>
      <c r="AK1121" t="s">
        <v>2933</v>
      </c>
      <c r="AL1121" s="3" t="s">
        <v>59</v>
      </c>
    </row>
    <row r="1122" spans="1:38" ht="30" customHeight="1">
      <c r="A1122" s="3" t="s">
        <v>44</v>
      </c>
      <c r="B1122" s="3" t="s">
        <v>45</v>
      </c>
      <c r="G1122">
        <v>28486</v>
      </c>
      <c r="H1122" s="4">
        <f>IF(DATEDIF(L1122,S1122,"m")&gt;12,DATEDIF(L1122,S1122,"y"),(DATEDIF(L1122,S1122,"m")/12))</f>
        <v>1</v>
      </c>
      <c r="I1122" s="7">
        <f>DATEDIF(L1122,S1122,"M")</f>
        <v>17</v>
      </c>
      <c r="J1122" s="7">
        <f>DATEDIF(L1122,S1122,"D")</f>
        <v>541</v>
      </c>
      <c r="K1122" t="s">
        <v>51</v>
      </c>
      <c r="L1122" s="1">
        <v>44607</v>
      </c>
      <c r="M1122" s="17" t="s">
        <v>45</v>
      </c>
      <c r="N1122" t="s">
        <v>65</v>
      </c>
      <c r="O1122" t="s">
        <v>52</v>
      </c>
      <c r="P1122" t="s">
        <v>2533</v>
      </c>
      <c r="Q1122">
        <v>1</v>
      </c>
      <c r="R1122" s="1">
        <v>45151</v>
      </c>
      <c r="S1122" s="1">
        <v>45148</v>
      </c>
      <c r="T1122" s="3" t="s">
        <v>54</v>
      </c>
      <c r="U1122" t="s">
        <v>55</v>
      </c>
      <c r="W1122" s="1">
        <v>45163</v>
      </c>
      <c r="Z1122">
        <f>MONTH(S1122)</f>
        <v>8</v>
      </c>
      <c r="AA1122" s="7">
        <f>INT((S1122-DATE(YEAR(S1122-WEEKDAY(S1122-0)+4),1,4)+WEEKDAY(DATE(YEAR(S1122-WEEKDAY(S1122-0)+4),1,4))+6)/7)</f>
        <v>32</v>
      </c>
      <c r="AB1122" t="s">
        <v>2936</v>
      </c>
      <c r="AG1122" s="7">
        <v>2023</v>
      </c>
      <c r="AH1122" t="s">
        <v>105</v>
      </c>
      <c r="AK1122" t="s">
        <v>2582</v>
      </c>
      <c r="AL1122" s="3" t="s">
        <v>59</v>
      </c>
    </row>
    <row r="1123" spans="1:38" ht="30" customHeight="1">
      <c r="A1123" s="3" t="s">
        <v>44</v>
      </c>
      <c r="B1123" s="3" t="s">
        <v>45</v>
      </c>
      <c r="G1123">
        <v>10305231</v>
      </c>
      <c r="H1123" s="4">
        <f>IF(DATEDIF(L1123,S1123,"m")&gt;12,DATEDIF(L1123,S1123,"y"),(DATEDIF(L1123,S1123,"m")/12))</f>
        <v>8</v>
      </c>
      <c r="I1123" s="7">
        <f>DATEDIF(L1123,S1123,"M")</f>
        <v>101</v>
      </c>
      <c r="J1123" s="7">
        <f>DATEDIF(L1123,S1123,"D")</f>
        <v>3082</v>
      </c>
      <c r="K1123" t="s">
        <v>64</v>
      </c>
      <c r="L1123" s="1">
        <v>42070</v>
      </c>
      <c r="M1123" s="17" t="s">
        <v>45</v>
      </c>
      <c r="N1123" t="s">
        <v>65</v>
      </c>
      <c r="O1123" t="s">
        <v>52</v>
      </c>
      <c r="P1123" t="s">
        <v>2533</v>
      </c>
      <c r="Q1123">
        <v>0</v>
      </c>
      <c r="R1123" s="1">
        <v>45154</v>
      </c>
      <c r="S1123" s="1">
        <v>45152</v>
      </c>
      <c r="T1123" s="3" t="s">
        <v>54</v>
      </c>
      <c r="U1123" t="s">
        <v>55</v>
      </c>
      <c r="W1123" s="1">
        <v>45163</v>
      </c>
      <c r="Z1123">
        <f>MONTH(S1123)</f>
        <v>8</v>
      </c>
      <c r="AA1123" s="7">
        <f>INT((S1123-DATE(YEAR(S1123-WEEKDAY(S1123-0)+4),1,4)+WEEKDAY(DATE(YEAR(S1123-WEEKDAY(S1123-0)+4),1,4))+6)/7)</f>
        <v>33</v>
      </c>
      <c r="AB1123" t="s">
        <v>2940</v>
      </c>
      <c r="AG1123" s="7">
        <v>2023</v>
      </c>
      <c r="AH1123" t="s">
        <v>105</v>
      </c>
      <c r="AK1123" t="s">
        <v>2582</v>
      </c>
      <c r="AL1123" s="3" t="s">
        <v>59</v>
      </c>
    </row>
    <row r="1124" spans="1:38" ht="30" customHeight="1">
      <c r="A1124" s="3" t="s">
        <v>44</v>
      </c>
      <c r="B1124" s="3" t="s">
        <v>45</v>
      </c>
      <c r="G1124">
        <v>10305225</v>
      </c>
      <c r="H1124" s="4">
        <f>IF(DATEDIF(L1124,S1124,"m")&gt;12,DATEDIF(L1124,S1124,"y"),(DATEDIF(L1124,S1124,"m")/12))</f>
        <v>7</v>
      </c>
      <c r="I1124" s="7">
        <f>DATEDIF(L1124,S1124,"M")</f>
        <v>87</v>
      </c>
      <c r="J1124" s="7">
        <f>DATEDIF(L1124,S1124,"D")</f>
        <v>2648</v>
      </c>
      <c r="K1124" t="s">
        <v>51</v>
      </c>
      <c r="L1124" s="1">
        <v>42504</v>
      </c>
      <c r="M1124" s="17" t="s">
        <v>45</v>
      </c>
      <c r="N1124" t="s">
        <v>101</v>
      </c>
      <c r="O1124" t="s">
        <v>52</v>
      </c>
      <c r="P1124" t="s">
        <v>803</v>
      </c>
      <c r="Q1124">
        <v>0</v>
      </c>
      <c r="R1124" s="1">
        <v>45153</v>
      </c>
      <c r="S1124" s="1">
        <v>45152</v>
      </c>
      <c r="T1124" s="3" t="s">
        <v>54</v>
      </c>
      <c r="U1124" t="s">
        <v>55</v>
      </c>
      <c r="W1124" s="1">
        <v>45163</v>
      </c>
      <c r="Z1124">
        <f>MONTH(S1124)</f>
        <v>8</v>
      </c>
      <c r="AA1124" s="7">
        <f>INT((S1124-DATE(YEAR(S1124-WEEKDAY(S1124-0)+4),1,4)+WEEKDAY(DATE(YEAR(S1124-WEEKDAY(S1124-0)+4),1,4))+6)/7)</f>
        <v>33</v>
      </c>
      <c r="AB1124" t="s">
        <v>2944</v>
      </c>
      <c r="AG1124" s="7">
        <v>2023</v>
      </c>
      <c r="AH1124" t="s">
        <v>105</v>
      </c>
      <c r="AK1124" t="s">
        <v>2611</v>
      </c>
      <c r="AL1124" s="3" t="s">
        <v>59</v>
      </c>
    </row>
    <row r="1125" spans="1:38" ht="30" customHeight="1">
      <c r="A1125" s="3" t="s">
        <v>44</v>
      </c>
      <c r="B1125" s="3" t="s">
        <v>45</v>
      </c>
      <c r="G1125">
        <v>10305223</v>
      </c>
      <c r="H1125" s="4">
        <f>IF(DATEDIF(L1125,S1125,"m")&gt;12,DATEDIF(L1125,S1125,"y"),(DATEDIF(L1125,S1125,"m")/12))</f>
        <v>40</v>
      </c>
      <c r="I1125" s="7">
        <f>DATEDIF(L1125,S1125,"M")</f>
        <v>481</v>
      </c>
      <c r="J1125" s="7">
        <f>DATEDIF(L1125,S1125,"D")</f>
        <v>14653</v>
      </c>
      <c r="K1125" t="s">
        <v>64</v>
      </c>
      <c r="L1125" s="1">
        <v>30498</v>
      </c>
      <c r="M1125" s="17" t="s">
        <v>45</v>
      </c>
      <c r="N1125" t="s">
        <v>65</v>
      </c>
      <c r="O1125" t="s">
        <v>52</v>
      </c>
      <c r="P1125" t="s">
        <v>803</v>
      </c>
      <c r="Q1125">
        <v>0</v>
      </c>
      <c r="R1125" s="1">
        <v>45153</v>
      </c>
      <c r="S1125" s="1">
        <v>45151</v>
      </c>
      <c r="T1125" s="3" t="s">
        <v>54</v>
      </c>
      <c r="U1125" t="s">
        <v>55</v>
      </c>
      <c r="W1125" s="1">
        <v>45163</v>
      </c>
      <c r="Z1125">
        <f>MONTH(S1125)</f>
        <v>8</v>
      </c>
      <c r="AA1125" s="7">
        <f>INT((S1125-DATE(YEAR(S1125-WEEKDAY(S1125-0)+4),1,4)+WEEKDAY(DATE(YEAR(S1125-WEEKDAY(S1125-0)+4),1,4))+6)/7)</f>
        <v>33</v>
      </c>
      <c r="AB1125" t="s">
        <v>2945</v>
      </c>
      <c r="AG1125" s="7">
        <v>2023</v>
      </c>
      <c r="AH1125" t="s">
        <v>105</v>
      </c>
      <c r="AK1125" t="s">
        <v>2844</v>
      </c>
      <c r="AL1125" s="3" t="s">
        <v>59</v>
      </c>
    </row>
    <row r="1126" spans="1:38" ht="30" customHeight="1">
      <c r="A1126" s="3" t="s">
        <v>44</v>
      </c>
      <c r="B1126" s="3" t="s">
        <v>45</v>
      </c>
      <c r="G1126">
        <v>28504</v>
      </c>
      <c r="H1126" s="4">
        <f>IF(DATEDIF(L1126,S1126,"m")&gt;12,DATEDIF(L1126,S1126,"y"),(DATEDIF(L1126,S1126,"m")/12))</f>
        <v>2</v>
      </c>
      <c r="I1126" s="7">
        <f>DATEDIF(L1126,S1126,"M")</f>
        <v>31</v>
      </c>
      <c r="J1126" s="7">
        <f>DATEDIF(L1126,S1126,"D")</f>
        <v>957</v>
      </c>
      <c r="K1126" t="s">
        <v>51</v>
      </c>
      <c r="L1126" s="1">
        <v>44197</v>
      </c>
      <c r="M1126" s="17" t="s">
        <v>45</v>
      </c>
      <c r="N1126" t="s">
        <v>101</v>
      </c>
      <c r="O1126" t="s">
        <v>52</v>
      </c>
      <c r="P1126" t="s">
        <v>2512</v>
      </c>
      <c r="Q1126">
        <v>1</v>
      </c>
      <c r="R1126" s="1">
        <v>45155</v>
      </c>
      <c r="S1126" s="1">
        <v>45154</v>
      </c>
      <c r="T1126" s="3" t="s">
        <v>54</v>
      </c>
      <c r="U1126" t="s">
        <v>55</v>
      </c>
      <c r="W1126" s="1">
        <v>45163</v>
      </c>
      <c r="Z1126">
        <f>MONTH(S1126)</f>
        <v>8</v>
      </c>
      <c r="AA1126" s="7">
        <f>INT((S1126-DATE(YEAR(S1126-WEEKDAY(S1126-0)+4),1,4)+WEEKDAY(DATE(YEAR(S1126-WEEKDAY(S1126-0)+4),1,4))+6)/7)</f>
        <v>33</v>
      </c>
      <c r="AB1126" t="s">
        <v>2948</v>
      </c>
      <c r="AG1126" s="7">
        <v>2023</v>
      </c>
      <c r="AH1126" t="s">
        <v>105</v>
      </c>
      <c r="AK1126" t="s">
        <v>2532</v>
      </c>
      <c r="AL1126" s="3" t="s">
        <v>59</v>
      </c>
    </row>
    <row r="1127" spans="1:38" ht="30" customHeight="1">
      <c r="A1127" s="3" t="s">
        <v>44</v>
      </c>
      <c r="B1127" s="3" t="s">
        <v>45</v>
      </c>
      <c r="G1127">
        <v>28489</v>
      </c>
      <c r="H1127" s="4">
        <f>IF(DATEDIF(L1127,S1127,"m")&gt;12,DATEDIF(L1127,S1127,"y"),(DATEDIF(L1127,S1127,"m")/12))</f>
        <v>5</v>
      </c>
      <c r="I1127" s="7">
        <f>DATEDIF(L1127,S1127,"M")</f>
        <v>61</v>
      </c>
      <c r="J1127" s="7">
        <f>DATEDIF(L1127,S1127,"D")</f>
        <v>1873</v>
      </c>
      <c r="K1127" t="s">
        <v>64</v>
      </c>
      <c r="L1127" s="1">
        <v>43276</v>
      </c>
      <c r="M1127" s="17" t="s">
        <v>45</v>
      </c>
      <c r="N1127" t="s">
        <v>101</v>
      </c>
      <c r="O1127" t="s">
        <v>52</v>
      </c>
      <c r="P1127" t="s">
        <v>1739</v>
      </c>
      <c r="Q1127">
        <v>1</v>
      </c>
      <c r="R1127" s="1">
        <v>45152</v>
      </c>
      <c r="S1127" s="1">
        <v>45149</v>
      </c>
      <c r="T1127" s="3" t="s">
        <v>54</v>
      </c>
      <c r="U1127" t="s">
        <v>55</v>
      </c>
      <c r="W1127" s="1">
        <v>45163</v>
      </c>
      <c r="Z1127">
        <f>MONTH(S1127)</f>
        <v>8</v>
      </c>
      <c r="AA1127" s="7">
        <f>INT((S1127-DATE(YEAR(S1127-WEEKDAY(S1127-0)+4),1,4)+WEEKDAY(DATE(YEAR(S1127-WEEKDAY(S1127-0)+4),1,4))+6)/7)</f>
        <v>32</v>
      </c>
      <c r="AB1127" t="s">
        <v>2955</v>
      </c>
      <c r="AG1127" s="7">
        <v>2023</v>
      </c>
      <c r="AH1127" t="s">
        <v>105</v>
      </c>
      <c r="AK1127" t="s">
        <v>2481</v>
      </c>
      <c r="AL1127" s="3" t="s">
        <v>59</v>
      </c>
    </row>
    <row r="1128" spans="1:38" ht="30" customHeight="1">
      <c r="A1128" s="3" t="s">
        <v>44</v>
      </c>
      <c r="B1128" s="3" t="s">
        <v>45</v>
      </c>
      <c r="G1128">
        <v>10305236</v>
      </c>
      <c r="H1128" s="4">
        <f>IF(DATEDIF(L1128,S1128,"m")&gt;12,DATEDIF(L1128,S1128,"y"),(DATEDIF(L1128,S1128,"m")/12))</f>
        <v>1</v>
      </c>
      <c r="I1128" s="7">
        <f>DATEDIF(L1128,S1128,"M")</f>
        <v>19</v>
      </c>
      <c r="J1128" s="7">
        <f>DATEDIF(L1128,S1128,"D")</f>
        <v>585</v>
      </c>
      <c r="K1128" t="s">
        <v>51</v>
      </c>
      <c r="L1128" s="1">
        <v>44567</v>
      </c>
      <c r="M1128" s="17" t="s">
        <v>45</v>
      </c>
      <c r="N1128" t="s">
        <v>2853</v>
      </c>
      <c r="O1128" t="s">
        <v>52</v>
      </c>
      <c r="P1128" t="s">
        <v>2512</v>
      </c>
      <c r="Q1128">
        <v>0</v>
      </c>
      <c r="R1128" s="1">
        <v>45154</v>
      </c>
      <c r="S1128" s="1">
        <v>45152</v>
      </c>
      <c r="T1128" s="3" t="s">
        <v>54</v>
      </c>
      <c r="U1128" t="s">
        <v>55</v>
      </c>
      <c r="W1128" s="1">
        <v>45163</v>
      </c>
      <c r="Z1128">
        <f>MONTH(S1128)</f>
        <v>8</v>
      </c>
      <c r="AA1128" s="7">
        <f>INT((S1128-DATE(YEAR(S1128-WEEKDAY(S1128-0)+4),1,4)+WEEKDAY(DATE(YEAR(S1128-WEEKDAY(S1128-0)+4),1,4))+6)/7)</f>
        <v>33</v>
      </c>
      <c r="AB1128" t="s">
        <v>2957</v>
      </c>
      <c r="AG1128" s="7">
        <v>2023</v>
      </c>
      <c r="AH1128" t="s">
        <v>105</v>
      </c>
      <c r="AK1128" t="s">
        <v>2926</v>
      </c>
      <c r="AL1128" s="3" t="s">
        <v>59</v>
      </c>
    </row>
    <row r="1129" spans="1:38" ht="30" customHeight="1">
      <c r="A1129" s="3" t="s">
        <v>44</v>
      </c>
      <c r="B1129" s="3" t="s">
        <v>45</v>
      </c>
      <c r="G1129">
        <v>3545762</v>
      </c>
      <c r="H1129" s="4">
        <f>IF(DATEDIF(L1129,S1129,"m")&gt;12,DATEDIF(L1129,S1129,"y"),(DATEDIF(L1129,S1129,"m")/12))</f>
        <v>59</v>
      </c>
      <c r="I1129" s="7">
        <f>DATEDIF(L1129,S1129,"M")</f>
        <v>716</v>
      </c>
      <c r="J1129" s="7">
        <f>DATEDIF(L1129,S1129,"D")</f>
        <v>21793</v>
      </c>
      <c r="K1129" t="s">
        <v>51</v>
      </c>
      <c r="L1129" s="1">
        <v>23345</v>
      </c>
      <c r="M1129" s="17" t="s">
        <v>45</v>
      </c>
      <c r="N1129" t="s">
        <v>90</v>
      </c>
      <c r="O1129" t="s">
        <v>52</v>
      </c>
      <c r="P1129" t="s">
        <v>2958</v>
      </c>
      <c r="Q1129">
        <v>1</v>
      </c>
      <c r="R1129" s="1">
        <v>45159</v>
      </c>
      <c r="S1129" s="1">
        <v>45138</v>
      </c>
      <c r="T1129" s="3" t="s">
        <v>54</v>
      </c>
      <c r="U1129" t="s">
        <v>55</v>
      </c>
      <c r="W1129" s="1">
        <v>45163</v>
      </c>
      <c r="Z1129">
        <f>MONTH(S1129)</f>
        <v>7</v>
      </c>
      <c r="AA1129" s="7">
        <f>INT((S1129-DATE(YEAR(S1129-WEEKDAY(S1129-0)+4),1,4)+WEEKDAY(DATE(YEAR(S1129-WEEKDAY(S1129-0)+4),1,4))+6)/7)</f>
        <v>31</v>
      </c>
      <c r="AB1129" t="s">
        <v>2959</v>
      </c>
      <c r="AG1129" s="7">
        <v>2023</v>
      </c>
      <c r="AH1129" t="s">
        <v>452</v>
      </c>
      <c r="AK1129" t="s">
        <v>2481</v>
      </c>
      <c r="AL1129" s="3" t="s">
        <v>59</v>
      </c>
    </row>
    <row r="1130" spans="1:38" ht="30" customHeight="1">
      <c r="A1130" s="3" t="s">
        <v>44</v>
      </c>
      <c r="B1130" s="3" t="s">
        <v>45</v>
      </c>
      <c r="G1130">
        <v>28493</v>
      </c>
      <c r="H1130" s="4">
        <f>IF(DATEDIF(L1130,S1130,"m")&gt;12,DATEDIF(L1130,S1130,"y"),(DATEDIF(L1130,S1130,"m")/12))</f>
        <v>28</v>
      </c>
      <c r="I1130" s="7">
        <f>DATEDIF(L1130,S1130,"M")</f>
        <v>344</v>
      </c>
      <c r="J1130" s="7">
        <f>DATEDIF(L1130,S1130,"D")</f>
        <v>10496</v>
      </c>
      <c r="K1130" t="s">
        <v>64</v>
      </c>
      <c r="L1130" s="1">
        <v>34651</v>
      </c>
      <c r="M1130" s="17" t="s">
        <v>45</v>
      </c>
      <c r="N1130" t="s">
        <v>101</v>
      </c>
      <c r="O1130" t="s">
        <v>52</v>
      </c>
      <c r="P1130" t="s">
        <v>2592</v>
      </c>
      <c r="Q1130">
        <v>1</v>
      </c>
      <c r="R1130" s="1">
        <v>45152</v>
      </c>
      <c r="S1130" s="1">
        <v>45147</v>
      </c>
      <c r="T1130" s="3" t="s">
        <v>54</v>
      </c>
      <c r="U1130" t="s">
        <v>55</v>
      </c>
      <c r="W1130" s="1">
        <v>45163</v>
      </c>
      <c r="Z1130">
        <f>MONTH(S1130)</f>
        <v>8</v>
      </c>
      <c r="AA1130" s="7">
        <f>INT((S1130-DATE(YEAR(S1130-WEEKDAY(S1130-0)+4),1,4)+WEEKDAY(DATE(YEAR(S1130-WEEKDAY(S1130-0)+4),1,4))+6)/7)</f>
        <v>32</v>
      </c>
      <c r="AB1130" t="s">
        <v>2962</v>
      </c>
      <c r="AG1130" s="7">
        <v>2023</v>
      </c>
      <c r="AH1130" t="s">
        <v>105</v>
      </c>
      <c r="AK1130" t="s">
        <v>2532</v>
      </c>
      <c r="AL1130" s="3" t="s">
        <v>59</v>
      </c>
    </row>
    <row r="1131" spans="1:38" ht="30" customHeight="1">
      <c r="A1131" s="3" t="s">
        <v>44</v>
      </c>
      <c r="B1131" s="3" t="s">
        <v>45</v>
      </c>
      <c r="G1131">
        <v>30044</v>
      </c>
      <c r="H1131" s="4">
        <f>IF(DATEDIF(L1131,S1131,"m")&gt;12,DATEDIF(L1131,S1131,"y"),(DATEDIF(L1131,S1131,"m")/12))</f>
        <v>1</v>
      </c>
      <c r="I1131" s="7">
        <f>DATEDIF(L1131,S1131,"M")</f>
        <v>21</v>
      </c>
      <c r="J1131" s="7">
        <f>DATEDIF(L1131,S1131,"D")</f>
        <v>649</v>
      </c>
      <c r="K1131" t="s">
        <v>64</v>
      </c>
      <c r="L1131" s="1">
        <v>44509</v>
      </c>
      <c r="M1131" s="17" t="s">
        <v>45</v>
      </c>
      <c r="N1131" t="s">
        <v>2853</v>
      </c>
      <c r="O1131" t="s">
        <v>52</v>
      </c>
      <c r="P1131" t="s">
        <v>2907</v>
      </c>
      <c r="Q1131">
        <v>1</v>
      </c>
      <c r="R1131" s="1">
        <v>45160</v>
      </c>
      <c r="S1131" s="1">
        <v>45158</v>
      </c>
      <c r="T1131" s="3" t="s">
        <v>54</v>
      </c>
      <c r="U1131" t="s">
        <v>55</v>
      </c>
      <c r="W1131" s="1">
        <v>45167</v>
      </c>
      <c r="Z1131">
        <f>MONTH(S1131)</f>
        <v>8</v>
      </c>
      <c r="AA1131" s="7">
        <f>INT((S1131-DATE(YEAR(S1131-WEEKDAY(S1131-0)+4),1,4)+WEEKDAY(DATE(YEAR(S1131-WEEKDAY(S1131-0)+4),1,4))+6)/7)</f>
        <v>34</v>
      </c>
      <c r="AB1131" t="s">
        <v>2908</v>
      </c>
      <c r="AG1131" s="7">
        <v>2023</v>
      </c>
      <c r="AH1131" t="s">
        <v>223</v>
      </c>
      <c r="AK1131" t="s">
        <v>2489</v>
      </c>
      <c r="AL1131" s="3" t="s">
        <v>59</v>
      </c>
    </row>
    <row r="1132" spans="1:38" ht="30" customHeight="1">
      <c r="A1132" s="3" t="s">
        <v>44</v>
      </c>
      <c r="B1132" s="3" t="s">
        <v>45</v>
      </c>
      <c r="G1132">
        <v>3519865</v>
      </c>
      <c r="H1132" s="5">
        <f>IF(DATEDIF(L1132,S1132,"m")&gt;12,DATEDIF(L1132,S1132,"y"),(DATEDIF(L1132,S1132,"m")/12))</f>
        <v>0.58333333333333337</v>
      </c>
      <c r="I1132" s="7">
        <f>DATEDIF(L1132,S1132,"M")</f>
        <v>7</v>
      </c>
      <c r="J1132" s="7">
        <f>DATEDIF(L1132,S1132,"D")</f>
        <v>223</v>
      </c>
      <c r="K1132" t="s">
        <v>51</v>
      </c>
      <c r="L1132" s="1">
        <v>44927</v>
      </c>
      <c r="M1132" s="17" t="s">
        <v>45</v>
      </c>
      <c r="N1132" t="s">
        <v>2853</v>
      </c>
      <c r="O1132" t="s">
        <v>52</v>
      </c>
      <c r="P1132" t="s">
        <v>103</v>
      </c>
      <c r="Q1132">
        <v>1</v>
      </c>
      <c r="R1132" s="1">
        <v>45162</v>
      </c>
      <c r="S1132" s="1">
        <v>45150</v>
      </c>
      <c r="T1132" s="3" t="s">
        <v>54</v>
      </c>
      <c r="U1132" t="s">
        <v>55</v>
      </c>
      <c r="W1132" s="1">
        <v>45168</v>
      </c>
      <c r="Z1132">
        <f>MONTH(S1132)</f>
        <v>8</v>
      </c>
      <c r="AA1132" s="7">
        <f>INT((S1132-DATE(YEAR(S1132-WEEKDAY(S1132-0)+4),1,4)+WEEKDAY(DATE(YEAR(S1132-WEEKDAY(S1132-0)+4),1,4))+6)/7)</f>
        <v>32</v>
      </c>
      <c r="AB1132" t="s">
        <v>2967</v>
      </c>
      <c r="AG1132" s="7">
        <v>2023</v>
      </c>
      <c r="AH1132" t="s">
        <v>452</v>
      </c>
      <c r="AK1132" t="s">
        <v>2904</v>
      </c>
      <c r="AL1132" s="3" t="s">
        <v>59</v>
      </c>
    </row>
    <row r="1133" spans="1:38" ht="30" customHeight="1">
      <c r="A1133" s="3" t="s">
        <v>44</v>
      </c>
      <c r="B1133" s="3" t="s">
        <v>45</v>
      </c>
      <c r="G1133" t="s">
        <v>2965</v>
      </c>
      <c r="H1133" s="4">
        <f>IF(DATEDIF(L1133,S1133,"m")&gt;12,DATEDIF(L1133,S1133,"y"),(DATEDIF(L1133,S1133,"m")/12))</f>
        <v>3</v>
      </c>
      <c r="I1133" s="7">
        <f>DATEDIF(L1133,S1133,"M")</f>
        <v>46</v>
      </c>
      <c r="J1133" s="7">
        <f>DATEDIF(L1133,S1133,"D")</f>
        <v>1420</v>
      </c>
      <c r="K1133" t="s">
        <v>64</v>
      </c>
      <c r="L1133" s="1">
        <v>43745</v>
      </c>
      <c r="M1133" s="17" t="s">
        <v>45</v>
      </c>
      <c r="N1133" t="s">
        <v>83</v>
      </c>
      <c r="O1133" t="s">
        <v>52</v>
      </c>
      <c r="P1133" t="s">
        <v>2527</v>
      </c>
      <c r="Q1133">
        <v>0</v>
      </c>
      <c r="R1133" s="1">
        <v>45169</v>
      </c>
      <c r="S1133" s="1">
        <v>45165</v>
      </c>
      <c r="T1133" s="3" t="s">
        <v>54</v>
      </c>
      <c r="U1133" t="s">
        <v>55</v>
      </c>
      <c r="W1133" s="1">
        <v>45173</v>
      </c>
      <c r="Z1133">
        <f>MONTH(S1133)</f>
        <v>8</v>
      </c>
      <c r="AA1133" s="7">
        <f>INT((S1133-DATE(YEAR(S1133-WEEKDAY(S1133-0)+4),1,4)+WEEKDAY(DATE(YEAR(S1133-WEEKDAY(S1133-0)+4),1,4))+6)/7)</f>
        <v>35</v>
      </c>
      <c r="AB1133" t="s">
        <v>2966</v>
      </c>
      <c r="AG1133" s="7">
        <v>2023</v>
      </c>
      <c r="AH1133" t="s">
        <v>482</v>
      </c>
      <c r="AK1133" t="s">
        <v>140</v>
      </c>
      <c r="AL1133" s="3" t="s">
        <v>59</v>
      </c>
    </row>
    <row r="1134" spans="1:38" ht="30" customHeight="1">
      <c r="A1134" s="3" t="s">
        <v>44</v>
      </c>
      <c r="B1134" s="3" t="s">
        <v>45</v>
      </c>
      <c r="G1134" t="s">
        <v>2970</v>
      </c>
      <c r="H1134" s="4">
        <f>IF(DATEDIF(L1134,S1134,"m")&gt;12,DATEDIF(L1134,S1134,"y"),(DATEDIF(L1134,S1134,"m")/12))</f>
        <v>45</v>
      </c>
      <c r="I1134" s="7">
        <f>DATEDIF(L1134,S1134,"M")</f>
        <v>546</v>
      </c>
      <c r="J1134" s="7">
        <f>DATEDIF(L1134,S1134,"D")</f>
        <v>16620</v>
      </c>
      <c r="K1134" t="s">
        <v>51</v>
      </c>
      <c r="L1134" s="1">
        <v>28542</v>
      </c>
      <c r="M1134" s="17" t="s">
        <v>45</v>
      </c>
      <c r="N1134" t="s">
        <v>83</v>
      </c>
      <c r="O1134" t="s">
        <v>52</v>
      </c>
      <c r="P1134" t="s">
        <v>2620</v>
      </c>
      <c r="Q1134">
        <v>0</v>
      </c>
      <c r="R1134" s="1">
        <v>45169</v>
      </c>
      <c r="S1134" s="1">
        <v>45162</v>
      </c>
      <c r="T1134" s="3" t="s">
        <v>54</v>
      </c>
      <c r="U1134" t="s">
        <v>55</v>
      </c>
      <c r="W1134" s="1">
        <v>45173</v>
      </c>
      <c r="Z1134">
        <f>MONTH(S1134)</f>
        <v>8</v>
      </c>
      <c r="AA1134" s="7">
        <f>INT((S1134-DATE(YEAR(S1134-WEEKDAY(S1134-0)+4),1,4)+WEEKDAY(DATE(YEAR(S1134-WEEKDAY(S1134-0)+4),1,4))+6)/7)</f>
        <v>34</v>
      </c>
      <c r="AB1134" t="s">
        <v>2971</v>
      </c>
      <c r="AG1134" s="7">
        <v>2023</v>
      </c>
      <c r="AH1134" t="s">
        <v>482</v>
      </c>
      <c r="AK1134" t="s">
        <v>2659</v>
      </c>
      <c r="AL1134" s="3" t="s">
        <v>59</v>
      </c>
    </row>
    <row r="1135" spans="1:38" ht="30" customHeight="1">
      <c r="A1135" s="3" t="s">
        <v>44</v>
      </c>
      <c r="B1135" s="3" t="s">
        <v>45</v>
      </c>
      <c r="G1135" t="s">
        <v>2977</v>
      </c>
      <c r="H1135" s="5">
        <f>IF(DATEDIF(L1135,S1135,"m")&gt;12,DATEDIF(L1135,S1135,"y"),(DATEDIF(L1135,S1135,"m")/12))</f>
        <v>0.66666666666666663</v>
      </c>
      <c r="I1135" s="7">
        <f>DATEDIF(L1135,S1135,"M")</f>
        <v>8</v>
      </c>
      <c r="J1135" s="7">
        <f>DATEDIF(L1135,S1135,"D")</f>
        <v>245</v>
      </c>
      <c r="K1135" t="s">
        <v>64</v>
      </c>
      <c r="L1135" s="1">
        <v>44921</v>
      </c>
      <c r="M1135" s="17" t="s">
        <v>45</v>
      </c>
      <c r="N1135" t="s">
        <v>83</v>
      </c>
      <c r="O1135" t="s">
        <v>52</v>
      </c>
      <c r="P1135" t="s">
        <v>2513</v>
      </c>
      <c r="Q1135">
        <v>0</v>
      </c>
      <c r="R1135" s="1">
        <v>45169</v>
      </c>
      <c r="S1135" s="1">
        <v>45166</v>
      </c>
      <c r="T1135" s="3" t="s">
        <v>54</v>
      </c>
      <c r="U1135" t="s">
        <v>55</v>
      </c>
      <c r="W1135" s="1">
        <v>45173</v>
      </c>
      <c r="Z1135">
        <f>MONTH(S1135)</f>
        <v>8</v>
      </c>
      <c r="AA1135" s="7">
        <f>INT((S1135-DATE(YEAR(S1135-WEEKDAY(S1135-0)+4),1,4)+WEEKDAY(DATE(YEAR(S1135-WEEKDAY(S1135-0)+4),1,4))+6)/7)</f>
        <v>35</v>
      </c>
      <c r="AB1135" t="s">
        <v>2978</v>
      </c>
      <c r="AG1135" s="7">
        <v>2023</v>
      </c>
      <c r="AH1135" t="s">
        <v>482</v>
      </c>
      <c r="AK1135" t="s">
        <v>2556</v>
      </c>
      <c r="AL1135" s="3" t="s">
        <v>59</v>
      </c>
    </row>
    <row r="1136" spans="1:38" ht="30" customHeight="1">
      <c r="A1136" s="3" t="s">
        <v>44</v>
      </c>
      <c r="B1136" s="3" t="s">
        <v>45</v>
      </c>
      <c r="G1136" t="s">
        <v>2979</v>
      </c>
      <c r="H1136" s="4">
        <f>IF(DATEDIF(L1136,S1136,"m")&gt;12,DATEDIF(L1136,S1136,"y"),(DATEDIF(L1136,S1136,"m")/12))</f>
        <v>37</v>
      </c>
      <c r="I1136" s="7">
        <f>DATEDIF(L1136,S1136,"M")</f>
        <v>454</v>
      </c>
      <c r="J1136" s="7">
        <f>DATEDIF(L1136,S1136,"D")</f>
        <v>13840</v>
      </c>
      <c r="K1136" t="s">
        <v>64</v>
      </c>
      <c r="L1136" s="1">
        <v>31325</v>
      </c>
      <c r="M1136" s="17" t="s">
        <v>45</v>
      </c>
      <c r="N1136" t="s">
        <v>83</v>
      </c>
      <c r="O1136" t="s">
        <v>52</v>
      </c>
      <c r="P1136" t="s">
        <v>2527</v>
      </c>
      <c r="Q1136">
        <v>0</v>
      </c>
      <c r="R1136" s="1">
        <v>45169</v>
      </c>
      <c r="S1136" s="1">
        <v>45165</v>
      </c>
      <c r="T1136" s="3" t="s">
        <v>54</v>
      </c>
      <c r="U1136" t="s">
        <v>55</v>
      </c>
      <c r="W1136" s="1">
        <v>45173</v>
      </c>
      <c r="Z1136">
        <f>MONTH(S1136)</f>
        <v>8</v>
      </c>
      <c r="AA1136" s="7">
        <f>INT((S1136-DATE(YEAR(S1136-WEEKDAY(S1136-0)+4),1,4)+WEEKDAY(DATE(YEAR(S1136-WEEKDAY(S1136-0)+4),1,4))+6)/7)</f>
        <v>35</v>
      </c>
      <c r="AB1136" t="s">
        <v>2980</v>
      </c>
      <c r="AG1136" s="7">
        <v>2023</v>
      </c>
      <c r="AH1136" t="s">
        <v>482</v>
      </c>
      <c r="AK1136" t="s">
        <v>140</v>
      </c>
      <c r="AL1136" s="3" t="s">
        <v>59</v>
      </c>
    </row>
    <row r="1137" spans="1:38" ht="30" customHeight="1">
      <c r="A1137" s="3" t="s">
        <v>44</v>
      </c>
      <c r="B1137" s="3" t="s">
        <v>45</v>
      </c>
      <c r="G1137" t="s">
        <v>2989</v>
      </c>
      <c r="H1137" s="4">
        <f>IF(DATEDIF(L1137,S1137,"m")&gt;12,DATEDIF(L1137,S1137,"y"),(DATEDIF(L1137,S1137,"m")/12))</f>
        <v>1</v>
      </c>
      <c r="I1137" s="7">
        <f>DATEDIF(L1137,S1137,"M")</f>
        <v>16</v>
      </c>
      <c r="J1137" s="7">
        <f>DATEDIF(L1137,S1137,"D")</f>
        <v>503</v>
      </c>
      <c r="K1137" t="s">
        <v>51</v>
      </c>
      <c r="L1137" s="1">
        <v>44663</v>
      </c>
      <c r="M1137" s="17" t="s">
        <v>45</v>
      </c>
      <c r="N1137" t="s">
        <v>83</v>
      </c>
      <c r="O1137" t="s">
        <v>52</v>
      </c>
      <c r="P1137" t="s">
        <v>2571</v>
      </c>
      <c r="Q1137">
        <v>0</v>
      </c>
      <c r="R1137" s="1">
        <v>45169</v>
      </c>
      <c r="S1137" s="1">
        <v>45166</v>
      </c>
      <c r="T1137" s="3" t="s">
        <v>54</v>
      </c>
      <c r="U1137" t="s">
        <v>55</v>
      </c>
      <c r="W1137" s="1">
        <v>45173</v>
      </c>
      <c r="Z1137">
        <f>MONTH(S1137)</f>
        <v>8</v>
      </c>
      <c r="AA1137" s="7">
        <f>INT((S1137-DATE(YEAR(S1137-WEEKDAY(S1137-0)+4),1,4)+WEEKDAY(DATE(YEAR(S1137-WEEKDAY(S1137-0)+4),1,4))+6)/7)</f>
        <v>35</v>
      </c>
      <c r="AB1137" t="s">
        <v>2990</v>
      </c>
      <c r="AG1137" s="7">
        <v>2023</v>
      </c>
      <c r="AH1137" t="s">
        <v>482</v>
      </c>
      <c r="AK1137" t="s">
        <v>140</v>
      </c>
      <c r="AL1137" s="3" t="s">
        <v>59</v>
      </c>
    </row>
    <row r="1138" spans="1:38" ht="30" customHeight="1">
      <c r="A1138" s="3" t="s">
        <v>44</v>
      </c>
      <c r="B1138" s="3" t="s">
        <v>45</v>
      </c>
      <c r="G1138" t="s">
        <v>2993</v>
      </c>
      <c r="H1138" s="4">
        <f>IF(DATEDIF(L1138,S1138,"m")&gt;12,DATEDIF(L1138,S1138,"y"),(DATEDIF(L1138,S1138,"m")/12))</f>
        <v>64</v>
      </c>
      <c r="I1138" s="7">
        <f>DATEDIF(L1138,S1138,"M")</f>
        <v>778</v>
      </c>
      <c r="J1138" s="7">
        <f>DATEDIF(L1138,S1138,"D")</f>
        <v>23704</v>
      </c>
      <c r="K1138" t="s">
        <v>64</v>
      </c>
      <c r="L1138" s="1">
        <v>21460</v>
      </c>
      <c r="M1138" s="17" t="s">
        <v>45</v>
      </c>
      <c r="N1138" t="s">
        <v>83</v>
      </c>
      <c r="O1138" t="s">
        <v>52</v>
      </c>
      <c r="P1138" t="s">
        <v>2579</v>
      </c>
      <c r="Q1138">
        <v>0</v>
      </c>
      <c r="R1138" s="1">
        <v>45169</v>
      </c>
      <c r="S1138" s="1">
        <v>45164</v>
      </c>
      <c r="T1138" s="3" t="s">
        <v>54</v>
      </c>
      <c r="U1138" t="s">
        <v>55</v>
      </c>
      <c r="W1138" s="1">
        <v>45173</v>
      </c>
      <c r="Z1138">
        <f>MONTH(S1138)</f>
        <v>8</v>
      </c>
      <c r="AA1138" s="7">
        <f>INT((S1138-DATE(YEAR(S1138-WEEKDAY(S1138-0)+4),1,4)+WEEKDAY(DATE(YEAR(S1138-WEEKDAY(S1138-0)+4),1,4))+6)/7)</f>
        <v>34</v>
      </c>
      <c r="AB1138" t="s">
        <v>2994</v>
      </c>
      <c r="AG1138" s="7">
        <v>2023</v>
      </c>
      <c r="AH1138" t="s">
        <v>482</v>
      </c>
      <c r="AK1138" t="s">
        <v>2519</v>
      </c>
      <c r="AL1138" s="3" t="s">
        <v>59</v>
      </c>
    </row>
    <row r="1139" spans="1:38" ht="30" customHeight="1">
      <c r="A1139" s="3" t="s">
        <v>44</v>
      </c>
      <c r="B1139" s="3" t="s">
        <v>45</v>
      </c>
      <c r="G1139" t="s">
        <v>2995</v>
      </c>
      <c r="H1139" s="4">
        <f>IF(DATEDIF(L1139,S1139,"m")&gt;12,DATEDIF(L1139,S1139,"y"),(DATEDIF(L1139,S1139,"m")/12))</f>
        <v>6</v>
      </c>
      <c r="I1139" s="7">
        <f>DATEDIF(L1139,S1139,"M")</f>
        <v>72</v>
      </c>
      <c r="J1139" s="7">
        <f>DATEDIF(L1139,S1139,"D")</f>
        <v>2221</v>
      </c>
      <c r="K1139" t="s">
        <v>51</v>
      </c>
      <c r="L1139" s="1">
        <v>42944</v>
      </c>
      <c r="M1139" s="17" t="s">
        <v>45</v>
      </c>
      <c r="N1139" t="s">
        <v>83</v>
      </c>
      <c r="O1139" t="s">
        <v>52</v>
      </c>
      <c r="P1139" t="s">
        <v>2527</v>
      </c>
      <c r="Q1139">
        <v>0</v>
      </c>
      <c r="R1139" s="1">
        <v>45169</v>
      </c>
      <c r="S1139" s="1">
        <v>45165</v>
      </c>
      <c r="T1139" s="3" t="s">
        <v>54</v>
      </c>
      <c r="U1139" t="s">
        <v>55</v>
      </c>
      <c r="W1139" s="1">
        <v>45173</v>
      </c>
      <c r="Z1139">
        <f>MONTH(S1139)</f>
        <v>8</v>
      </c>
      <c r="AA1139" s="7">
        <f>INT((S1139-DATE(YEAR(S1139-WEEKDAY(S1139-0)+4),1,4)+WEEKDAY(DATE(YEAR(S1139-WEEKDAY(S1139-0)+4),1,4))+6)/7)</f>
        <v>35</v>
      </c>
      <c r="AB1139" t="s">
        <v>2996</v>
      </c>
      <c r="AG1139" s="7">
        <v>2023</v>
      </c>
      <c r="AH1139" t="s">
        <v>482</v>
      </c>
      <c r="AK1139" t="s">
        <v>2847</v>
      </c>
      <c r="AL1139" s="3" t="s">
        <v>59</v>
      </c>
    </row>
    <row r="1140" spans="1:38" ht="30" customHeight="1">
      <c r="A1140" s="3" t="s">
        <v>44</v>
      </c>
      <c r="B1140" s="3" t="s">
        <v>45</v>
      </c>
      <c r="G1140" t="s">
        <v>2997</v>
      </c>
      <c r="H1140" s="5">
        <f>IF(DATEDIF(L1140,S1140,"m")&gt;12,DATEDIF(L1140,S1140,"y"),(DATEDIF(L1140,S1140,"m")/12))</f>
        <v>0.25</v>
      </c>
      <c r="I1140" s="7">
        <f>DATEDIF(L1140,S1140,"M")</f>
        <v>3</v>
      </c>
      <c r="J1140" s="7">
        <f>DATEDIF(L1140,S1140,"D")</f>
        <v>101</v>
      </c>
      <c r="K1140" t="s">
        <v>51</v>
      </c>
      <c r="L1140" s="1">
        <v>45064</v>
      </c>
      <c r="M1140" s="17" t="s">
        <v>45</v>
      </c>
      <c r="N1140" t="s">
        <v>83</v>
      </c>
      <c r="O1140" t="s">
        <v>52</v>
      </c>
      <c r="P1140" t="s">
        <v>2598</v>
      </c>
      <c r="Q1140">
        <v>0</v>
      </c>
      <c r="R1140" s="1">
        <v>45169</v>
      </c>
      <c r="S1140" s="1">
        <v>45165</v>
      </c>
      <c r="T1140" s="3" t="s">
        <v>54</v>
      </c>
      <c r="U1140" t="s">
        <v>55</v>
      </c>
      <c r="W1140" s="1">
        <v>45173</v>
      </c>
      <c r="Z1140">
        <f>MONTH(S1140)</f>
        <v>8</v>
      </c>
      <c r="AA1140" s="7">
        <f>INT((S1140-DATE(YEAR(S1140-WEEKDAY(S1140-0)+4),1,4)+WEEKDAY(DATE(YEAR(S1140-WEEKDAY(S1140-0)+4),1,4))+6)/7)</f>
        <v>35</v>
      </c>
      <c r="AB1140" t="s">
        <v>2998</v>
      </c>
      <c r="AG1140" s="7">
        <v>2023</v>
      </c>
      <c r="AH1140" t="s">
        <v>482</v>
      </c>
      <c r="AK1140" t="s">
        <v>2474</v>
      </c>
      <c r="AL1140" s="3" t="s">
        <v>59</v>
      </c>
    </row>
    <row r="1141" spans="1:38" ht="30" customHeight="1">
      <c r="A1141" s="3" t="s">
        <v>44</v>
      </c>
      <c r="B1141" s="3" t="s">
        <v>45</v>
      </c>
      <c r="G1141" t="s">
        <v>2999</v>
      </c>
      <c r="H1141" s="4">
        <f>IF(DATEDIF(L1141,S1141,"m")&gt;12,DATEDIF(L1141,S1141,"y"),(DATEDIF(L1141,S1141,"m")/12))</f>
        <v>64</v>
      </c>
      <c r="I1141" s="7">
        <f>DATEDIF(L1141,S1141,"M")</f>
        <v>769</v>
      </c>
      <c r="J1141" s="7">
        <f>DATEDIF(L1141,S1141,"D")</f>
        <v>23412</v>
      </c>
      <c r="K1141" t="s">
        <v>64</v>
      </c>
      <c r="L1141" s="1">
        <v>21754</v>
      </c>
      <c r="M1141" s="17" t="s">
        <v>45</v>
      </c>
      <c r="N1141" t="s">
        <v>83</v>
      </c>
      <c r="O1141" t="s">
        <v>52</v>
      </c>
      <c r="P1141" t="s">
        <v>2598</v>
      </c>
      <c r="Q1141">
        <v>0</v>
      </c>
      <c r="R1141" s="1">
        <v>45169</v>
      </c>
      <c r="S1141" s="1">
        <v>45166</v>
      </c>
      <c r="T1141" s="3" t="s">
        <v>54</v>
      </c>
      <c r="U1141" t="s">
        <v>55</v>
      </c>
      <c r="W1141" s="1">
        <v>45173</v>
      </c>
      <c r="Z1141">
        <f>MONTH(S1141)</f>
        <v>8</v>
      </c>
      <c r="AA1141" s="7">
        <f>INT((S1141-DATE(YEAR(S1141-WEEKDAY(S1141-0)+4),1,4)+WEEKDAY(DATE(YEAR(S1141-WEEKDAY(S1141-0)+4),1,4))+6)/7)</f>
        <v>35</v>
      </c>
      <c r="AB1141" t="s">
        <v>3000</v>
      </c>
      <c r="AG1141" s="7">
        <v>2023</v>
      </c>
      <c r="AH1141" t="s">
        <v>482</v>
      </c>
      <c r="AK1141" t="s">
        <v>140</v>
      </c>
      <c r="AL1141" s="3" t="s">
        <v>59</v>
      </c>
    </row>
    <row r="1142" spans="1:38" ht="30" customHeight="1">
      <c r="A1142" s="3" t="s">
        <v>44</v>
      </c>
      <c r="B1142" s="3" t="s">
        <v>45</v>
      </c>
      <c r="G1142" t="s">
        <v>2968</v>
      </c>
      <c r="H1142" s="4">
        <f>IF(DATEDIF(L1142,S1142,"m")&gt;12,DATEDIF(L1142,S1142,"y"),(DATEDIF(L1142,S1142,"m")/12))</f>
        <v>21</v>
      </c>
      <c r="I1142" s="7">
        <f>DATEDIF(L1142,S1142,"M")</f>
        <v>252</v>
      </c>
      <c r="J1142" s="7">
        <f>DATEDIF(L1142,S1142,"D")</f>
        <v>7692</v>
      </c>
      <c r="K1142" t="s">
        <v>64</v>
      </c>
      <c r="L1142" s="1">
        <v>37473</v>
      </c>
      <c r="M1142" s="17" t="s">
        <v>45</v>
      </c>
      <c r="N1142" t="s">
        <v>83</v>
      </c>
      <c r="O1142" t="s">
        <v>52</v>
      </c>
      <c r="P1142" t="s">
        <v>2670</v>
      </c>
      <c r="Q1142">
        <v>0</v>
      </c>
      <c r="R1142" s="1">
        <v>45173</v>
      </c>
      <c r="S1142" s="1">
        <v>45165</v>
      </c>
      <c r="T1142" s="3" t="s">
        <v>54</v>
      </c>
      <c r="U1142" t="s">
        <v>55</v>
      </c>
      <c r="W1142" s="1">
        <v>45174</v>
      </c>
      <c r="Z1142">
        <f>MONTH(S1142)</f>
        <v>8</v>
      </c>
      <c r="AA1142" s="7">
        <f>INT((S1142-DATE(YEAR(S1142-WEEKDAY(S1142-0)+4),1,4)+WEEKDAY(DATE(YEAR(S1142-WEEKDAY(S1142-0)+4),1,4))+6)/7)</f>
        <v>35</v>
      </c>
      <c r="AB1142" t="s">
        <v>2969</v>
      </c>
      <c r="AG1142" s="7">
        <v>2023</v>
      </c>
      <c r="AH1142" t="s">
        <v>482</v>
      </c>
      <c r="AK1142" t="s">
        <v>140</v>
      </c>
      <c r="AL1142" s="3" t="s">
        <v>59</v>
      </c>
    </row>
    <row r="1143" spans="1:38" ht="30" customHeight="1">
      <c r="A1143" s="3" t="s">
        <v>44</v>
      </c>
      <c r="B1143" s="3" t="s">
        <v>45</v>
      </c>
      <c r="G1143" t="s">
        <v>2972</v>
      </c>
      <c r="H1143" s="4">
        <f>IF(DATEDIF(L1143,S1143,"m")&gt;12,DATEDIF(L1143,S1143,"y"),(DATEDIF(L1143,S1143,"m")/12))</f>
        <v>2</v>
      </c>
      <c r="I1143" s="7">
        <f>DATEDIF(L1143,S1143,"M")</f>
        <v>30</v>
      </c>
      <c r="J1143" s="7">
        <f>DATEDIF(L1143,S1143,"D")</f>
        <v>921</v>
      </c>
      <c r="K1143" t="s">
        <v>51</v>
      </c>
      <c r="L1143" s="1">
        <v>44250</v>
      </c>
      <c r="M1143" s="17" t="s">
        <v>45</v>
      </c>
      <c r="N1143" t="s">
        <v>83</v>
      </c>
      <c r="O1143" t="s">
        <v>52</v>
      </c>
      <c r="P1143" t="s">
        <v>2598</v>
      </c>
      <c r="Q1143">
        <v>0</v>
      </c>
      <c r="R1143" s="1">
        <v>45173</v>
      </c>
      <c r="S1143" s="1">
        <v>45171</v>
      </c>
      <c r="T1143" s="3" t="s">
        <v>54</v>
      </c>
      <c r="U1143" t="s">
        <v>55</v>
      </c>
      <c r="W1143" s="1">
        <v>45174</v>
      </c>
      <c r="Z1143">
        <f>MONTH(S1143)</f>
        <v>9</v>
      </c>
      <c r="AA1143" s="7">
        <f>INT((S1143-DATE(YEAR(S1143-WEEKDAY(S1143-0)+4),1,4)+WEEKDAY(DATE(YEAR(S1143-WEEKDAY(S1143-0)+4),1,4))+6)/7)</f>
        <v>35</v>
      </c>
      <c r="AB1143" t="s">
        <v>2973</v>
      </c>
      <c r="AG1143" s="7">
        <v>2023</v>
      </c>
      <c r="AH1143" t="s">
        <v>482</v>
      </c>
      <c r="AK1143" t="s">
        <v>2519</v>
      </c>
      <c r="AL1143" s="3" t="s">
        <v>59</v>
      </c>
    </row>
    <row r="1144" spans="1:38" ht="30" customHeight="1">
      <c r="A1144" s="3" t="s">
        <v>44</v>
      </c>
      <c r="B1144" s="3" t="s">
        <v>45</v>
      </c>
      <c r="G1144" t="s">
        <v>2974</v>
      </c>
      <c r="H1144" s="4">
        <f>IF(DATEDIF(L1144,S1144,"m")&gt;12,DATEDIF(L1144,S1144,"y"),(DATEDIF(L1144,S1144,"m")/12))</f>
        <v>1</v>
      </c>
      <c r="I1144" s="7">
        <f>DATEDIF(L1144,S1144,"M")</f>
        <v>14</v>
      </c>
      <c r="J1144" s="7">
        <f>DATEDIF(L1144,S1144,"D")</f>
        <v>437</v>
      </c>
      <c r="K1144" t="s">
        <v>64</v>
      </c>
      <c r="L1144" s="1">
        <v>44728</v>
      </c>
      <c r="M1144" s="17" t="s">
        <v>45</v>
      </c>
      <c r="N1144" t="s">
        <v>83</v>
      </c>
      <c r="O1144" t="s">
        <v>52</v>
      </c>
      <c r="P1144" t="s">
        <v>2472</v>
      </c>
      <c r="Q1144">
        <v>0</v>
      </c>
      <c r="R1144" s="1">
        <v>45173</v>
      </c>
      <c r="S1144" s="1">
        <v>45165</v>
      </c>
      <c r="T1144" s="3" t="s">
        <v>54</v>
      </c>
      <c r="U1144" t="s">
        <v>55</v>
      </c>
      <c r="W1144" s="1">
        <v>45174</v>
      </c>
      <c r="Z1144">
        <f>MONTH(S1144)</f>
        <v>8</v>
      </c>
      <c r="AA1144" s="7">
        <f>INT((S1144-DATE(YEAR(S1144-WEEKDAY(S1144-0)+4),1,4)+WEEKDAY(DATE(YEAR(S1144-WEEKDAY(S1144-0)+4),1,4))+6)/7)</f>
        <v>35</v>
      </c>
      <c r="AB1144" t="s">
        <v>2975</v>
      </c>
      <c r="AG1144" s="7">
        <v>2023</v>
      </c>
      <c r="AH1144" t="s">
        <v>482</v>
      </c>
      <c r="AK1144" t="s">
        <v>2837</v>
      </c>
      <c r="AL1144" s="3" t="s">
        <v>59</v>
      </c>
    </row>
    <row r="1145" spans="1:38" ht="30" customHeight="1">
      <c r="A1145" s="3" t="s">
        <v>44</v>
      </c>
      <c r="B1145" s="3" t="s">
        <v>45</v>
      </c>
      <c r="G1145">
        <v>30170</v>
      </c>
      <c r="H1145" s="4">
        <f>IF(DATEDIF(L1145,S1145,"m")&gt;12,DATEDIF(L1145,S1145,"y"),(DATEDIF(L1145,S1145,"m")/12))</f>
        <v>5</v>
      </c>
      <c r="I1145" s="7">
        <f>DATEDIF(L1145,S1145,"M")</f>
        <v>71</v>
      </c>
      <c r="J1145" s="7">
        <f>DATEDIF(L1145,S1145,"D")</f>
        <v>2167</v>
      </c>
      <c r="K1145" t="s">
        <v>51</v>
      </c>
      <c r="L1145" s="1">
        <v>43003</v>
      </c>
      <c r="M1145" s="17" t="s">
        <v>45</v>
      </c>
      <c r="N1145" t="s">
        <v>101</v>
      </c>
      <c r="O1145" t="s">
        <v>52</v>
      </c>
      <c r="P1145" t="s">
        <v>2598</v>
      </c>
      <c r="Q1145">
        <v>0</v>
      </c>
      <c r="R1145" s="1">
        <v>45173</v>
      </c>
      <c r="S1145" s="1">
        <v>45170</v>
      </c>
      <c r="T1145" s="3" t="s">
        <v>54</v>
      </c>
      <c r="U1145" t="s">
        <v>55</v>
      </c>
      <c r="W1145" s="1">
        <v>45174</v>
      </c>
      <c r="Z1145">
        <f>MONTH(S1145)</f>
        <v>9</v>
      </c>
      <c r="AA1145" s="7">
        <f>INT((S1145-DATE(YEAR(S1145-WEEKDAY(S1145-0)+4),1,4)+WEEKDAY(DATE(YEAR(S1145-WEEKDAY(S1145-0)+4),1,4))+6)/7)</f>
        <v>35</v>
      </c>
      <c r="AB1145" t="s">
        <v>2976</v>
      </c>
      <c r="AG1145" s="7">
        <v>2023</v>
      </c>
      <c r="AH1145" t="s">
        <v>223</v>
      </c>
      <c r="AK1145" t="s">
        <v>2451</v>
      </c>
      <c r="AL1145" s="3" t="s">
        <v>59</v>
      </c>
    </row>
    <row r="1146" spans="1:38" ht="30" customHeight="1">
      <c r="A1146" s="3" t="s">
        <v>44</v>
      </c>
      <c r="B1146" s="3" t="s">
        <v>45</v>
      </c>
      <c r="G1146" t="s">
        <v>2981</v>
      </c>
      <c r="H1146" s="4">
        <f>IF(DATEDIF(L1146,S1146,"m")&gt;12,DATEDIF(L1146,S1146,"y"),(DATEDIF(L1146,S1146,"m")/12))</f>
        <v>41</v>
      </c>
      <c r="I1146" s="7">
        <f>DATEDIF(L1146,S1146,"M")</f>
        <v>492</v>
      </c>
      <c r="J1146" s="7">
        <f>DATEDIF(L1146,S1146,"D")</f>
        <v>14981</v>
      </c>
      <c r="K1146" t="s">
        <v>64</v>
      </c>
      <c r="L1146" s="1">
        <v>30185</v>
      </c>
      <c r="M1146" s="17" t="s">
        <v>45</v>
      </c>
      <c r="N1146" t="s">
        <v>83</v>
      </c>
      <c r="O1146" t="s">
        <v>52</v>
      </c>
      <c r="P1146" t="s">
        <v>2583</v>
      </c>
      <c r="Q1146">
        <v>0</v>
      </c>
      <c r="R1146" s="1">
        <v>45173</v>
      </c>
      <c r="S1146" s="1">
        <v>45166</v>
      </c>
      <c r="T1146" s="3" t="s">
        <v>54</v>
      </c>
      <c r="U1146" t="s">
        <v>55</v>
      </c>
      <c r="W1146" s="1">
        <v>45174</v>
      </c>
      <c r="Z1146">
        <f>MONTH(S1146)</f>
        <v>8</v>
      </c>
      <c r="AA1146" s="7">
        <f>INT((S1146-DATE(YEAR(S1146-WEEKDAY(S1146-0)+4),1,4)+WEEKDAY(DATE(YEAR(S1146-WEEKDAY(S1146-0)+4),1,4))+6)/7)</f>
        <v>35</v>
      </c>
      <c r="AB1146" t="s">
        <v>2982</v>
      </c>
      <c r="AG1146" s="7">
        <v>2023</v>
      </c>
      <c r="AH1146" t="s">
        <v>482</v>
      </c>
      <c r="AK1146" t="s">
        <v>2556</v>
      </c>
      <c r="AL1146" s="3" t="s">
        <v>59</v>
      </c>
    </row>
    <row r="1147" spans="1:38" ht="30" customHeight="1">
      <c r="A1147" s="3" t="s">
        <v>44</v>
      </c>
      <c r="B1147" s="3" t="s">
        <v>45</v>
      </c>
      <c r="G1147" t="s">
        <v>2983</v>
      </c>
      <c r="H1147" s="4">
        <f>IF(DATEDIF(L1147,S1147,"m")&gt;12,DATEDIF(L1147,S1147,"y"),(DATEDIF(L1147,S1147,"m")/12))</f>
        <v>15</v>
      </c>
      <c r="I1147" s="7">
        <f>DATEDIF(L1147,S1147,"M")</f>
        <v>184</v>
      </c>
      <c r="J1147" s="7">
        <f>DATEDIF(L1147,S1147,"D")</f>
        <v>5629</v>
      </c>
      <c r="K1147" t="s">
        <v>51</v>
      </c>
      <c r="L1147" s="1">
        <v>39537</v>
      </c>
      <c r="M1147" s="17" t="s">
        <v>45</v>
      </c>
      <c r="N1147" t="s">
        <v>83</v>
      </c>
      <c r="O1147" t="s">
        <v>52</v>
      </c>
      <c r="P1147" t="s">
        <v>2984</v>
      </c>
      <c r="Q1147">
        <v>0</v>
      </c>
      <c r="R1147" s="1">
        <v>45173</v>
      </c>
      <c r="S1147" s="1">
        <v>45166</v>
      </c>
      <c r="T1147" s="3" t="s">
        <v>54</v>
      </c>
      <c r="U1147" t="s">
        <v>55</v>
      </c>
      <c r="W1147" s="1">
        <v>45174</v>
      </c>
      <c r="Z1147">
        <f>MONTH(S1147)</f>
        <v>8</v>
      </c>
      <c r="AA1147" s="7">
        <f>INT((S1147-DATE(YEAR(S1147-WEEKDAY(S1147-0)+4),1,4)+WEEKDAY(DATE(YEAR(S1147-WEEKDAY(S1147-0)+4),1,4))+6)/7)</f>
        <v>35</v>
      </c>
      <c r="AB1147" t="s">
        <v>2985</v>
      </c>
      <c r="AG1147" s="7">
        <v>2023</v>
      </c>
      <c r="AH1147" t="s">
        <v>482</v>
      </c>
      <c r="AK1147" t="s">
        <v>2635</v>
      </c>
      <c r="AL1147" s="3" t="s">
        <v>59</v>
      </c>
    </row>
    <row r="1148" spans="1:38" ht="30" customHeight="1">
      <c r="A1148" s="3" t="s">
        <v>44</v>
      </c>
      <c r="B1148" s="3" t="s">
        <v>45</v>
      </c>
      <c r="G1148" t="s">
        <v>2986</v>
      </c>
      <c r="H1148" s="4">
        <f>IF(DATEDIF(L1148,S1148,"m")&gt;12,DATEDIF(L1148,S1148,"y"),(DATEDIF(L1148,S1148,"m")/12))</f>
        <v>21</v>
      </c>
      <c r="I1148" s="7">
        <f>DATEDIF(L1148,S1148,"M")</f>
        <v>255</v>
      </c>
      <c r="J1148" s="7">
        <f>DATEDIF(L1148,S1148,"D")</f>
        <v>7770</v>
      </c>
      <c r="K1148" t="s">
        <v>64</v>
      </c>
      <c r="L1148" s="1">
        <v>37400</v>
      </c>
      <c r="M1148" s="17" t="s">
        <v>45</v>
      </c>
      <c r="N1148" t="s">
        <v>83</v>
      </c>
      <c r="O1148" t="s">
        <v>52</v>
      </c>
      <c r="P1148" t="s">
        <v>2987</v>
      </c>
      <c r="Q1148">
        <v>0</v>
      </c>
      <c r="R1148" s="1">
        <v>45173</v>
      </c>
      <c r="S1148" s="1">
        <v>45170</v>
      </c>
      <c r="T1148" s="3" t="s">
        <v>54</v>
      </c>
      <c r="U1148" t="s">
        <v>55</v>
      </c>
      <c r="W1148" s="1">
        <v>45174</v>
      </c>
      <c r="Z1148">
        <f>MONTH(S1148)</f>
        <v>9</v>
      </c>
      <c r="AA1148" s="7">
        <f>INT((S1148-DATE(YEAR(S1148-WEEKDAY(S1148-0)+4),1,4)+WEEKDAY(DATE(YEAR(S1148-WEEKDAY(S1148-0)+4),1,4))+6)/7)</f>
        <v>35</v>
      </c>
      <c r="AB1148" t="s">
        <v>2988</v>
      </c>
      <c r="AG1148" s="7">
        <v>2023</v>
      </c>
      <c r="AH1148" t="s">
        <v>482</v>
      </c>
      <c r="AK1148" t="s">
        <v>2635</v>
      </c>
      <c r="AL1148" s="3" t="s">
        <v>59</v>
      </c>
    </row>
    <row r="1149" spans="1:38" ht="30" customHeight="1">
      <c r="A1149" s="3" t="s">
        <v>44</v>
      </c>
      <c r="B1149" s="3" t="s">
        <v>45</v>
      </c>
      <c r="G1149">
        <v>12246</v>
      </c>
      <c r="H1149" s="4">
        <f>IF(DATEDIF(L1149,S1149,"m")&gt;12,DATEDIF(L1149,S1149,"y"),(DATEDIF(L1149,S1149,"m")/12))</f>
        <v>3</v>
      </c>
      <c r="I1149" s="7">
        <f>DATEDIF(L1149,S1149,"M")</f>
        <v>37</v>
      </c>
      <c r="J1149" s="7">
        <f>DATEDIF(L1149,S1149,"D")</f>
        <v>1141</v>
      </c>
      <c r="K1149" t="s">
        <v>64</v>
      </c>
      <c r="L1149" s="1">
        <v>44029</v>
      </c>
      <c r="M1149" s="17" t="s">
        <v>45</v>
      </c>
      <c r="N1149" t="s">
        <v>65</v>
      </c>
      <c r="O1149" t="s">
        <v>52</v>
      </c>
      <c r="P1149" t="s">
        <v>2579</v>
      </c>
      <c r="Q1149">
        <v>1</v>
      </c>
      <c r="R1149" s="1">
        <v>45172</v>
      </c>
      <c r="S1149" s="1">
        <v>45170</v>
      </c>
      <c r="T1149" s="3" t="s">
        <v>54</v>
      </c>
      <c r="U1149" t="s">
        <v>55</v>
      </c>
      <c r="W1149" s="1">
        <v>45174</v>
      </c>
      <c r="Z1149">
        <f>MONTH(S1149)</f>
        <v>9</v>
      </c>
      <c r="AA1149" s="7">
        <f>INT((S1149-DATE(YEAR(S1149-WEEKDAY(S1149-0)+4),1,4)+WEEKDAY(DATE(YEAR(S1149-WEEKDAY(S1149-0)+4),1,4))+6)/7)</f>
        <v>35</v>
      </c>
      <c r="AB1149" t="s">
        <v>2991</v>
      </c>
      <c r="AG1149" s="7">
        <v>2023</v>
      </c>
      <c r="AH1149" t="s">
        <v>223</v>
      </c>
      <c r="AK1149" t="s">
        <v>2992</v>
      </c>
      <c r="AL1149" s="3" t="s">
        <v>59</v>
      </c>
    </row>
    <row r="1150" spans="1:38" ht="30" customHeight="1">
      <c r="A1150" s="3" t="s">
        <v>44</v>
      </c>
      <c r="B1150" s="3" t="s">
        <v>45</v>
      </c>
      <c r="G1150">
        <v>256</v>
      </c>
      <c r="H1150" s="4">
        <f>IF(DATEDIF(L1150,S1150,"m")&gt;12,DATEDIF(L1150,S1150,"y"),(DATEDIF(L1150,S1150,"m")/12))</f>
        <v>7</v>
      </c>
      <c r="I1150" s="7">
        <f>DATEDIF(L1150,S1150,"M")</f>
        <v>90</v>
      </c>
      <c r="J1150" s="7">
        <f>DATEDIF(L1150,S1150,"D")</f>
        <v>2740</v>
      </c>
      <c r="K1150" t="s">
        <v>64</v>
      </c>
      <c r="L1150" s="1">
        <v>42413</v>
      </c>
      <c r="M1150" s="17" t="s">
        <v>45</v>
      </c>
      <c r="N1150" t="s">
        <v>101</v>
      </c>
      <c r="O1150" t="s">
        <v>52</v>
      </c>
      <c r="P1150" t="s">
        <v>2518</v>
      </c>
      <c r="Q1150">
        <v>1</v>
      </c>
      <c r="R1150" s="1">
        <v>45155</v>
      </c>
      <c r="S1150" s="1">
        <v>45153</v>
      </c>
      <c r="T1150" s="3" t="s">
        <v>54</v>
      </c>
      <c r="U1150" t="s">
        <v>55</v>
      </c>
      <c r="W1150" s="1">
        <v>45180</v>
      </c>
      <c r="Z1150">
        <f>MONTH(S1150)</f>
        <v>8</v>
      </c>
      <c r="AA1150" s="7">
        <f>INT((S1150-DATE(YEAR(S1150-WEEKDAY(S1150-0)+4),1,4)+WEEKDAY(DATE(YEAR(S1150-WEEKDAY(S1150-0)+4),1,4))+6)/7)</f>
        <v>33</v>
      </c>
      <c r="AB1150" t="s">
        <v>3007</v>
      </c>
      <c r="AG1150" s="7">
        <v>2023</v>
      </c>
      <c r="AH1150" t="s">
        <v>223</v>
      </c>
      <c r="AK1150" t="s">
        <v>3008</v>
      </c>
      <c r="AL1150" s="3" t="s">
        <v>59</v>
      </c>
    </row>
    <row r="1151" spans="1:38" ht="30" customHeight="1">
      <c r="A1151" s="3" t="s">
        <v>44</v>
      </c>
      <c r="B1151" s="3" t="s">
        <v>45</v>
      </c>
      <c r="G1151">
        <v>8949</v>
      </c>
      <c r="H1151" s="4">
        <f>IF(DATEDIF(L1151,S1151,"m")&gt;12,DATEDIF(L1151,S1151,"y"),(DATEDIF(L1151,S1151,"m")/12))</f>
        <v>2</v>
      </c>
      <c r="I1151" s="7">
        <f>DATEDIF(L1151,S1151,"M")</f>
        <v>32</v>
      </c>
      <c r="J1151" s="7">
        <f>DATEDIF(L1151,S1151,"D")</f>
        <v>993</v>
      </c>
      <c r="K1151" t="s">
        <v>51</v>
      </c>
      <c r="L1151" s="1">
        <v>44186</v>
      </c>
      <c r="M1151" s="17" t="s">
        <v>45</v>
      </c>
      <c r="N1151" t="s">
        <v>65</v>
      </c>
      <c r="O1151" t="s">
        <v>52</v>
      </c>
      <c r="P1151" t="s">
        <v>2518</v>
      </c>
      <c r="Q1151">
        <v>1</v>
      </c>
      <c r="R1151" s="1">
        <v>45180</v>
      </c>
      <c r="S1151" s="1">
        <v>45179</v>
      </c>
      <c r="T1151" s="3" t="s">
        <v>54</v>
      </c>
      <c r="U1151" t="s">
        <v>55</v>
      </c>
      <c r="W1151" s="1">
        <v>45180</v>
      </c>
      <c r="Z1151">
        <f>MONTH(S1151)</f>
        <v>9</v>
      </c>
      <c r="AA1151" s="7">
        <f>INT((S1151-DATE(YEAR(S1151-WEEKDAY(S1151-0)+4),1,4)+WEEKDAY(DATE(YEAR(S1151-WEEKDAY(S1151-0)+4),1,4))+6)/7)</f>
        <v>37</v>
      </c>
      <c r="AB1151" t="s">
        <v>3009</v>
      </c>
      <c r="AG1151" s="7">
        <v>2023</v>
      </c>
      <c r="AH1151" t="s">
        <v>223</v>
      </c>
      <c r="AK1151" t="s">
        <v>2551</v>
      </c>
      <c r="AL1151" s="3" t="s">
        <v>59</v>
      </c>
    </row>
    <row r="1152" spans="1:38" ht="30" customHeight="1">
      <c r="A1152" s="3" t="s">
        <v>44</v>
      </c>
      <c r="B1152" s="3" t="s">
        <v>45</v>
      </c>
      <c r="G1152">
        <v>12615</v>
      </c>
      <c r="H1152" s="4">
        <f>IF(DATEDIF(L1152,S1152,"m")&gt;12,DATEDIF(L1152,S1152,"y"),(DATEDIF(L1152,S1152,"m")/12))</f>
        <v>4</v>
      </c>
      <c r="I1152" s="7">
        <f>DATEDIF(L1152,S1152,"M")</f>
        <v>54</v>
      </c>
      <c r="J1152" s="7">
        <f>DATEDIF(L1152,S1152,"D")</f>
        <v>1649</v>
      </c>
      <c r="K1152" t="s">
        <v>64</v>
      </c>
      <c r="L1152" s="1">
        <v>43472</v>
      </c>
      <c r="M1152" s="17" t="s">
        <v>45</v>
      </c>
      <c r="N1152" t="s">
        <v>101</v>
      </c>
      <c r="O1152" t="s">
        <v>52</v>
      </c>
      <c r="P1152" t="s">
        <v>3013</v>
      </c>
      <c r="Q1152">
        <v>1</v>
      </c>
      <c r="R1152" s="1">
        <v>45123</v>
      </c>
      <c r="S1152" s="1">
        <v>45121</v>
      </c>
      <c r="T1152" s="3" t="s">
        <v>54</v>
      </c>
      <c r="U1152" t="s">
        <v>55</v>
      </c>
      <c r="W1152" s="1">
        <v>45180</v>
      </c>
      <c r="Z1152">
        <f>MONTH(S1152)</f>
        <v>7</v>
      </c>
      <c r="AA1152" s="7">
        <f>INT((S1152-DATE(YEAR(S1152-WEEKDAY(S1152-0)+4),1,4)+WEEKDAY(DATE(YEAR(S1152-WEEKDAY(S1152-0)+4),1,4))+6)/7)</f>
        <v>28</v>
      </c>
      <c r="AB1152" t="s">
        <v>3014</v>
      </c>
      <c r="AG1152" s="7">
        <v>2023</v>
      </c>
      <c r="AH1152" t="s">
        <v>223</v>
      </c>
      <c r="AK1152" t="s">
        <v>2481</v>
      </c>
      <c r="AL1152" s="3" t="s">
        <v>59</v>
      </c>
    </row>
    <row r="1153" spans="1:44" ht="30" customHeight="1">
      <c r="A1153" s="3" t="s">
        <v>44</v>
      </c>
      <c r="B1153" s="3" t="s">
        <v>45</v>
      </c>
      <c r="G1153">
        <v>29679</v>
      </c>
      <c r="H1153" s="5">
        <f>IF(DATEDIF(L1153,S1153,"m")&gt;12,DATEDIF(L1153,S1153,"y"),(DATEDIF(L1153,S1153,"m")/12))</f>
        <v>0.5</v>
      </c>
      <c r="I1153" s="7">
        <f>DATEDIF(L1153,S1153,"M")</f>
        <v>6</v>
      </c>
      <c r="J1153" s="7">
        <f>DATEDIF(L1153,S1153,"D")</f>
        <v>208</v>
      </c>
      <c r="K1153" t="s">
        <v>51</v>
      </c>
      <c r="L1153" s="1">
        <v>44931</v>
      </c>
      <c r="M1153" s="17" t="s">
        <v>45</v>
      </c>
      <c r="N1153" t="s">
        <v>329</v>
      </c>
      <c r="O1153" s="12" t="s">
        <v>52</v>
      </c>
      <c r="P1153" t="s">
        <v>2620</v>
      </c>
      <c r="Q1153">
        <v>1</v>
      </c>
      <c r="R1153" s="1">
        <v>45141</v>
      </c>
      <c r="S1153" s="1">
        <v>45139</v>
      </c>
      <c r="T1153" s="3" t="s">
        <v>54</v>
      </c>
      <c r="U1153" t="s">
        <v>55</v>
      </c>
      <c r="W1153" s="1">
        <v>45180</v>
      </c>
      <c r="Z1153">
        <f>MONTH(S1153)</f>
        <v>8</v>
      </c>
      <c r="AA1153" s="7">
        <f>INT((S1153-DATE(YEAR(S1153-WEEKDAY(S1153-0)+4),1,4)+WEEKDAY(DATE(YEAR(S1153-WEEKDAY(S1153-0)+4),1,4))+6)/7)</f>
        <v>31</v>
      </c>
      <c r="AB1153" t="s">
        <v>3015</v>
      </c>
      <c r="AG1153" s="7">
        <v>2023</v>
      </c>
      <c r="AH1153" t="s">
        <v>223</v>
      </c>
      <c r="AK1153" t="s">
        <v>3016</v>
      </c>
      <c r="AL1153" s="3" t="s">
        <v>59</v>
      </c>
    </row>
    <row r="1154" spans="1:44" ht="30" customHeight="1">
      <c r="A1154" s="3" t="s">
        <v>44</v>
      </c>
      <c r="B1154" s="3" t="s">
        <v>45</v>
      </c>
      <c r="C1154" s="26" t="s">
        <v>46</v>
      </c>
      <c r="D1154" s="26" t="s">
        <v>108</v>
      </c>
      <c r="E1154" s="26" t="s">
        <v>48</v>
      </c>
      <c r="F1154" s="26" t="s">
        <v>108</v>
      </c>
      <c r="G1154" s="26" t="s">
        <v>873</v>
      </c>
      <c r="H1154" s="5">
        <f>IF(DATEDIF(L1154,S1154,"m")&gt;12,DATEDIF(L1154,S1154,"y"),(DATEDIF(L1154,S1154,"m")/12))</f>
        <v>8.3333333333333329E-2</v>
      </c>
      <c r="I1154" s="7">
        <f>DATEDIF(L1154,S1154,"M")</f>
        <v>1</v>
      </c>
      <c r="J1154" s="7">
        <f>DATEDIF(L1154,S1154,"D")</f>
        <v>40</v>
      </c>
      <c r="K1154" s="26" t="s">
        <v>64</v>
      </c>
      <c r="L1154" s="27">
        <v>44992</v>
      </c>
      <c r="M1154" s="26" t="s">
        <v>45</v>
      </c>
      <c r="N1154" s="26" t="s">
        <v>73</v>
      </c>
      <c r="O1154" s="26" t="s">
        <v>52</v>
      </c>
      <c r="P1154" s="26" t="s">
        <v>579</v>
      </c>
      <c r="Q1154" s="28">
        <v>0</v>
      </c>
      <c r="R1154" s="27">
        <v>45033</v>
      </c>
      <c r="S1154" s="27">
        <v>45032</v>
      </c>
      <c r="T1154" s="3" t="s">
        <v>54</v>
      </c>
      <c r="U1154" s="26" t="s">
        <v>55</v>
      </c>
      <c r="V1154" s="9"/>
      <c r="W1154" s="30">
        <v>45036</v>
      </c>
      <c r="X1154" s="28">
        <v>3</v>
      </c>
      <c r="Y1154" s="28">
        <v>1</v>
      </c>
      <c r="Z1154" s="28">
        <v>4</v>
      </c>
      <c r="AA1154" s="7">
        <f>INT((S1154-DATE(YEAR(S1154-WEEKDAY(S1154-0)+4),1,4)+WEEKDAY(DATE(YEAR(S1154-WEEKDAY(S1154-0)+4),1,4))+6)/7)</f>
        <v>16</v>
      </c>
      <c r="AB1154" s="26" t="s">
        <v>1491</v>
      </c>
      <c r="AC1154" s="28">
        <v>483</v>
      </c>
      <c r="AD1154" s="28">
        <v>0</v>
      </c>
      <c r="AE1154" s="28">
        <v>0</v>
      </c>
      <c r="AF1154" s="26" t="s">
        <v>48</v>
      </c>
      <c r="AG1154" s="7">
        <v>2023</v>
      </c>
      <c r="AH1154" s="26" t="s">
        <v>112</v>
      </c>
      <c r="AI1154" s="26" t="s">
        <v>48</v>
      </c>
      <c r="AJ1154" s="26" t="s">
        <v>48</v>
      </c>
      <c r="AK1154" s="26" t="s">
        <v>235</v>
      </c>
      <c r="AL1154" s="3" t="s">
        <v>59</v>
      </c>
      <c r="AM1154" s="26" t="s">
        <v>115</v>
      </c>
      <c r="AN1154" s="26" t="s">
        <v>61</v>
      </c>
      <c r="AO1154" s="26" t="s">
        <v>62</v>
      </c>
      <c r="AP1154" s="26" t="s">
        <v>61</v>
      </c>
      <c r="AQ1154" s="26" t="s">
        <v>69</v>
      </c>
      <c r="AR1154" s="26" t="s">
        <v>48</v>
      </c>
    </row>
    <row r="1155" spans="1:44" ht="30" customHeight="1">
      <c r="A1155" s="3" t="s">
        <v>44</v>
      </c>
      <c r="B1155" s="3" t="s">
        <v>45</v>
      </c>
      <c r="G1155">
        <v>29843</v>
      </c>
      <c r="H1155" s="4">
        <f>IF(DATEDIF(L1155,S1155,"m")&gt;12,DATEDIF(L1155,S1155,"y"),(DATEDIF(L1155,S1155,"m")/12))</f>
        <v>5</v>
      </c>
      <c r="I1155" s="7">
        <f>DATEDIF(L1155,S1155,"M")</f>
        <v>63</v>
      </c>
      <c r="J1155" s="7">
        <f>DATEDIF(L1155,S1155,"D")</f>
        <v>1932</v>
      </c>
      <c r="K1155" t="s">
        <v>64</v>
      </c>
      <c r="L1155" s="1">
        <v>43215</v>
      </c>
      <c r="M1155" s="17" t="s">
        <v>45</v>
      </c>
      <c r="N1155" t="s">
        <v>101</v>
      </c>
      <c r="O1155" t="s">
        <v>52</v>
      </c>
      <c r="P1155" t="s">
        <v>2463</v>
      </c>
      <c r="Q1155">
        <v>1</v>
      </c>
      <c r="R1155" s="1">
        <v>45149</v>
      </c>
      <c r="S1155" s="1">
        <v>45147</v>
      </c>
      <c r="T1155" s="3" t="s">
        <v>54</v>
      </c>
      <c r="U1155" t="s">
        <v>55</v>
      </c>
      <c r="W1155" s="1">
        <v>45180</v>
      </c>
      <c r="Z1155">
        <f>MONTH(S1155)</f>
        <v>8</v>
      </c>
      <c r="AA1155" s="7">
        <f>INT((S1155-DATE(YEAR(S1155-WEEKDAY(S1155-0)+4),1,4)+WEEKDAY(DATE(YEAR(S1155-WEEKDAY(S1155-0)+4),1,4))+6)/7)</f>
        <v>32</v>
      </c>
      <c r="AB1155" t="s">
        <v>3019</v>
      </c>
      <c r="AG1155" s="7">
        <v>2023</v>
      </c>
      <c r="AH1155" t="s">
        <v>223</v>
      </c>
      <c r="AK1155" t="s">
        <v>2608</v>
      </c>
      <c r="AL1155" s="3" t="s">
        <v>59</v>
      </c>
    </row>
    <row r="1156" spans="1:44" ht="30" customHeight="1">
      <c r="A1156" s="3" t="s">
        <v>44</v>
      </c>
      <c r="B1156" s="3" t="s">
        <v>45</v>
      </c>
      <c r="G1156">
        <v>142327</v>
      </c>
      <c r="H1156" s="5">
        <f>IF(DATEDIF(L1156,S1156,"m")&gt;12,DATEDIF(L1156,S1156,"y"),(DATEDIF(L1156,S1156,"m")/12))</f>
        <v>0.83333333333333337</v>
      </c>
      <c r="I1156" s="7">
        <f>DATEDIF(L1156,S1156,"M")</f>
        <v>10</v>
      </c>
      <c r="J1156" s="7">
        <f>DATEDIF(L1156,S1156,"D")</f>
        <v>311</v>
      </c>
      <c r="K1156" t="s">
        <v>51</v>
      </c>
      <c r="L1156" s="1">
        <v>44866</v>
      </c>
      <c r="M1156" s="17" t="s">
        <v>45</v>
      </c>
      <c r="N1156" t="s">
        <v>65</v>
      </c>
      <c r="O1156" t="s">
        <v>52</v>
      </c>
      <c r="P1156" t="s">
        <v>3026</v>
      </c>
      <c r="Q1156">
        <v>1</v>
      </c>
      <c r="R1156" s="1">
        <v>45178</v>
      </c>
      <c r="S1156" s="1">
        <v>45177</v>
      </c>
      <c r="T1156" s="3" t="s">
        <v>464</v>
      </c>
      <c r="U1156" t="s">
        <v>55</v>
      </c>
      <c r="W1156" s="1">
        <v>45180</v>
      </c>
      <c r="Z1156">
        <f>MONTH(S1156)</f>
        <v>9</v>
      </c>
      <c r="AA1156" s="7">
        <f>INT((S1156-DATE(YEAR(S1156-WEEKDAY(S1156-0)+4),1,4)+WEEKDAY(DATE(YEAR(S1156-WEEKDAY(S1156-0)+4),1,4))+6)/7)</f>
        <v>36</v>
      </c>
      <c r="AB1156" t="s">
        <v>3027</v>
      </c>
      <c r="AG1156" s="7">
        <v>2023</v>
      </c>
      <c r="AH1156" t="s">
        <v>732</v>
      </c>
      <c r="AK1156" t="s">
        <v>3028</v>
      </c>
      <c r="AL1156" s="3" t="s">
        <v>59</v>
      </c>
    </row>
    <row r="1157" spans="1:44" ht="30" customHeight="1">
      <c r="A1157" s="3" t="s">
        <v>44</v>
      </c>
      <c r="B1157" s="3" t="s">
        <v>45</v>
      </c>
      <c r="G1157">
        <v>29972</v>
      </c>
      <c r="H1157" s="4">
        <f>IF(DATEDIF(L1157,S1157,"m")&gt;12,DATEDIF(L1157,S1157,"y"),(DATEDIF(L1157,S1157,"m")/12))</f>
        <v>1</v>
      </c>
      <c r="I1157" s="7">
        <f>DATEDIF(L1157,S1157,"M")</f>
        <v>14</v>
      </c>
      <c r="J1157" s="7">
        <f>DATEDIF(L1157,S1157,"D")</f>
        <v>448</v>
      </c>
      <c r="K1157" t="s">
        <v>51</v>
      </c>
      <c r="L1157" s="1">
        <v>44705</v>
      </c>
      <c r="M1157" s="17" t="s">
        <v>45</v>
      </c>
      <c r="N1157" t="s">
        <v>164</v>
      </c>
      <c r="O1157" t="s">
        <v>52</v>
      </c>
      <c r="P1157" t="s">
        <v>2579</v>
      </c>
      <c r="Q1157">
        <v>1</v>
      </c>
      <c r="R1157" s="1">
        <v>45155</v>
      </c>
      <c r="S1157" s="1">
        <v>45153</v>
      </c>
      <c r="T1157" s="3" t="s">
        <v>54</v>
      </c>
      <c r="U1157" t="s">
        <v>55</v>
      </c>
      <c r="W1157" s="1">
        <v>45180</v>
      </c>
      <c r="Z1157">
        <f>MONTH(S1157)</f>
        <v>8</v>
      </c>
      <c r="AA1157" s="7">
        <f>INT((S1157-DATE(YEAR(S1157-WEEKDAY(S1157-0)+4),1,4)+WEEKDAY(DATE(YEAR(S1157-WEEKDAY(S1157-0)+4),1,4))+6)/7)</f>
        <v>33</v>
      </c>
      <c r="AB1157" t="s">
        <v>3029</v>
      </c>
      <c r="AG1157" s="7">
        <v>2023</v>
      </c>
      <c r="AH1157" t="s">
        <v>223</v>
      </c>
      <c r="AK1157" t="s">
        <v>3030</v>
      </c>
      <c r="AL1157" s="3" t="s">
        <v>59</v>
      </c>
    </row>
    <row r="1158" spans="1:44" ht="30" customHeight="1">
      <c r="A1158" s="3" t="s">
        <v>44</v>
      </c>
      <c r="B1158" s="3" t="s">
        <v>45</v>
      </c>
      <c r="G1158">
        <v>29708</v>
      </c>
      <c r="H1158" s="4">
        <f>IF(DATEDIF(L1158,S1158,"m")&gt;12,DATEDIF(L1158,S1158,"y"),(DATEDIF(L1158,S1158,"m")/12))</f>
        <v>7</v>
      </c>
      <c r="I1158" s="7">
        <f>DATEDIF(L1158,S1158,"M")</f>
        <v>95</v>
      </c>
      <c r="J1158" s="7">
        <f>DATEDIF(L1158,S1158,"D")</f>
        <v>2902</v>
      </c>
      <c r="K1158" t="s">
        <v>51</v>
      </c>
      <c r="L1158" s="1">
        <v>42238</v>
      </c>
      <c r="M1158" s="17" t="s">
        <v>45</v>
      </c>
      <c r="N1158" t="s">
        <v>203</v>
      </c>
      <c r="O1158" t="s">
        <v>52</v>
      </c>
      <c r="P1158" t="s">
        <v>2598</v>
      </c>
      <c r="Q1158">
        <v>1</v>
      </c>
      <c r="R1158" s="1">
        <v>45142</v>
      </c>
      <c r="S1158" s="1">
        <v>45140</v>
      </c>
      <c r="T1158" s="3" t="s">
        <v>54</v>
      </c>
      <c r="U1158" t="s">
        <v>55</v>
      </c>
      <c r="W1158" s="1">
        <v>45180</v>
      </c>
      <c r="Z1158">
        <f>MONTH(S1158)</f>
        <v>8</v>
      </c>
      <c r="AA1158" s="7">
        <f>INT((S1158-DATE(YEAR(S1158-WEEKDAY(S1158-0)+4),1,4)+WEEKDAY(DATE(YEAR(S1158-WEEKDAY(S1158-0)+4),1,4))+6)/7)</f>
        <v>31</v>
      </c>
      <c r="AB1158" t="s">
        <v>3035</v>
      </c>
      <c r="AG1158" s="7">
        <v>2023</v>
      </c>
      <c r="AH1158" t="s">
        <v>223</v>
      </c>
      <c r="AK1158" t="s">
        <v>327</v>
      </c>
      <c r="AL1158" s="3" t="s">
        <v>59</v>
      </c>
    </row>
    <row r="1159" spans="1:44" ht="30" customHeight="1">
      <c r="A1159" s="3" t="s">
        <v>44</v>
      </c>
      <c r="B1159" s="3" t="s">
        <v>45</v>
      </c>
      <c r="G1159">
        <v>17716</v>
      </c>
      <c r="H1159" s="4">
        <f>IF(DATEDIF(L1159,S1159,"m")&gt;12,DATEDIF(L1159,S1159,"y"),(DATEDIF(L1159,S1159,"m")/12))</f>
        <v>27</v>
      </c>
      <c r="I1159" s="7">
        <f>DATEDIF(L1159,S1159,"M")</f>
        <v>327</v>
      </c>
      <c r="J1159" s="7">
        <f>DATEDIF(L1159,S1159,"D")</f>
        <v>9983</v>
      </c>
      <c r="K1159" t="s">
        <v>64</v>
      </c>
      <c r="L1159" s="1">
        <v>35196</v>
      </c>
      <c r="M1159" s="17" t="s">
        <v>45</v>
      </c>
      <c r="N1159" t="s">
        <v>101</v>
      </c>
      <c r="O1159" t="s">
        <v>52</v>
      </c>
      <c r="P1159" t="s">
        <v>2518</v>
      </c>
      <c r="Q1159">
        <v>0</v>
      </c>
      <c r="R1159" s="1">
        <v>45180</v>
      </c>
      <c r="S1159" s="1">
        <v>45179</v>
      </c>
      <c r="T1159" s="3" t="s">
        <v>54</v>
      </c>
      <c r="U1159" t="s">
        <v>55</v>
      </c>
      <c r="W1159" s="1">
        <v>45180</v>
      </c>
      <c r="Z1159">
        <f>MONTH(S1159)</f>
        <v>9</v>
      </c>
      <c r="AA1159" s="7">
        <f>INT((S1159-DATE(YEAR(S1159-WEEKDAY(S1159-0)+4),1,4)+WEEKDAY(DATE(YEAR(S1159-WEEKDAY(S1159-0)+4),1,4))+6)/7)</f>
        <v>37</v>
      </c>
      <c r="AB1159" t="s">
        <v>3044</v>
      </c>
      <c r="AG1159" s="7">
        <v>2023</v>
      </c>
      <c r="AH1159" t="s">
        <v>223</v>
      </c>
      <c r="AK1159" t="s">
        <v>2536</v>
      </c>
      <c r="AL1159" s="3" t="s">
        <v>59</v>
      </c>
    </row>
    <row r="1160" spans="1:44" ht="30" customHeight="1">
      <c r="A1160" s="3" t="s">
        <v>44</v>
      </c>
      <c r="B1160" s="3" t="s">
        <v>45</v>
      </c>
      <c r="G1160">
        <v>29984</v>
      </c>
      <c r="H1160" s="4">
        <f>IF(DATEDIF(L1160,S1160,"m")&gt;12,DATEDIF(L1160,S1160,"y"),(DATEDIF(L1160,S1160,"m")/12))</f>
        <v>4</v>
      </c>
      <c r="I1160" s="7">
        <f>DATEDIF(L1160,S1160,"M")</f>
        <v>49</v>
      </c>
      <c r="J1160" s="7">
        <f>DATEDIF(L1160,S1160,"D")</f>
        <v>1518</v>
      </c>
      <c r="K1160" t="s">
        <v>51</v>
      </c>
      <c r="L1160" s="1">
        <v>43636</v>
      </c>
      <c r="M1160" s="17" t="s">
        <v>45</v>
      </c>
      <c r="N1160" t="s">
        <v>101</v>
      </c>
      <c r="O1160" t="s">
        <v>52</v>
      </c>
      <c r="P1160" t="s">
        <v>2513</v>
      </c>
      <c r="Q1160">
        <v>1</v>
      </c>
      <c r="R1160" s="1">
        <v>45156</v>
      </c>
      <c r="S1160" s="1">
        <v>45154</v>
      </c>
      <c r="T1160" s="3" t="s">
        <v>54</v>
      </c>
      <c r="U1160" t="s">
        <v>55</v>
      </c>
      <c r="W1160" s="1">
        <v>45180</v>
      </c>
      <c r="Z1160">
        <f>MONTH(S1160)</f>
        <v>8</v>
      </c>
      <c r="AA1160" s="7">
        <f>INT((S1160-DATE(YEAR(S1160-WEEKDAY(S1160-0)+4),1,4)+WEEKDAY(DATE(YEAR(S1160-WEEKDAY(S1160-0)+4),1,4))+6)/7)</f>
        <v>33</v>
      </c>
      <c r="AB1160" t="s">
        <v>3045</v>
      </c>
      <c r="AG1160" s="7">
        <v>2023</v>
      </c>
      <c r="AH1160" t="s">
        <v>223</v>
      </c>
      <c r="AK1160" t="s">
        <v>2451</v>
      </c>
      <c r="AL1160" s="3" t="s">
        <v>59</v>
      </c>
    </row>
    <row r="1161" spans="1:44" ht="30" customHeight="1">
      <c r="A1161" s="3" t="s">
        <v>44</v>
      </c>
      <c r="B1161" s="3" t="s">
        <v>45</v>
      </c>
      <c r="G1161">
        <v>3737</v>
      </c>
      <c r="H1161" s="4">
        <f>IF(DATEDIF(L1161,S1161,"m")&gt;12,DATEDIF(L1161,S1161,"y"),(DATEDIF(L1161,S1161,"m")/12))</f>
        <v>5</v>
      </c>
      <c r="I1161" s="7">
        <f>DATEDIF(L1161,S1161,"M")</f>
        <v>71</v>
      </c>
      <c r="J1161" s="7">
        <f>DATEDIF(L1161,S1161,"D")</f>
        <v>2175</v>
      </c>
      <c r="K1161" t="s">
        <v>64</v>
      </c>
      <c r="L1161" s="1">
        <v>42964</v>
      </c>
      <c r="M1161" s="17" t="s">
        <v>45</v>
      </c>
      <c r="N1161" t="s">
        <v>101</v>
      </c>
      <c r="O1161" t="s">
        <v>52</v>
      </c>
      <c r="P1161" t="s">
        <v>2579</v>
      </c>
      <c r="Q1161">
        <v>1</v>
      </c>
      <c r="R1161" s="1">
        <v>45141</v>
      </c>
      <c r="S1161" s="1">
        <v>45139</v>
      </c>
      <c r="T1161" s="3" t="s">
        <v>54</v>
      </c>
      <c r="U1161" t="s">
        <v>55</v>
      </c>
      <c r="W1161" s="1">
        <v>45180</v>
      </c>
      <c r="Z1161">
        <f>MONTH(S1161)</f>
        <v>8</v>
      </c>
      <c r="AA1161" s="7">
        <f>INT((S1161-DATE(YEAR(S1161-WEEKDAY(S1161-0)+4),1,4)+WEEKDAY(DATE(YEAR(S1161-WEEKDAY(S1161-0)+4),1,4))+6)/7)</f>
        <v>31</v>
      </c>
      <c r="AB1161" t="s">
        <v>3054</v>
      </c>
      <c r="AG1161" s="7">
        <v>2023</v>
      </c>
      <c r="AH1161" t="s">
        <v>223</v>
      </c>
      <c r="AK1161" t="s">
        <v>2532</v>
      </c>
      <c r="AL1161" s="3" t="s">
        <v>59</v>
      </c>
    </row>
    <row r="1162" spans="1:44" ht="30" customHeight="1">
      <c r="A1162" s="3" t="s">
        <v>44</v>
      </c>
      <c r="B1162" s="3" t="s">
        <v>45</v>
      </c>
      <c r="G1162">
        <v>4219</v>
      </c>
      <c r="H1162" s="4">
        <f>IF(DATEDIF(L1162,S1162,"m")&gt;12,DATEDIF(L1162,S1162,"y"),(DATEDIF(L1162,S1162,"m")/12))</f>
        <v>8</v>
      </c>
      <c r="I1162" s="7">
        <f>DATEDIF(L1162,S1162,"M")</f>
        <v>101</v>
      </c>
      <c r="J1162" s="7">
        <f>DATEDIF(L1162,S1162,"D")</f>
        <v>3076</v>
      </c>
      <c r="K1162" t="s">
        <v>64</v>
      </c>
      <c r="L1162" s="1">
        <v>42093</v>
      </c>
      <c r="M1162" s="17" t="s">
        <v>45</v>
      </c>
      <c r="N1162" t="s">
        <v>101</v>
      </c>
      <c r="O1162" t="s">
        <v>52</v>
      </c>
      <c r="Q1162">
        <v>1</v>
      </c>
      <c r="R1162" s="1">
        <v>45171</v>
      </c>
      <c r="S1162" s="1">
        <v>45169</v>
      </c>
      <c r="T1162" s="3" t="s">
        <v>54</v>
      </c>
      <c r="U1162" t="s">
        <v>55</v>
      </c>
      <c r="W1162" s="1">
        <v>45180</v>
      </c>
      <c r="Z1162">
        <f>MONTH(S1162)</f>
        <v>8</v>
      </c>
      <c r="AA1162" s="7">
        <f>INT((S1162-DATE(YEAR(S1162-WEEKDAY(S1162-0)+4),1,4)+WEEKDAY(DATE(YEAR(S1162-WEEKDAY(S1162-0)+4),1,4))+6)/7)</f>
        <v>35</v>
      </c>
      <c r="AB1162" t="s">
        <v>3055</v>
      </c>
      <c r="AG1162" s="7">
        <v>2023</v>
      </c>
      <c r="AH1162" t="s">
        <v>223</v>
      </c>
      <c r="AK1162" t="s">
        <v>2481</v>
      </c>
      <c r="AL1162" s="3" t="s">
        <v>59</v>
      </c>
    </row>
    <row r="1163" spans="1:44" ht="30" customHeight="1">
      <c r="A1163" s="3" t="s">
        <v>44</v>
      </c>
      <c r="B1163" s="3" t="s">
        <v>45</v>
      </c>
      <c r="G1163">
        <v>7469</v>
      </c>
      <c r="H1163" s="4">
        <f>IF(DATEDIF(L1163,S1163,"m")&gt;12,DATEDIF(L1163,S1163,"y"),(DATEDIF(L1163,S1163,"m")/12))</f>
        <v>3</v>
      </c>
      <c r="I1163" s="7">
        <f>DATEDIF(L1163,S1163,"M")</f>
        <v>47</v>
      </c>
      <c r="J1163" s="7">
        <f>DATEDIF(L1163,S1163,"D")</f>
        <v>1434</v>
      </c>
      <c r="K1163" t="s">
        <v>51</v>
      </c>
      <c r="L1163" s="1">
        <v>43719</v>
      </c>
      <c r="M1163" s="17" t="s">
        <v>45</v>
      </c>
      <c r="N1163" t="s">
        <v>65</v>
      </c>
      <c r="O1163" t="s">
        <v>52</v>
      </c>
      <c r="P1163" t="s">
        <v>2527</v>
      </c>
      <c r="Q1163">
        <v>1</v>
      </c>
      <c r="R1163" s="1">
        <v>45155</v>
      </c>
      <c r="S1163" s="1">
        <v>45153</v>
      </c>
      <c r="T1163" s="3" t="s">
        <v>54</v>
      </c>
      <c r="U1163" t="s">
        <v>55</v>
      </c>
      <c r="W1163" s="1">
        <v>45180</v>
      </c>
      <c r="Z1163">
        <f>MONTH(S1163)</f>
        <v>8</v>
      </c>
      <c r="AA1163" s="7">
        <f>INT((S1163-DATE(YEAR(S1163-WEEKDAY(S1163-0)+4),1,4)+WEEKDAY(DATE(YEAR(S1163-WEEKDAY(S1163-0)+4),1,4))+6)/7)</f>
        <v>33</v>
      </c>
      <c r="AB1163" t="s">
        <v>3064</v>
      </c>
      <c r="AG1163" s="7">
        <v>2023</v>
      </c>
      <c r="AH1163" t="s">
        <v>223</v>
      </c>
      <c r="AK1163" t="s">
        <v>2545</v>
      </c>
      <c r="AL1163" s="3" t="s">
        <v>59</v>
      </c>
    </row>
    <row r="1164" spans="1:44" ht="30" customHeight="1">
      <c r="A1164" s="3" t="s">
        <v>44</v>
      </c>
      <c r="B1164" s="3" t="s">
        <v>45</v>
      </c>
      <c r="G1164">
        <v>8338</v>
      </c>
      <c r="H1164" s="4">
        <f>IF(DATEDIF(L1164,S1164,"m")&gt;12,DATEDIF(L1164,S1164,"y"),(DATEDIF(L1164,S1164,"m")/12))</f>
        <v>28</v>
      </c>
      <c r="I1164" s="7">
        <f>DATEDIF(L1164,S1164,"M")</f>
        <v>344</v>
      </c>
      <c r="J1164" s="7">
        <f>DATEDIF(L1164,S1164,"D")</f>
        <v>10477</v>
      </c>
      <c r="K1164" t="s">
        <v>64</v>
      </c>
      <c r="L1164" s="1">
        <v>34691</v>
      </c>
      <c r="M1164" s="17" t="s">
        <v>45</v>
      </c>
      <c r="N1164" t="s">
        <v>101</v>
      </c>
      <c r="O1164" t="s">
        <v>52</v>
      </c>
      <c r="Q1164">
        <v>1</v>
      </c>
      <c r="R1164" s="1">
        <v>45170</v>
      </c>
      <c r="S1164" s="1">
        <v>45168</v>
      </c>
      <c r="T1164" s="3" t="s">
        <v>54</v>
      </c>
      <c r="U1164" t="s">
        <v>55</v>
      </c>
      <c r="W1164" s="1">
        <v>45180</v>
      </c>
      <c r="Z1164">
        <f>MONTH(S1164)</f>
        <v>8</v>
      </c>
      <c r="AA1164" s="7">
        <f>INT((S1164-DATE(YEAR(S1164-WEEKDAY(S1164-0)+4),1,4)+WEEKDAY(DATE(YEAR(S1164-WEEKDAY(S1164-0)+4),1,4))+6)/7)</f>
        <v>35</v>
      </c>
      <c r="AB1164" t="s">
        <v>3065</v>
      </c>
      <c r="AG1164" s="7">
        <v>2023</v>
      </c>
      <c r="AH1164" t="s">
        <v>223</v>
      </c>
      <c r="AK1164" t="s">
        <v>2481</v>
      </c>
      <c r="AL1164" s="3" t="s">
        <v>59</v>
      </c>
    </row>
    <row r="1165" spans="1:44" ht="30" customHeight="1">
      <c r="A1165" s="3" t="s">
        <v>44</v>
      </c>
      <c r="B1165" s="3" t="s">
        <v>45</v>
      </c>
      <c r="G1165" t="s">
        <v>839</v>
      </c>
      <c r="H1165" s="5">
        <f>IF(DATEDIF(L1165,S1165,"m")&gt;12,DATEDIF(L1165,S1165,"y"),(DATEDIF(L1165,S1165,"m")/12))</f>
        <v>0.16666666666666666</v>
      </c>
      <c r="I1165" s="7">
        <f>DATEDIF(L1165,S1165,"M")</f>
        <v>2</v>
      </c>
      <c r="J1165" s="7">
        <f>DATEDIF(L1165,S1165,"D")</f>
        <v>74</v>
      </c>
      <c r="K1165" t="s">
        <v>51</v>
      </c>
      <c r="L1165" s="1">
        <v>45095</v>
      </c>
      <c r="M1165" s="17" t="s">
        <v>45</v>
      </c>
      <c r="N1165" t="s">
        <v>83</v>
      </c>
      <c r="O1165" t="s">
        <v>52</v>
      </c>
      <c r="P1165" t="s">
        <v>840</v>
      </c>
      <c r="Q1165">
        <v>0</v>
      </c>
      <c r="R1165" s="1">
        <v>45173</v>
      </c>
      <c r="S1165" s="1">
        <v>45169</v>
      </c>
      <c r="T1165" s="3" t="s">
        <v>54</v>
      </c>
      <c r="U1165" t="s">
        <v>55</v>
      </c>
      <c r="W1165" s="1">
        <v>45181</v>
      </c>
      <c r="Z1165">
        <f>MONTH(S1165)</f>
        <v>8</v>
      </c>
      <c r="AA1165" s="7">
        <f>INT((S1165-DATE(YEAR(S1165-WEEKDAY(S1165-0)+4),1,4)+WEEKDAY(DATE(YEAR(S1165-WEEKDAY(S1165-0)+4),1,4))+6)/7)</f>
        <v>35</v>
      </c>
      <c r="AB1165" t="s">
        <v>841</v>
      </c>
      <c r="AG1165" s="7">
        <v>2023</v>
      </c>
      <c r="AH1165" t="s">
        <v>482</v>
      </c>
      <c r="AK1165" t="s">
        <v>140</v>
      </c>
      <c r="AL1165" s="3" t="s">
        <v>59</v>
      </c>
    </row>
    <row r="1166" spans="1:44" ht="30" customHeight="1">
      <c r="A1166" s="3" t="s">
        <v>44</v>
      </c>
      <c r="B1166" s="3" t="s">
        <v>45</v>
      </c>
      <c r="G1166" t="s">
        <v>2526</v>
      </c>
      <c r="H1166" s="4">
        <f>IF(DATEDIF(L1166,S1166,"m")&gt;12,DATEDIF(L1166,S1166,"y"),(DATEDIF(L1166,S1166,"m")/12))</f>
        <v>60</v>
      </c>
      <c r="I1166" s="7">
        <f>DATEDIF(L1166,S1166,"M")</f>
        <v>723</v>
      </c>
      <c r="J1166" s="7">
        <f>DATEDIF(L1166,S1166,"D")</f>
        <v>22007</v>
      </c>
      <c r="K1166" t="s">
        <v>64</v>
      </c>
      <c r="L1166" s="1">
        <v>23164</v>
      </c>
      <c r="M1166" s="17" t="s">
        <v>45</v>
      </c>
      <c r="N1166" t="s">
        <v>83</v>
      </c>
      <c r="O1166" t="s">
        <v>52</v>
      </c>
      <c r="P1166" t="s">
        <v>2527</v>
      </c>
      <c r="Q1166">
        <v>0</v>
      </c>
      <c r="R1166" s="1">
        <v>45174</v>
      </c>
      <c r="S1166" s="1">
        <v>45171</v>
      </c>
      <c r="T1166" s="3" t="s">
        <v>54</v>
      </c>
      <c r="U1166" t="s">
        <v>55</v>
      </c>
      <c r="W1166" s="1">
        <v>45181</v>
      </c>
      <c r="Z1166">
        <f>MONTH(S1166)</f>
        <v>9</v>
      </c>
      <c r="AA1166" s="7">
        <f>INT((S1166-DATE(YEAR(S1166-WEEKDAY(S1166-0)+4),1,4)+WEEKDAY(DATE(YEAR(S1166-WEEKDAY(S1166-0)+4),1,4))+6)/7)</f>
        <v>35</v>
      </c>
      <c r="AB1166" t="s">
        <v>2528</v>
      </c>
      <c r="AG1166" s="7">
        <v>2023</v>
      </c>
      <c r="AH1166" t="s">
        <v>482</v>
      </c>
      <c r="AK1166" t="s">
        <v>2498</v>
      </c>
      <c r="AL1166" s="3" t="s">
        <v>59</v>
      </c>
    </row>
    <row r="1167" spans="1:44" ht="30" customHeight="1">
      <c r="A1167" s="3" t="s">
        <v>44</v>
      </c>
      <c r="B1167" s="3" t="s">
        <v>45</v>
      </c>
      <c r="G1167" t="s">
        <v>3001</v>
      </c>
      <c r="H1167" s="4">
        <f>IF(DATEDIF(L1167,S1167,"m")&gt;12,DATEDIF(L1167,S1167,"y"),(DATEDIF(L1167,S1167,"m")/12))</f>
        <v>2</v>
      </c>
      <c r="I1167" s="7">
        <f>DATEDIF(L1167,S1167,"M")</f>
        <v>24</v>
      </c>
      <c r="J1167" s="7">
        <f>DATEDIF(L1167,S1167,"D")</f>
        <v>737</v>
      </c>
      <c r="K1167" t="s">
        <v>51</v>
      </c>
      <c r="L1167" s="1">
        <v>44437</v>
      </c>
      <c r="M1167" s="17" t="s">
        <v>45</v>
      </c>
      <c r="N1167" t="s">
        <v>83</v>
      </c>
      <c r="O1167" t="s">
        <v>52</v>
      </c>
      <c r="P1167" t="s">
        <v>2472</v>
      </c>
      <c r="Q1167">
        <v>0</v>
      </c>
      <c r="R1167" s="1">
        <v>45175</v>
      </c>
      <c r="S1167" s="1">
        <v>45174</v>
      </c>
      <c r="T1167" s="3" t="s">
        <v>54</v>
      </c>
      <c r="U1167" t="s">
        <v>55</v>
      </c>
      <c r="W1167" s="1">
        <v>45181</v>
      </c>
      <c r="Z1167">
        <f>MONTH(S1167)</f>
        <v>9</v>
      </c>
      <c r="AA1167" s="7">
        <f>INT((S1167-DATE(YEAR(S1167-WEEKDAY(S1167-0)+4),1,4)+WEEKDAY(DATE(YEAR(S1167-WEEKDAY(S1167-0)+4),1,4))+6)/7)</f>
        <v>36</v>
      </c>
      <c r="AB1167" t="s">
        <v>3002</v>
      </c>
      <c r="AG1167" s="7">
        <v>2023</v>
      </c>
      <c r="AH1167" t="s">
        <v>482</v>
      </c>
      <c r="AK1167" t="s">
        <v>3003</v>
      </c>
      <c r="AL1167" s="3" t="s">
        <v>59</v>
      </c>
    </row>
    <row r="1168" spans="1:44" ht="30" customHeight="1">
      <c r="A1168" s="3" t="s">
        <v>44</v>
      </c>
      <c r="B1168" s="3" t="s">
        <v>45</v>
      </c>
      <c r="G1168" t="s">
        <v>3004</v>
      </c>
      <c r="H1168" s="5">
        <f>IF(DATEDIF(L1168,S1168,"m")&gt;12,DATEDIF(L1168,S1168,"y"),(DATEDIF(L1168,S1168,"m")/12))</f>
        <v>0.16666666666666666</v>
      </c>
      <c r="I1168" s="7">
        <f>DATEDIF(L1168,S1168,"M")</f>
        <v>2</v>
      </c>
      <c r="J1168" s="7">
        <f>DATEDIF(L1168,S1168,"D")</f>
        <v>66</v>
      </c>
      <c r="K1168" t="s">
        <v>51</v>
      </c>
      <c r="L1168" s="1">
        <v>45105</v>
      </c>
      <c r="M1168" s="17" t="s">
        <v>45</v>
      </c>
      <c r="N1168" t="s">
        <v>83</v>
      </c>
      <c r="O1168" t="s">
        <v>52</v>
      </c>
      <c r="P1168" t="s">
        <v>2646</v>
      </c>
      <c r="Q1168">
        <v>0</v>
      </c>
      <c r="R1168" s="1">
        <v>45173</v>
      </c>
      <c r="S1168" s="1">
        <v>45171</v>
      </c>
      <c r="T1168" s="3" t="s">
        <v>54</v>
      </c>
      <c r="U1168" t="s">
        <v>55</v>
      </c>
      <c r="W1168" s="1">
        <v>45181</v>
      </c>
      <c r="Z1168">
        <f>MONTH(S1168)</f>
        <v>9</v>
      </c>
      <c r="AA1168" s="7">
        <f>INT((S1168-DATE(YEAR(S1168-WEEKDAY(S1168-0)+4),1,4)+WEEKDAY(DATE(YEAR(S1168-WEEKDAY(S1168-0)+4),1,4))+6)/7)</f>
        <v>35</v>
      </c>
      <c r="AB1168" t="s">
        <v>3005</v>
      </c>
      <c r="AG1168" s="7">
        <v>2023</v>
      </c>
      <c r="AH1168" t="s">
        <v>482</v>
      </c>
      <c r="AK1168" t="s">
        <v>2672</v>
      </c>
      <c r="AL1168" s="3" t="s">
        <v>59</v>
      </c>
    </row>
    <row r="1169" spans="1:38" ht="30" customHeight="1">
      <c r="A1169" s="3" t="s">
        <v>44</v>
      </c>
      <c r="B1169" s="3" t="s">
        <v>45</v>
      </c>
      <c r="G1169">
        <v>27552</v>
      </c>
      <c r="H1169" s="4">
        <f>IF(DATEDIF(L1169,S1169,"m")&gt;12,DATEDIF(L1169,S1169,"y"),(DATEDIF(L1169,S1169,"m")/12))</f>
        <v>50</v>
      </c>
      <c r="I1169" s="7">
        <f>DATEDIF(L1169,S1169,"M")</f>
        <v>610</v>
      </c>
      <c r="J1169" s="7">
        <f>DATEDIF(L1169,S1169,"D")</f>
        <v>18579</v>
      </c>
      <c r="K1169" t="s">
        <v>64</v>
      </c>
      <c r="L1169" s="1">
        <v>26593</v>
      </c>
      <c r="M1169" s="17" t="s">
        <v>45</v>
      </c>
      <c r="N1169" t="s">
        <v>101</v>
      </c>
      <c r="O1169" t="s">
        <v>52</v>
      </c>
      <c r="P1169" t="s">
        <v>312</v>
      </c>
      <c r="Q1169">
        <v>1</v>
      </c>
      <c r="R1169" s="1">
        <v>45175</v>
      </c>
      <c r="S1169" s="1">
        <v>45172</v>
      </c>
      <c r="T1169" s="3" t="s">
        <v>54</v>
      </c>
      <c r="U1169" t="s">
        <v>55</v>
      </c>
      <c r="W1169" s="1">
        <v>45181</v>
      </c>
      <c r="Z1169">
        <f>MONTH(S1169)</f>
        <v>9</v>
      </c>
      <c r="AA1169" s="7">
        <f>INT((S1169-DATE(YEAR(S1169-WEEKDAY(S1169-0)+4),1,4)+WEEKDAY(DATE(YEAR(S1169-WEEKDAY(S1169-0)+4),1,4))+6)/7)</f>
        <v>36</v>
      </c>
      <c r="AB1169" t="s">
        <v>3006</v>
      </c>
      <c r="AG1169" s="7">
        <v>2023</v>
      </c>
      <c r="AH1169" t="s">
        <v>105</v>
      </c>
      <c r="AK1169" t="s">
        <v>2451</v>
      </c>
      <c r="AL1169" s="3" t="s">
        <v>59</v>
      </c>
    </row>
    <row r="1170" spans="1:38" ht="30" customHeight="1">
      <c r="A1170" s="3" t="s">
        <v>44</v>
      </c>
      <c r="B1170" s="3" t="s">
        <v>45</v>
      </c>
      <c r="G1170" t="s">
        <v>3010</v>
      </c>
      <c r="H1170" s="4">
        <f>IF(DATEDIF(L1170,S1170,"m")&gt;12,DATEDIF(L1170,S1170,"y"),(DATEDIF(L1170,S1170,"m")/12))</f>
        <v>60</v>
      </c>
      <c r="I1170" s="7">
        <f>DATEDIF(L1170,S1170,"M")</f>
        <v>730</v>
      </c>
      <c r="J1170" s="7">
        <f>DATEDIF(L1170,S1170,"D")</f>
        <v>22246</v>
      </c>
      <c r="K1170" t="s">
        <v>64</v>
      </c>
      <c r="L1170" s="1">
        <v>22921</v>
      </c>
      <c r="M1170" s="17" t="s">
        <v>45</v>
      </c>
      <c r="N1170" t="s">
        <v>83</v>
      </c>
      <c r="O1170" t="s">
        <v>52</v>
      </c>
      <c r="P1170" t="s">
        <v>2518</v>
      </c>
      <c r="Q1170">
        <v>0</v>
      </c>
      <c r="R1170" s="1">
        <v>45174</v>
      </c>
      <c r="S1170" s="1">
        <v>45167</v>
      </c>
      <c r="T1170" s="3" t="s">
        <v>54</v>
      </c>
      <c r="U1170" t="s">
        <v>55</v>
      </c>
      <c r="W1170" s="1">
        <v>45181</v>
      </c>
      <c r="Z1170">
        <f>MONTH(S1170)</f>
        <v>8</v>
      </c>
      <c r="AA1170" s="7">
        <f>INT((S1170-DATE(YEAR(S1170-WEEKDAY(S1170-0)+4),1,4)+WEEKDAY(DATE(YEAR(S1170-WEEKDAY(S1170-0)+4),1,4))+6)/7)</f>
        <v>35</v>
      </c>
      <c r="AB1170" t="s">
        <v>3011</v>
      </c>
      <c r="AG1170" s="7">
        <v>2023</v>
      </c>
      <c r="AH1170" t="s">
        <v>482</v>
      </c>
      <c r="AK1170" t="s">
        <v>3012</v>
      </c>
      <c r="AL1170" s="3" t="s">
        <v>59</v>
      </c>
    </row>
    <row r="1171" spans="1:38" ht="30" customHeight="1">
      <c r="A1171" s="3" t="s">
        <v>44</v>
      </c>
      <c r="B1171" s="3" t="s">
        <v>45</v>
      </c>
      <c r="G1171" t="s">
        <v>3020</v>
      </c>
      <c r="H1171" s="4">
        <f>IF(DATEDIF(L1171,S1171,"m")&gt;12,DATEDIF(L1171,S1171,"y"),(DATEDIF(L1171,S1171,"m")/12))</f>
        <v>4</v>
      </c>
      <c r="I1171" s="7">
        <f>DATEDIF(L1171,S1171,"M")</f>
        <v>50</v>
      </c>
      <c r="J1171" s="7">
        <f>DATEDIF(L1171,S1171,"D")</f>
        <v>1528</v>
      </c>
      <c r="K1171" t="s">
        <v>51</v>
      </c>
      <c r="L1171" s="1">
        <v>43641</v>
      </c>
      <c r="M1171" s="17" t="s">
        <v>45</v>
      </c>
      <c r="N1171" t="s">
        <v>83</v>
      </c>
      <c r="O1171" t="s">
        <v>52</v>
      </c>
      <c r="P1171" t="s">
        <v>3021</v>
      </c>
      <c r="Q1171">
        <v>0</v>
      </c>
      <c r="R1171" s="1">
        <v>45173</v>
      </c>
      <c r="S1171" s="1">
        <v>45169</v>
      </c>
      <c r="T1171" s="3" t="s">
        <v>54</v>
      </c>
      <c r="U1171" t="s">
        <v>55</v>
      </c>
      <c r="W1171" s="1">
        <v>45181</v>
      </c>
      <c r="Z1171">
        <f>MONTH(S1171)</f>
        <v>8</v>
      </c>
      <c r="AA1171" s="7">
        <f>INT((S1171-DATE(YEAR(S1171-WEEKDAY(S1171-0)+4),1,4)+WEEKDAY(DATE(YEAR(S1171-WEEKDAY(S1171-0)+4),1,4))+6)/7)</f>
        <v>35</v>
      </c>
      <c r="AB1171" t="s">
        <v>3022</v>
      </c>
      <c r="AG1171" s="7">
        <v>2023</v>
      </c>
      <c r="AH1171" t="s">
        <v>482</v>
      </c>
      <c r="AK1171" t="s">
        <v>3023</v>
      </c>
      <c r="AL1171" s="3" t="s">
        <v>59</v>
      </c>
    </row>
    <row r="1172" spans="1:38" ht="30" customHeight="1">
      <c r="A1172" s="3" t="s">
        <v>44</v>
      </c>
      <c r="B1172" s="3" t="s">
        <v>45</v>
      </c>
      <c r="G1172" t="s">
        <v>3024</v>
      </c>
      <c r="H1172" s="4">
        <f>IF(DATEDIF(L1172,S1172,"m")&gt;12,DATEDIF(L1172,S1172,"y"),(DATEDIF(L1172,S1172,"m")/12))</f>
        <v>1</v>
      </c>
      <c r="I1172" s="7">
        <f>DATEDIF(L1172,S1172,"M")</f>
        <v>22</v>
      </c>
      <c r="J1172" s="7">
        <f>DATEDIF(L1172,S1172,"D")</f>
        <v>679</v>
      </c>
      <c r="K1172" t="s">
        <v>51</v>
      </c>
      <c r="L1172" s="1">
        <v>44487</v>
      </c>
      <c r="M1172" s="17" t="s">
        <v>45</v>
      </c>
      <c r="N1172" t="s">
        <v>83</v>
      </c>
      <c r="O1172" t="s">
        <v>52</v>
      </c>
      <c r="P1172" t="s">
        <v>2472</v>
      </c>
      <c r="Q1172">
        <v>0</v>
      </c>
      <c r="R1172" s="1">
        <v>45173</v>
      </c>
      <c r="S1172" s="1">
        <v>45166</v>
      </c>
      <c r="T1172" s="3" t="s">
        <v>54</v>
      </c>
      <c r="U1172" t="s">
        <v>55</v>
      </c>
      <c r="W1172" s="1">
        <v>45181</v>
      </c>
      <c r="Z1172">
        <f>MONTH(S1172)</f>
        <v>8</v>
      </c>
      <c r="AA1172" s="7">
        <f>INT((S1172-DATE(YEAR(S1172-WEEKDAY(S1172-0)+4),1,4)+WEEKDAY(DATE(YEAR(S1172-WEEKDAY(S1172-0)+4),1,4))+6)/7)</f>
        <v>35</v>
      </c>
      <c r="AB1172" t="s">
        <v>3025</v>
      </c>
      <c r="AG1172" s="7">
        <v>2023</v>
      </c>
      <c r="AH1172" t="s">
        <v>482</v>
      </c>
      <c r="AK1172" t="s">
        <v>140</v>
      </c>
      <c r="AL1172" s="3" t="s">
        <v>59</v>
      </c>
    </row>
    <row r="1173" spans="1:38" ht="30" customHeight="1">
      <c r="A1173" s="3" t="s">
        <v>44</v>
      </c>
      <c r="B1173" s="3" t="s">
        <v>45</v>
      </c>
      <c r="G1173" t="s">
        <v>3031</v>
      </c>
      <c r="H1173" s="4">
        <f>IF(DATEDIF(L1173,S1173,"m")&gt;12,DATEDIF(L1173,S1173,"y"),(DATEDIF(L1173,S1173,"m")/12))</f>
        <v>4</v>
      </c>
      <c r="I1173" s="7">
        <f>DATEDIF(L1173,S1173,"M")</f>
        <v>49</v>
      </c>
      <c r="J1173" s="7">
        <f>DATEDIF(L1173,S1173,"D")</f>
        <v>1518</v>
      </c>
      <c r="K1173" t="s">
        <v>64</v>
      </c>
      <c r="L1173" s="1">
        <v>43648</v>
      </c>
      <c r="M1173" s="17" t="s">
        <v>45</v>
      </c>
      <c r="N1173" t="s">
        <v>83</v>
      </c>
      <c r="O1173" t="s">
        <v>52</v>
      </c>
      <c r="P1173" t="s">
        <v>2513</v>
      </c>
      <c r="Q1173">
        <v>0</v>
      </c>
      <c r="R1173" s="1">
        <v>45173</v>
      </c>
      <c r="S1173" s="1">
        <v>45166</v>
      </c>
      <c r="T1173" s="3" t="s">
        <v>54</v>
      </c>
      <c r="U1173" t="s">
        <v>55</v>
      </c>
      <c r="W1173" s="1">
        <v>45181</v>
      </c>
      <c r="Z1173">
        <f>MONTH(S1173)</f>
        <v>8</v>
      </c>
      <c r="AA1173" s="7">
        <f>INT((S1173-DATE(YEAR(S1173-WEEKDAY(S1173-0)+4),1,4)+WEEKDAY(DATE(YEAR(S1173-WEEKDAY(S1173-0)+4),1,4))+6)/7)</f>
        <v>35</v>
      </c>
      <c r="AB1173" t="s">
        <v>3032</v>
      </c>
      <c r="AG1173" s="7">
        <v>2023</v>
      </c>
      <c r="AH1173" t="s">
        <v>482</v>
      </c>
      <c r="AK1173" t="s">
        <v>2519</v>
      </c>
      <c r="AL1173" s="3" t="s">
        <v>59</v>
      </c>
    </row>
    <row r="1174" spans="1:38" ht="30" customHeight="1">
      <c r="A1174" s="3" t="s">
        <v>44</v>
      </c>
      <c r="B1174" s="3" t="s">
        <v>45</v>
      </c>
      <c r="G1174" t="s">
        <v>3033</v>
      </c>
      <c r="H1174" s="4">
        <f>IF(DATEDIF(L1174,S1174,"m")&gt;12,DATEDIF(L1174,S1174,"y"),(DATEDIF(L1174,S1174,"m")/12))</f>
        <v>20</v>
      </c>
      <c r="I1174" s="7">
        <f>DATEDIF(L1174,S1174,"M")</f>
        <v>249</v>
      </c>
      <c r="J1174" s="7">
        <f>DATEDIF(L1174,S1174,"D")</f>
        <v>7591</v>
      </c>
      <c r="K1174" t="s">
        <v>51</v>
      </c>
      <c r="L1174" s="1">
        <v>37582</v>
      </c>
      <c r="M1174" s="17" t="s">
        <v>45</v>
      </c>
      <c r="N1174" t="s">
        <v>83</v>
      </c>
      <c r="O1174" t="s">
        <v>52</v>
      </c>
      <c r="P1174" t="s">
        <v>2620</v>
      </c>
      <c r="Q1174">
        <v>0</v>
      </c>
      <c r="R1174" s="1">
        <v>45175</v>
      </c>
      <c r="S1174" s="1">
        <v>45173</v>
      </c>
      <c r="T1174" s="3" t="s">
        <v>54</v>
      </c>
      <c r="U1174" t="s">
        <v>55</v>
      </c>
      <c r="W1174" s="1">
        <v>45181</v>
      </c>
      <c r="Z1174">
        <f>MONTH(S1174)</f>
        <v>9</v>
      </c>
      <c r="AA1174" s="7">
        <f>INT((S1174-DATE(YEAR(S1174-WEEKDAY(S1174-0)+4),1,4)+WEEKDAY(DATE(YEAR(S1174-WEEKDAY(S1174-0)+4),1,4))+6)/7)</f>
        <v>36</v>
      </c>
      <c r="AB1174" t="s">
        <v>3034</v>
      </c>
      <c r="AG1174" s="7">
        <v>2023</v>
      </c>
      <c r="AH1174" t="s">
        <v>482</v>
      </c>
      <c r="AK1174" t="s">
        <v>2745</v>
      </c>
      <c r="AL1174" s="3" t="s">
        <v>59</v>
      </c>
    </row>
    <row r="1175" spans="1:38" ht="30" customHeight="1">
      <c r="A1175" s="3" t="s">
        <v>44</v>
      </c>
      <c r="B1175" s="3" t="s">
        <v>45</v>
      </c>
      <c r="G1175" t="s">
        <v>3033</v>
      </c>
      <c r="H1175" s="4">
        <f>IF(DATEDIF(L1175,S1175,"m")&gt;12,DATEDIF(L1175,S1175,"y"),(DATEDIF(L1175,S1175,"m")/12))</f>
        <v>54</v>
      </c>
      <c r="I1175" s="7">
        <f>DATEDIF(L1175,S1175,"M")</f>
        <v>651</v>
      </c>
      <c r="J1175" s="7">
        <f>DATEDIF(L1175,S1175,"D")</f>
        <v>19815</v>
      </c>
      <c r="K1175" t="s">
        <v>51</v>
      </c>
      <c r="L1175" s="1">
        <v>25358</v>
      </c>
      <c r="M1175" s="17" t="s">
        <v>45</v>
      </c>
      <c r="N1175" t="s">
        <v>83</v>
      </c>
      <c r="O1175" t="s">
        <v>52</v>
      </c>
      <c r="P1175" t="s">
        <v>2521</v>
      </c>
      <c r="Q1175">
        <v>0</v>
      </c>
      <c r="R1175" s="1">
        <v>45175</v>
      </c>
      <c r="S1175" s="1">
        <v>45173</v>
      </c>
      <c r="T1175" s="3" t="s">
        <v>54</v>
      </c>
      <c r="U1175" t="s">
        <v>55</v>
      </c>
      <c r="W1175" s="1">
        <v>45181</v>
      </c>
      <c r="Z1175">
        <f>MONTH(S1175)</f>
        <v>9</v>
      </c>
      <c r="AA1175" s="7">
        <f>INT((S1175-DATE(YEAR(S1175-WEEKDAY(S1175-0)+4),1,4)+WEEKDAY(DATE(YEAR(S1175-WEEKDAY(S1175-0)+4),1,4))+6)/7)</f>
        <v>36</v>
      </c>
      <c r="AB1175" t="s">
        <v>3034</v>
      </c>
      <c r="AG1175" s="7">
        <v>2023</v>
      </c>
      <c r="AH1175" t="s">
        <v>482</v>
      </c>
      <c r="AK1175" t="s">
        <v>2654</v>
      </c>
      <c r="AL1175" s="3" t="s">
        <v>59</v>
      </c>
    </row>
    <row r="1176" spans="1:38" ht="30" customHeight="1">
      <c r="A1176" s="3" t="s">
        <v>44</v>
      </c>
      <c r="B1176" s="3" t="s">
        <v>45</v>
      </c>
      <c r="G1176" t="s">
        <v>3036</v>
      </c>
      <c r="H1176" s="4">
        <f>IF(DATEDIF(L1176,S1176,"m")&gt;12,DATEDIF(L1176,S1176,"y"),(DATEDIF(L1176,S1176,"m")/12))</f>
        <v>2</v>
      </c>
      <c r="I1176" s="7">
        <f>DATEDIF(L1176,S1176,"M")</f>
        <v>24</v>
      </c>
      <c r="J1176" s="7">
        <f>DATEDIF(L1176,S1176,"D")</f>
        <v>735</v>
      </c>
      <c r="K1176" t="s">
        <v>51</v>
      </c>
      <c r="L1176" s="1">
        <v>44437</v>
      </c>
      <c r="M1176" s="17" t="s">
        <v>45</v>
      </c>
      <c r="N1176" t="s">
        <v>83</v>
      </c>
      <c r="O1176" t="s">
        <v>52</v>
      </c>
      <c r="P1176" t="s">
        <v>2518</v>
      </c>
      <c r="Q1176">
        <v>0</v>
      </c>
      <c r="R1176" s="1">
        <v>45175</v>
      </c>
      <c r="S1176" s="1">
        <v>45172</v>
      </c>
      <c r="T1176" s="3" t="s">
        <v>54</v>
      </c>
      <c r="U1176" t="s">
        <v>55</v>
      </c>
      <c r="W1176" s="1">
        <v>45181</v>
      </c>
      <c r="Z1176">
        <f>MONTH(S1176)</f>
        <v>9</v>
      </c>
      <c r="AA1176" s="7">
        <f>INT((S1176-DATE(YEAR(S1176-WEEKDAY(S1176-0)+4),1,4)+WEEKDAY(DATE(YEAR(S1176-WEEKDAY(S1176-0)+4),1,4))+6)/7)</f>
        <v>36</v>
      </c>
      <c r="AB1176" t="s">
        <v>3037</v>
      </c>
      <c r="AG1176" s="7">
        <v>2023</v>
      </c>
      <c r="AH1176" t="s">
        <v>482</v>
      </c>
      <c r="AK1176" t="s">
        <v>2805</v>
      </c>
      <c r="AL1176" s="3" t="s">
        <v>59</v>
      </c>
    </row>
    <row r="1177" spans="1:38" ht="30" customHeight="1">
      <c r="A1177" s="3" t="s">
        <v>44</v>
      </c>
      <c r="B1177" s="3" t="s">
        <v>45</v>
      </c>
      <c r="G1177" t="s">
        <v>3038</v>
      </c>
      <c r="H1177" s="4">
        <f>IF(DATEDIF(L1177,S1177,"m")&gt;12,DATEDIF(L1177,S1177,"y"),(DATEDIF(L1177,S1177,"m")/12))</f>
        <v>8</v>
      </c>
      <c r="I1177" s="7">
        <f>DATEDIF(L1177,S1177,"M")</f>
        <v>101</v>
      </c>
      <c r="J1177" s="7">
        <f>DATEDIF(L1177,S1177,"D")</f>
        <v>3083</v>
      </c>
      <c r="K1177" t="s">
        <v>51</v>
      </c>
      <c r="L1177" s="1">
        <v>42087</v>
      </c>
      <c r="M1177" s="17" t="s">
        <v>45</v>
      </c>
      <c r="N1177" t="s">
        <v>83</v>
      </c>
      <c r="O1177" t="s">
        <v>52</v>
      </c>
      <c r="P1177" t="s">
        <v>2620</v>
      </c>
      <c r="Q1177">
        <v>0</v>
      </c>
      <c r="R1177" s="1">
        <v>45175</v>
      </c>
      <c r="S1177" s="1">
        <v>45170</v>
      </c>
      <c r="T1177" s="3" t="s">
        <v>54</v>
      </c>
      <c r="U1177" t="s">
        <v>55</v>
      </c>
      <c r="W1177" s="1">
        <v>45181</v>
      </c>
      <c r="Z1177">
        <f>MONTH(S1177)</f>
        <v>9</v>
      </c>
      <c r="AA1177" s="7">
        <f>INT((S1177-DATE(YEAR(S1177-WEEKDAY(S1177-0)+4),1,4)+WEEKDAY(DATE(YEAR(S1177-WEEKDAY(S1177-0)+4),1,4))+6)/7)</f>
        <v>35</v>
      </c>
      <c r="AB1177" t="s">
        <v>3039</v>
      </c>
      <c r="AG1177" s="7">
        <v>2023</v>
      </c>
      <c r="AH1177" t="s">
        <v>482</v>
      </c>
      <c r="AK1177" t="s">
        <v>140</v>
      </c>
      <c r="AL1177" s="3" t="s">
        <v>59</v>
      </c>
    </row>
    <row r="1178" spans="1:38" ht="30" customHeight="1">
      <c r="A1178" s="3" t="s">
        <v>44</v>
      </c>
      <c r="B1178" s="3" t="s">
        <v>45</v>
      </c>
      <c r="G1178" t="s">
        <v>3040</v>
      </c>
      <c r="H1178" s="4">
        <f>IF(DATEDIF(L1178,S1178,"m")&gt;12,DATEDIF(L1178,S1178,"y"),(DATEDIF(L1178,S1178,"m")/12))</f>
        <v>7</v>
      </c>
      <c r="I1178" s="7">
        <f>DATEDIF(L1178,S1178,"M")</f>
        <v>88</v>
      </c>
      <c r="J1178" s="7">
        <f>DATEDIF(L1178,S1178,"D")</f>
        <v>2685</v>
      </c>
      <c r="K1178" t="s">
        <v>64</v>
      </c>
      <c r="L1178" s="1">
        <v>42487</v>
      </c>
      <c r="M1178" s="17" t="s">
        <v>45</v>
      </c>
      <c r="N1178" t="s">
        <v>83</v>
      </c>
      <c r="O1178" t="s">
        <v>52</v>
      </c>
      <c r="P1178" t="s">
        <v>2518</v>
      </c>
      <c r="Q1178">
        <v>0</v>
      </c>
      <c r="R1178" s="1">
        <v>45176</v>
      </c>
      <c r="S1178" s="1">
        <v>45172</v>
      </c>
      <c r="T1178" s="3" t="s">
        <v>54</v>
      </c>
      <c r="U1178" t="s">
        <v>55</v>
      </c>
      <c r="W1178" s="1">
        <v>45181</v>
      </c>
      <c r="Z1178">
        <f>MONTH(S1178)</f>
        <v>9</v>
      </c>
      <c r="AA1178" s="7">
        <f>INT((S1178-DATE(YEAR(S1178-WEEKDAY(S1178-0)+4),1,4)+WEEKDAY(DATE(YEAR(S1178-WEEKDAY(S1178-0)+4),1,4))+6)/7)</f>
        <v>36</v>
      </c>
      <c r="AB1178" t="s">
        <v>3041</v>
      </c>
      <c r="AG1178" s="7">
        <v>2023</v>
      </c>
      <c r="AH1178" t="s">
        <v>482</v>
      </c>
      <c r="AK1178" t="s">
        <v>2745</v>
      </c>
      <c r="AL1178" s="3" t="s">
        <v>59</v>
      </c>
    </row>
    <row r="1179" spans="1:38" ht="30" customHeight="1">
      <c r="A1179" s="3" t="s">
        <v>44</v>
      </c>
      <c r="B1179" s="3" t="s">
        <v>45</v>
      </c>
      <c r="G1179" t="s">
        <v>3042</v>
      </c>
      <c r="H1179" s="4">
        <f>IF(DATEDIF(L1179,S1179,"m")&gt;12,DATEDIF(L1179,S1179,"y"),(DATEDIF(L1179,S1179,"m")/12))</f>
        <v>9</v>
      </c>
      <c r="I1179" s="7">
        <f>DATEDIF(L1179,S1179,"M")</f>
        <v>112</v>
      </c>
      <c r="J1179" s="7">
        <f>DATEDIF(L1179,S1179,"D")</f>
        <v>3418</v>
      </c>
      <c r="K1179" t="s">
        <v>64</v>
      </c>
      <c r="L1179" s="1">
        <v>41753</v>
      </c>
      <c r="M1179" s="17" t="s">
        <v>45</v>
      </c>
      <c r="N1179" t="s">
        <v>83</v>
      </c>
      <c r="O1179" t="s">
        <v>52</v>
      </c>
      <c r="P1179" t="s">
        <v>2518</v>
      </c>
      <c r="Q1179">
        <v>0</v>
      </c>
      <c r="R1179" s="1">
        <v>45176</v>
      </c>
      <c r="S1179" s="1">
        <v>45171</v>
      </c>
      <c r="T1179" s="3" t="s">
        <v>54</v>
      </c>
      <c r="U1179" t="s">
        <v>55</v>
      </c>
      <c r="W1179" s="1">
        <v>45181</v>
      </c>
      <c r="Z1179">
        <f>MONTH(S1179)</f>
        <v>9</v>
      </c>
      <c r="AA1179" s="7">
        <f>INT((S1179-DATE(YEAR(S1179-WEEKDAY(S1179-0)+4),1,4)+WEEKDAY(DATE(YEAR(S1179-WEEKDAY(S1179-0)+4),1,4))+6)/7)</f>
        <v>35</v>
      </c>
      <c r="AB1179" t="s">
        <v>3043</v>
      </c>
      <c r="AG1179" s="7">
        <v>2023</v>
      </c>
      <c r="AH1179" t="s">
        <v>482</v>
      </c>
      <c r="AK1179" t="s">
        <v>2745</v>
      </c>
      <c r="AL1179" s="3" t="s">
        <v>59</v>
      </c>
    </row>
    <row r="1180" spans="1:38" ht="30" customHeight="1">
      <c r="A1180" s="3" t="s">
        <v>44</v>
      </c>
      <c r="B1180" s="3" t="s">
        <v>45</v>
      </c>
      <c r="G1180" t="s">
        <v>3046</v>
      </c>
      <c r="H1180" s="4">
        <f>IF(DATEDIF(L1180,S1180,"m")&gt;12,DATEDIF(L1180,S1180,"y"),(DATEDIF(L1180,S1180,"m")/12))</f>
        <v>1</v>
      </c>
      <c r="I1180" s="7">
        <f>DATEDIF(L1180,S1180,"M")</f>
        <v>13</v>
      </c>
      <c r="J1180" s="7">
        <f>DATEDIF(L1180,S1180,"D")</f>
        <v>415</v>
      </c>
      <c r="K1180" t="s">
        <v>64</v>
      </c>
      <c r="L1180" s="1">
        <v>44755</v>
      </c>
      <c r="M1180" s="17" t="s">
        <v>45</v>
      </c>
      <c r="N1180" t="s">
        <v>83</v>
      </c>
      <c r="O1180" t="s">
        <v>52</v>
      </c>
      <c r="P1180" t="s">
        <v>214</v>
      </c>
      <c r="Q1180">
        <v>0</v>
      </c>
      <c r="R1180" s="1">
        <v>45173</v>
      </c>
      <c r="S1180" s="1">
        <v>45170</v>
      </c>
      <c r="T1180" s="3" t="s">
        <v>54</v>
      </c>
      <c r="U1180" t="s">
        <v>55</v>
      </c>
      <c r="W1180" s="1">
        <v>45181</v>
      </c>
      <c r="Z1180">
        <f>MONTH(S1180)</f>
        <v>9</v>
      </c>
      <c r="AA1180" s="7">
        <f>INT((S1180-DATE(YEAR(S1180-WEEKDAY(S1180-0)+4),1,4)+WEEKDAY(DATE(YEAR(S1180-WEEKDAY(S1180-0)+4),1,4))+6)/7)</f>
        <v>35</v>
      </c>
      <c r="AB1180" t="s">
        <v>3047</v>
      </c>
      <c r="AG1180" s="7">
        <v>2023</v>
      </c>
      <c r="AH1180" t="s">
        <v>482</v>
      </c>
      <c r="AK1180" t="s">
        <v>140</v>
      </c>
      <c r="AL1180" s="3" t="s">
        <v>59</v>
      </c>
    </row>
    <row r="1181" spans="1:38" ht="30" customHeight="1">
      <c r="A1181" s="3" t="s">
        <v>44</v>
      </c>
      <c r="B1181" s="3" t="s">
        <v>45</v>
      </c>
      <c r="G1181" t="s">
        <v>3048</v>
      </c>
      <c r="H1181" s="4">
        <f>IF(DATEDIF(L1181,S1181,"m")&gt;12,DATEDIF(L1181,S1181,"y"),(DATEDIF(L1181,S1181,"m")/12))</f>
        <v>66</v>
      </c>
      <c r="I1181" s="7">
        <f>DATEDIF(L1181,S1181,"M")</f>
        <v>798</v>
      </c>
      <c r="J1181" s="7">
        <f>DATEDIF(L1181,S1181,"D")</f>
        <v>24309</v>
      </c>
      <c r="K1181" t="s">
        <v>51</v>
      </c>
      <c r="L1181" s="1">
        <v>20863</v>
      </c>
      <c r="M1181" s="17" t="s">
        <v>45</v>
      </c>
      <c r="N1181" t="s">
        <v>83</v>
      </c>
      <c r="O1181" t="s">
        <v>52</v>
      </c>
      <c r="P1181" t="s">
        <v>2579</v>
      </c>
      <c r="Q1181">
        <v>0</v>
      </c>
      <c r="R1181" s="1">
        <v>45174</v>
      </c>
      <c r="S1181" s="1">
        <v>45172</v>
      </c>
      <c r="T1181" s="3" t="s">
        <v>54</v>
      </c>
      <c r="U1181" t="s">
        <v>55</v>
      </c>
      <c r="W1181" s="1">
        <v>45181</v>
      </c>
      <c r="Z1181">
        <f>MONTH(S1181)</f>
        <v>9</v>
      </c>
      <c r="AA1181" s="7">
        <f>INT((S1181-DATE(YEAR(S1181-WEEKDAY(S1181-0)+4),1,4)+WEEKDAY(DATE(YEAR(S1181-WEEKDAY(S1181-0)+4),1,4))+6)/7)</f>
        <v>36</v>
      </c>
      <c r="AB1181" t="s">
        <v>3049</v>
      </c>
      <c r="AG1181" s="7">
        <v>2023</v>
      </c>
      <c r="AH1181" t="s">
        <v>482</v>
      </c>
      <c r="AK1181" t="s">
        <v>2519</v>
      </c>
      <c r="AL1181" s="3" t="s">
        <v>59</v>
      </c>
    </row>
    <row r="1182" spans="1:38" ht="30" customHeight="1">
      <c r="A1182" s="3" t="s">
        <v>44</v>
      </c>
      <c r="B1182" s="3" t="s">
        <v>45</v>
      </c>
      <c r="G1182" t="s">
        <v>3050</v>
      </c>
      <c r="H1182" s="4">
        <f>IF(DATEDIF(L1182,S1182,"m")&gt;12,DATEDIF(L1182,S1182,"y"),(DATEDIF(L1182,S1182,"m")/12))</f>
        <v>3</v>
      </c>
      <c r="I1182" s="7">
        <f>DATEDIF(L1182,S1182,"M")</f>
        <v>36</v>
      </c>
      <c r="J1182" s="7">
        <f>DATEDIF(L1182,S1182,"D")</f>
        <v>1113</v>
      </c>
      <c r="K1182" t="s">
        <v>64</v>
      </c>
      <c r="L1182" s="1">
        <v>44057</v>
      </c>
      <c r="M1182" s="17" t="s">
        <v>45</v>
      </c>
      <c r="N1182" t="s">
        <v>83</v>
      </c>
      <c r="O1182" t="s">
        <v>52</v>
      </c>
      <c r="P1182" t="s">
        <v>2521</v>
      </c>
      <c r="Q1182">
        <v>0</v>
      </c>
      <c r="R1182" s="1">
        <v>45175</v>
      </c>
      <c r="S1182" s="1">
        <v>45170</v>
      </c>
      <c r="T1182" s="3" t="s">
        <v>54</v>
      </c>
      <c r="U1182" t="s">
        <v>55</v>
      </c>
      <c r="W1182" s="1">
        <v>45181</v>
      </c>
      <c r="Z1182">
        <f>MONTH(S1182)</f>
        <v>9</v>
      </c>
      <c r="AA1182" s="7">
        <f>INT((S1182-DATE(YEAR(S1182-WEEKDAY(S1182-0)+4),1,4)+WEEKDAY(DATE(YEAR(S1182-WEEKDAY(S1182-0)+4),1,4))+6)/7)</f>
        <v>35</v>
      </c>
      <c r="AB1182" t="s">
        <v>3051</v>
      </c>
      <c r="AG1182" s="7">
        <v>2023</v>
      </c>
      <c r="AH1182" t="s">
        <v>482</v>
      </c>
      <c r="AK1182" t="s">
        <v>2461</v>
      </c>
      <c r="AL1182" s="3" t="s">
        <v>59</v>
      </c>
    </row>
    <row r="1183" spans="1:38" ht="30" customHeight="1">
      <c r="A1183" s="3" t="s">
        <v>44</v>
      </c>
      <c r="B1183" s="3" t="s">
        <v>45</v>
      </c>
      <c r="G1183" t="s">
        <v>3052</v>
      </c>
      <c r="H1183" s="5">
        <f>IF(DATEDIF(L1183,S1183,"m")&gt;12,DATEDIF(L1183,S1183,"y"),(DATEDIF(L1183,S1183,"m")/12))</f>
        <v>0.5</v>
      </c>
      <c r="I1183" s="7">
        <f>DATEDIF(L1183,S1183,"M")</f>
        <v>6</v>
      </c>
      <c r="J1183" s="7">
        <f>DATEDIF(L1183,S1183,"D")</f>
        <v>191</v>
      </c>
      <c r="K1183" t="s">
        <v>64</v>
      </c>
      <c r="L1183" s="1">
        <v>44978</v>
      </c>
      <c r="M1183" s="17" t="s">
        <v>45</v>
      </c>
      <c r="N1183" t="s">
        <v>83</v>
      </c>
      <c r="O1183" t="s">
        <v>52</v>
      </c>
      <c r="P1183" t="s">
        <v>3021</v>
      </c>
      <c r="Q1183">
        <v>0</v>
      </c>
      <c r="R1183" s="1">
        <v>45173</v>
      </c>
      <c r="S1183" s="1">
        <v>45169</v>
      </c>
      <c r="T1183" s="3" t="s">
        <v>54</v>
      </c>
      <c r="U1183" t="s">
        <v>55</v>
      </c>
      <c r="W1183" s="1">
        <v>45181</v>
      </c>
      <c r="Z1183">
        <f>MONTH(S1183)</f>
        <v>8</v>
      </c>
      <c r="AA1183" s="7">
        <f>INT((S1183-DATE(YEAR(S1183-WEEKDAY(S1183-0)+4),1,4)+WEEKDAY(DATE(YEAR(S1183-WEEKDAY(S1183-0)+4),1,4))+6)/7)</f>
        <v>35</v>
      </c>
      <c r="AB1183" t="s">
        <v>3053</v>
      </c>
      <c r="AG1183" s="7">
        <v>2023</v>
      </c>
      <c r="AH1183" t="s">
        <v>482</v>
      </c>
      <c r="AK1183" t="s">
        <v>3023</v>
      </c>
      <c r="AL1183" s="3" t="s">
        <v>59</v>
      </c>
    </row>
    <row r="1184" spans="1:38" ht="30" customHeight="1">
      <c r="A1184" s="3" t="s">
        <v>44</v>
      </c>
      <c r="B1184" s="3" t="s">
        <v>45</v>
      </c>
      <c r="G1184" t="s">
        <v>3056</v>
      </c>
      <c r="H1184" s="4">
        <f>IF(DATEDIF(L1184,S1184,"m")&gt;12,DATEDIF(L1184,S1184,"y"),(DATEDIF(L1184,S1184,"m")/12))</f>
        <v>67</v>
      </c>
      <c r="I1184" s="7">
        <f>DATEDIF(L1184,S1184,"M")</f>
        <v>815</v>
      </c>
      <c r="J1184" s="7">
        <f>DATEDIF(L1184,S1184,"D")</f>
        <v>24809</v>
      </c>
      <c r="K1184" t="s">
        <v>51</v>
      </c>
      <c r="L1184" s="1">
        <v>20362</v>
      </c>
      <c r="M1184" s="17" t="s">
        <v>45</v>
      </c>
      <c r="N1184" t="s">
        <v>83</v>
      </c>
      <c r="O1184" t="s">
        <v>52</v>
      </c>
      <c r="P1184" t="s">
        <v>3057</v>
      </c>
      <c r="Q1184">
        <v>0</v>
      </c>
      <c r="R1184" s="1">
        <v>45174</v>
      </c>
      <c r="S1184" s="1">
        <v>45171</v>
      </c>
      <c r="T1184" s="3" t="s">
        <v>54</v>
      </c>
      <c r="U1184" t="s">
        <v>55</v>
      </c>
      <c r="W1184" s="1">
        <v>45181</v>
      </c>
      <c r="Z1184">
        <f>MONTH(S1184)</f>
        <v>9</v>
      </c>
      <c r="AA1184" s="7">
        <f>INT((S1184-DATE(YEAR(S1184-WEEKDAY(S1184-0)+4),1,4)+WEEKDAY(DATE(YEAR(S1184-WEEKDAY(S1184-0)+4),1,4))+6)/7)</f>
        <v>35</v>
      </c>
      <c r="AB1184" t="s">
        <v>3058</v>
      </c>
      <c r="AG1184" s="7">
        <v>2023</v>
      </c>
      <c r="AH1184" t="s">
        <v>482</v>
      </c>
      <c r="AK1184" t="s">
        <v>140</v>
      </c>
      <c r="AL1184" s="3" t="s">
        <v>59</v>
      </c>
    </row>
    <row r="1185" spans="1:38" ht="30" customHeight="1">
      <c r="A1185" s="3" t="s">
        <v>44</v>
      </c>
      <c r="B1185" s="3" t="s">
        <v>45</v>
      </c>
      <c r="G1185" t="s">
        <v>3059</v>
      </c>
      <c r="H1185" s="4">
        <f>IF(DATEDIF(L1185,S1185,"m")&gt;12,DATEDIF(L1185,S1185,"y"),(DATEDIF(L1185,S1185,"m")/12))</f>
        <v>1</v>
      </c>
      <c r="I1185" s="7">
        <f>DATEDIF(L1185,S1185,"M")</f>
        <v>19</v>
      </c>
      <c r="J1185" s="7">
        <f>DATEDIF(L1185,S1185,"D")</f>
        <v>604</v>
      </c>
      <c r="K1185" t="s">
        <v>51</v>
      </c>
      <c r="L1185" s="1">
        <v>44562</v>
      </c>
      <c r="M1185" s="17" t="s">
        <v>45</v>
      </c>
      <c r="N1185" t="s">
        <v>83</v>
      </c>
      <c r="O1185" t="s">
        <v>52</v>
      </c>
      <c r="P1185" t="s">
        <v>2987</v>
      </c>
      <c r="Q1185">
        <v>0</v>
      </c>
      <c r="R1185" s="1">
        <v>45173</v>
      </c>
      <c r="S1185" s="1">
        <v>45166</v>
      </c>
      <c r="T1185" s="3" t="s">
        <v>54</v>
      </c>
      <c r="U1185" t="s">
        <v>55</v>
      </c>
      <c r="W1185" s="1">
        <v>45181</v>
      </c>
      <c r="Z1185">
        <f>MONTH(S1185)</f>
        <v>8</v>
      </c>
      <c r="AA1185" s="7">
        <f>INT((S1185-DATE(YEAR(S1185-WEEKDAY(S1185-0)+4),1,4)+WEEKDAY(DATE(YEAR(S1185-WEEKDAY(S1185-0)+4),1,4))+6)/7)</f>
        <v>35</v>
      </c>
      <c r="AB1185" t="s">
        <v>3060</v>
      </c>
      <c r="AG1185" s="7">
        <v>2023</v>
      </c>
      <c r="AH1185" t="s">
        <v>482</v>
      </c>
      <c r="AK1185" t="s">
        <v>2635</v>
      </c>
      <c r="AL1185" s="3" t="s">
        <v>59</v>
      </c>
    </row>
    <row r="1186" spans="1:38" ht="30" customHeight="1">
      <c r="A1186" s="3" t="s">
        <v>44</v>
      </c>
      <c r="B1186" s="3" t="s">
        <v>45</v>
      </c>
      <c r="G1186" t="s">
        <v>3061</v>
      </c>
      <c r="H1186" s="4">
        <f>IF(DATEDIF(L1186,S1186,"m")&gt;12,DATEDIF(L1186,S1186,"y"),(DATEDIF(L1186,S1186,"m")/12))</f>
        <v>63</v>
      </c>
      <c r="I1186" s="7">
        <f>DATEDIF(L1186,S1186,"M")</f>
        <v>761</v>
      </c>
      <c r="J1186" s="7">
        <f>DATEDIF(L1186,S1186,"D")</f>
        <v>23179</v>
      </c>
      <c r="K1186" t="s">
        <v>64</v>
      </c>
      <c r="L1186" s="1">
        <v>21991</v>
      </c>
      <c r="M1186" s="17" t="s">
        <v>45</v>
      </c>
      <c r="N1186" t="s">
        <v>83</v>
      </c>
      <c r="O1186" t="s">
        <v>52</v>
      </c>
      <c r="P1186" t="s">
        <v>2513</v>
      </c>
      <c r="Q1186">
        <v>0</v>
      </c>
      <c r="R1186" s="1">
        <v>45173</v>
      </c>
      <c r="S1186" s="1">
        <v>45170</v>
      </c>
      <c r="T1186" s="3" t="s">
        <v>54</v>
      </c>
      <c r="U1186" t="s">
        <v>55</v>
      </c>
      <c r="W1186" s="1">
        <v>45181</v>
      </c>
      <c r="Z1186">
        <f>MONTH(S1186)</f>
        <v>9</v>
      </c>
      <c r="AA1186" s="7">
        <f>INT((S1186-DATE(YEAR(S1186-WEEKDAY(S1186-0)+4),1,4)+WEEKDAY(DATE(YEAR(S1186-WEEKDAY(S1186-0)+4),1,4))+6)/7)</f>
        <v>35</v>
      </c>
      <c r="AB1186" t="s">
        <v>3062</v>
      </c>
      <c r="AG1186" s="7">
        <v>2023</v>
      </c>
      <c r="AH1186" t="s">
        <v>482</v>
      </c>
      <c r="AK1186" t="s">
        <v>2635</v>
      </c>
      <c r="AL1186" s="3" t="s">
        <v>59</v>
      </c>
    </row>
    <row r="1187" spans="1:38" ht="30" customHeight="1">
      <c r="A1187" s="3" t="s">
        <v>44</v>
      </c>
      <c r="B1187" s="3" t="s">
        <v>45</v>
      </c>
      <c r="G1187">
        <v>28328</v>
      </c>
      <c r="H1187" s="4">
        <f>IF(DATEDIF(L1187,S1187,"m")&gt;12,DATEDIF(L1187,S1187,"y"),(DATEDIF(L1187,S1187,"m")/12))</f>
        <v>48</v>
      </c>
      <c r="I1187" s="7">
        <f>DATEDIF(L1187,S1187,"M")</f>
        <v>582</v>
      </c>
      <c r="J1187" s="7">
        <f>DATEDIF(L1187,S1187,"D")</f>
        <v>17732</v>
      </c>
      <c r="K1187" t="s">
        <v>64</v>
      </c>
      <c r="L1187" s="1">
        <v>27439</v>
      </c>
      <c r="M1187" s="17" t="s">
        <v>45</v>
      </c>
      <c r="N1187" t="s">
        <v>2853</v>
      </c>
      <c r="O1187" t="s">
        <v>52</v>
      </c>
      <c r="P1187" t="s">
        <v>2533</v>
      </c>
      <c r="Q1187">
        <v>1</v>
      </c>
      <c r="R1187" s="1">
        <v>45178</v>
      </c>
      <c r="S1187" s="1">
        <v>45171</v>
      </c>
      <c r="T1187" s="3" t="s">
        <v>54</v>
      </c>
      <c r="U1187" t="s">
        <v>55</v>
      </c>
      <c r="W1187" s="1">
        <v>45181</v>
      </c>
      <c r="Z1187">
        <f>MONTH(S1187)</f>
        <v>9</v>
      </c>
      <c r="AA1187" s="7">
        <f>INT((S1187-DATE(YEAR(S1187-WEEKDAY(S1187-0)+4),1,4)+WEEKDAY(DATE(YEAR(S1187-WEEKDAY(S1187-0)+4),1,4))+6)/7)</f>
        <v>35</v>
      </c>
      <c r="AB1187" t="s">
        <v>3063</v>
      </c>
      <c r="AG1187" s="7">
        <v>2023</v>
      </c>
      <c r="AH1187" t="s">
        <v>105</v>
      </c>
      <c r="AK1187" t="s">
        <v>2926</v>
      </c>
      <c r="AL1187" s="3" t="s">
        <v>59</v>
      </c>
    </row>
    <row r="1188" spans="1:38" ht="30" customHeight="1">
      <c r="A1188" s="3" t="s">
        <v>44</v>
      </c>
      <c r="B1188" s="3" t="s">
        <v>45</v>
      </c>
      <c r="G1188" t="s">
        <v>3066</v>
      </c>
      <c r="H1188" s="5">
        <f>IF(DATEDIF(L1188,S1188,"m")&gt;12,DATEDIF(L1188,S1188,"y"),(DATEDIF(L1188,S1188,"m")/12))</f>
        <v>0.58333333333333337</v>
      </c>
      <c r="I1188" s="7">
        <f>DATEDIF(L1188,S1188,"M")</f>
        <v>7</v>
      </c>
      <c r="J1188" s="7">
        <f>DATEDIF(L1188,S1188,"D")</f>
        <v>231</v>
      </c>
      <c r="K1188" t="s">
        <v>51</v>
      </c>
      <c r="L1188" s="1">
        <v>44939</v>
      </c>
      <c r="M1188" s="17" t="s">
        <v>45</v>
      </c>
      <c r="N1188" t="s">
        <v>83</v>
      </c>
      <c r="O1188" t="s">
        <v>52</v>
      </c>
      <c r="P1188" t="s">
        <v>2518</v>
      </c>
      <c r="Q1188">
        <v>0</v>
      </c>
      <c r="R1188" s="1">
        <v>45175</v>
      </c>
      <c r="S1188" s="1">
        <v>45170</v>
      </c>
      <c r="T1188" s="3" t="s">
        <v>54</v>
      </c>
      <c r="U1188" t="s">
        <v>55</v>
      </c>
      <c r="W1188" s="1">
        <v>45181</v>
      </c>
      <c r="Z1188">
        <f>MONTH(S1188)</f>
        <v>9</v>
      </c>
      <c r="AA1188" s="7">
        <f>INT((S1188-DATE(YEAR(S1188-WEEKDAY(S1188-0)+4),1,4)+WEEKDAY(DATE(YEAR(S1188-WEEKDAY(S1188-0)+4),1,4))+6)/7)</f>
        <v>35</v>
      </c>
      <c r="AB1188" t="s">
        <v>3067</v>
      </c>
      <c r="AG1188" s="7">
        <v>2023</v>
      </c>
      <c r="AH1188" t="s">
        <v>482</v>
      </c>
      <c r="AK1188" t="s">
        <v>2805</v>
      </c>
      <c r="AL1188" s="3" t="s">
        <v>59</v>
      </c>
    </row>
    <row r="1189" spans="1:38" ht="30" customHeight="1">
      <c r="A1189" s="3" t="s">
        <v>44</v>
      </c>
      <c r="B1189" s="3" t="s">
        <v>45</v>
      </c>
      <c r="G1189" t="s">
        <v>3068</v>
      </c>
      <c r="H1189" s="4">
        <f>IF(DATEDIF(L1189,S1189,"m")&gt;12,DATEDIF(L1189,S1189,"y"),(DATEDIF(L1189,S1189,"m")/12))</f>
        <v>90</v>
      </c>
      <c r="I1189" s="7">
        <f>DATEDIF(L1189,S1189,"M")</f>
        <v>1088</v>
      </c>
      <c r="J1189" s="7">
        <f>DATEDIF(L1189,S1189,"D")</f>
        <v>33123</v>
      </c>
      <c r="K1189" t="s">
        <v>51</v>
      </c>
      <c r="L1189" s="1">
        <v>12048</v>
      </c>
      <c r="M1189" s="17" t="s">
        <v>45</v>
      </c>
      <c r="N1189" t="s">
        <v>83</v>
      </c>
      <c r="O1189" t="s">
        <v>52</v>
      </c>
      <c r="P1189" t="s">
        <v>2571</v>
      </c>
      <c r="Q1189">
        <v>0</v>
      </c>
      <c r="R1189" s="1">
        <v>45175</v>
      </c>
      <c r="S1189" s="1">
        <v>45171</v>
      </c>
      <c r="T1189" s="3" t="s">
        <v>54</v>
      </c>
      <c r="U1189" t="s">
        <v>55</v>
      </c>
      <c r="W1189" s="1">
        <v>45181</v>
      </c>
      <c r="Z1189">
        <f>MONTH(S1189)</f>
        <v>9</v>
      </c>
      <c r="AA1189" s="7">
        <f>INT((S1189-DATE(YEAR(S1189-WEEKDAY(S1189-0)+4),1,4)+WEEKDAY(DATE(YEAR(S1189-WEEKDAY(S1189-0)+4),1,4))+6)/7)</f>
        <v>35</v>
      </c>
      <c r="AB1189" t="s">
        <v>3069</v>
      </c>
      <c r="AG1189" s="7">
        <v>2023</v>
      </c>
      <c r="AH1189" t="s">
        <v>482</v>
      </c>
      <c r="AK1189" t="s">
        <v>140</v>
      </c>
      <c r="AL1189" s="3" t="s">
        <v>59</v>
      </c>
    </row>
    <row r="1190" spans="1:38" ht="30" customHeight="1">
      <c r="A1190" s="3" t="s">
        <v>44</v>
      </c>
      <c r="B1190" s="3" t="s">
        <v>45</v>
      </c>
      <c r="G1190" t="s">
        <v>3070</v>
      </c>
      <c r="H1190" s="4">
        <f>IF(DATEDIF(L1190,S1190,"m")&gt;12,DATEDIF(L1190,S1190,"y"),(DATEDIF(L1190,S1190,"m")/12))</f>
        <v>1</v>
      </c>
      <c r="I1190" s="7">
        <f>DATEDIF(L1190,S1190,"M")</f>
        <v>12</v>
      </c>
      <c r="J1190" s="7">
        <f>DATEDIF(L1190,S1190,"D")</f>
        <v>378</v>
      </c>
      <c r="K1190" t="s">
        <v>51</v>
      </c>
      <c r="L1190" s="1">
        <v>44793</v>
      </c>
      <c r="M1190" s="17" t="s">
        <v>45</v>
      </c>
      <c r="N1190" t="s">
        <v>83</v>
      </c>
      <c r="O1190" t="s">
        <v>52</v>
      </c>
      <c r="P1190" t="s">
        <v>2521</v>
      </c>
      <c r="Q1190">
        <v>0</v>
      </c>
      <c r="R1190" s="1">
        <v>45175</v>
      </c>
      <c r="S1190" s="1">
        <v>45171</v>
      </c>
      <c r="T1190" s="3" t="s">
        <v>54</v>
      </c>
      <c r="U1190" t="s">
        <v>55</v>
      </c>
      <c r="W1190" s="1">
        <v>45181</v>
      </c>
      <c r="Z1190">
        <f>MONTH(S1190)</f>
        <v>9</v>
      </c>
      <c r="AA1190" s="7">
        <f>INT((S1190-DATE(YEAR(S1190-WEEKDAY(S1190-0)+4),1,4)+WEEKDAY(DATE(YEAR(S1190-WEEKDAY(S1190-0)+4),1,4))+6)/7)</f>
        <v>35</v>
      </c>
      <c r="AB1190" t="s">
        <v>3071</v>
      </c>
      <c r="AG1190" s="7">
        <v>2023</v>
      </c>
      <c r="AH1190" t="s">
        <v>482</v>
      </c>
      <c r="AK1190" t="s">
        <v>2474</v>
      </c>
      <c r="AL1190" s="3" t="s">
        <v>59</v>
      </c>
    </row>
    <row r="1191" spans="1:38" ht="30" customHeight="1">
      <c r="A1191" s="3" t="s">
        <v>44</v>
      </c>
      <c r="B1191" s="3" t="s">
        <v>45</v>
      </c>
      <c r="G1191" t="s">
        <v>3072</v>
      </c>
      <c r="H1191" s="4">
        <f>IF(DATEDIF(L1191,S1191,"m")&gt;12,DATEDIF(L1191,S1191,"y"),(DATEDIF(L1191,S1191,"m")/12))</f>
        <v>70</v>
      </c>
      <c r="I1191" s="7">
        <f>DATEDIF(L1191,S1191,"M")</f>
        <v>845</v>
      </c>
      <c r="J1191" s="7">
        <f>DATEDIF(L1191,S1191,"D")</f>
        <v>25740</v>
      </c>
      <c r="K1191" t="s">
        <v>64</v>
      </c>
      <c r="L1191" s="1">
        <v>19431</v>
      </c>
      <c r="M1191" s="17" t="s">
        <v>45</v>
      </c>
      <c r="N1191" t="s">
        <v>83</v>
      </c>
      <c r="O1191" t="s">
        <v>52</v>
      </c>
      <c r="P1191" t="s">
        <v>2518</v>
      </c>
      <c r="Q1191">
        <v>0</v>
      </c>
      <c r="R1191" s="1">
        <v>45175</v>
      </c>
      <c r="S1191" s="1">
        <v>45171</v>
      </c>
      <c r="T1191" s="3" t="s">
        <v>54</v>
      </c>
      <c r="U1191" t="s">
        <v>55</v>
      </c>
      <c r="W1191" s="1">
        <v>45181</v>
      </c>
      <c r="Z1191">
        <f>MONTH(S1191)</f>
        <v>9</v>
      </c>
      <c r="AA1191" s="7">
        <f>INT((S1191-DATE(YEAR(S1191-WEEKDAY(S1191-0)+4),1,4)+WEEKDAY(DATE(YEAR(S1191-WEEKDAY(S1191-0)+4),1,4))+6)/7)</f>
        <v>35</v>
      </c>
      <c r="AB1191" t="s">
        <v>3073</v>
      </c>
      <c r="AG1191" s="7">
        <v>2023</v>
      </c>
      <c r="AH1191" t="s">
        <v>482</v>
      </c>
      <c r="AK1191" t="s">
        <v>2519</v>
      </c>
      <c r="AL1191" s="3" t="s">
        <v>59</v>
      </c>
    </row>
    <row r="1192" spans="1:38" ht="30" customHeight="1">
      <c r="A1192" s="3" t="s">
        <v>44</v>
      </c>
      <c r="B1192" s="3" t="s">
        <v>45</v>
      </c>
      <c r="G1192" t="s">
        <v>3074</v>
      </c>
      <c r="H1192" s="5">
        <f>IF(DATEDIF(L1192,S1192,"m")&gt;12,DATEDIF(L1192,S1192,"y"),(DATEDIF(L1192,S1192,"m")/12))</f>
        <v>8.3333333333333329E-2</v>
      </c>
      <c r="I1192" s="7">
        <f>DATEDIF(L1192,S1192,"M")</f>
        <v>1</v>
      </c>
      <c r="J1192" s="7">
        <f>DATEDIF(L1192,S1192,"D")</f>
        <v>32</v>
      </c>
      <c r="K1192" t="s">
        <v>64</v>
      </c>
      <c r="L1192" s="1">
        <v>45137</v>
      </c>
      <c r="M1192" s="17" t="s">
        <v>45</v>
      </c>
      <c r="N1192" t="s">
        <v>83</v>
      </c>
      <c r="O1192" t="s">
        <v>52</v>
      </c>
      <c r="P1192" t="s">
        <v>2598</v>
      </c>
      <c r="Q1192">
        <v>0</v>
      </c>
      <c r="R1192" s="1">
        <v>45175</v>
      </c>
      <c r="S1192" s="1">
        <v>45169</v>
      </c>
      <c r="T1192" s="3" t="s">
        <v>54</v>
      </c>
      <c r="U1192" t="s">
        <v>55</v>
      </c>
      <c r="W1192" s="1">
        <v>45181</v>
      </c>
      <c r="Z1192">
        <f>MONTH(S1192)</f>
        <v>8</v>
      </c>
      <c r="AA1192" s="7">
        <f>INT((S1192-DATE(YEAR(S1192-WEEKDAY(S1192-0)+4),1,4)+WEEKDAY(DATE(YEAR(S1192-WEEKDAY(S1192-0)+4),1,4))+6)/7)</f>
        <v>35</v>
      </c>
      <c r="AB1192" t="s">
        <v>3075</v>
      </c>
      <c r="AG1192" s="7">
        <v>2023</v>
      </c>
      <c r="AH1192" t="s">
        <v>482</v>
      </c>
      <c r="AK1192" t="s">
        <v>2474</v>
      </c>
      <c r="AL1192" s="3" t="s">
        <v>59</v>
      </c>
    </row>
    <row r="1193" spans="1:38" ht="30" customHeight="1">
      <c r="A1193" s="3" t="s">
        <v>44</v>
      </c>
      <c r="B1193" s="3" t="s">
        <v>45</v>
      </c>
      <c r="G1193" t="s">
        <v>3076</v>
      </c>
      <c r="H1193" s="4">
        <f>IF(DATEDIF(L1193,S1193,"m")&gt;12,DATEDIF(L1193,S1193,"y"),(DATEDIF(L1193,S1193,"m")/12))</f>
        <v>19</v>
      </c>
      <c r="I1193" s="7">
        <f>DATEDIF(L1193,S1193,"M")</f>
        <v>230</v>
      </c>
      <c r="J1193" s="7">
        <f>DATEDIF(L1193,S1193,"D")</f>
        <v>7019</v>
      </c>
      <c r="K1193" t="s">
        <v>64</v>
      </c>
      <c r="L1193" s="1">
        <v>38152</v>
      </c>
      <c r="M1193" s="17" t="s">
        <v>45</v>
      </c>
      <c r="N1193" t="s">
        <v>83</v>
      </c>
      <c r="O1193" t="s">
        <v>52</v>
      </c>
      <c r="P1193" t="s">
        <v>2472</v>
      </c>
      <c r="Q1193">
        <v>0</v>
      </c>
      <c r="R1193" s="1">
        <v>45175</v>
      </c>
      <c r="S1193" s="1">
        <v>45171</v>
      </c>
      <c r="T1193" s="3" t="s">
        <v>54</v>
      </c>
      <c r="U1193" t="s">
        <v>55</v>
      </c>
      <c r="W1193" s="1">
        <v>45181</v>
      </c>
      <c r="Z1193">
        <f>MONTH(S1193)</f>
        <v>9</v>
      </c>
      <c r="AA1193" s="7">
        <f>INT((S1193-DATE(YEAR(S1193-WEEKDAY(S1193-0)+4),1,4)+WEEKDAY(DATE(YEAR(S1193-WEEKDAY(S1193-0)+4),1,4))+6)/7)</f>
        <v>35</v>
      </c>
      <c r="AB1193" t="s">
        <v>3077</v>
      </c>
      <c r="AG1193" s="7">
        <v>2023</v>
      </c>
      <c r="AH1193" t="s">
        <v>482</v>
      </c>
      <c r="AK1193" t="s">
        <v>2929</v>
      </c>
      <c r="AL1193" s="3" t="s">
        <v>59</v>
      </c>
    </row>
    <row r="1194" spans="1:38" ht="30" customHeight="1">
      <c r="A1194" s="3" t="s">
        <v>44</v>
      </c>
      <c r="B1194" s="3" t="s">
        <v>45</v>
      </c>
      <c r="G1194">
        <v>30465</v>
      </c>
      <c r="H1194" s="4">
        <f>IF(DATEDIF(L1194,S1194,"m")&gt;12,DATEDIF(L1194,S1194,"y"),(DATEDIF(L1194,S1194,"m")/12))</f>
        <v>1</v>
      </c>
      <c r="I1194" s="7">
        <f>DATEDIF(L1194,S1194,"M")</f>
        <v>12</v>
      </c>
      <c r="J1194" s="7">
        <f>DATEDIF(L1194,S1194,"D")</f>
        <v>378</v>
      </c>
      <c r="K1194" t="s">
        <v>64</v>
      </c>
      <c r="L1194" s="1">
        <v>44800</v>
      </c>
      <c r="M1194" s="17" t="s">
        <v>45</v>
      </c>
      <c r="N1194" t="s">
        <v>101</v>
      </c>
      <c r="O1194" t="s">
        <v>52</v>
      </c>
      <c r="P1194" t="s">
        <v>2598</v>
      </c>
      <c r="Q1194">
        <v>1</v>
      </c>
      <c r="R1194" s="1">
        <v>45180</v>
      </c>
      <c r="S1194" s="1">
        <v>45178</v>
      </c>
      <c r="T1194" s="3" t="s">
        <v>54</v>
      </c>
      <c r="U1194" t="s">
        <v>55</v>
      </c>
      <c r="W1194" s="1">
        <v>45182</v>
      </c>
      <c r="Z1194">
        <f>MONTH(S1194)</f>
        <v>9</v>
      </c>
      <c r="AA1194" s="7">
        <f>INT((S1194-DATE(YEAR(S1194-WEEKDAY(S1194-0)+4),1,4)+WEEKDAY(DATE(YEAR(S1194-WEEKDAY(S1194-0)+4),1,4))+6)/7)</f>
        <v>36</v>
      </c>
      <c r="AB1194" t="s">
        <v>3080</v>
      </c>
      <c r="AG1194" s="7">
        <v>2023</v>
      </c>
      <c r="AH1194" t="s">
        <v>223</v>
      </c>
      <c r="AK1194" t="s">
        <v>2451</v>
      </c>
      <c r="AL1194" s="3" t="s">
        <v>59</v>
      </c>
    </row>
    <row r="1195" spans="1:38" ht="30" customHeight="1">
      <c r="A1195" s="3" t="s">
        <v>44</v>
      </c>
      <c r="B1195" s="3" t="s">
        <v>45</v>
      </c>
      <c r="G1195">
        <v>29604</v>
      </c>
      <c r="H1195" s="4">
        <f>IF(DATEDIF(L1195,S1195,"m")&gt;12,DATEDIF(L1195,S1195,"y"),(DATEDIF(L1195,S1195,"m")/12))</f>
        <v>2</v>
      </c>
      <c r="I1195" s="7">
        <f>DATEDIF(L1195,S1195,"M")</f>
        <v>24</v>
      </c>
      <c r="J1195" s="7">
        <f>DATEDIF(L1195,S1195,"D")</f>
        <v>747</v>
      </c>
      <c r="K1195" t="s">
        <v>51</v>
      </c>
      <c r="L1195" s="1">
        <v>44389</v>
      </c>
      <c r="M1195" s="17" t="s">
        <v>45</v>
      </c>
      <c r="N1195" t="s">
        <v>65</v>
      </c>
      <c r="O1195" t="s">
        <v>52</v>
      </c>
      <c r="P1195" t="s">
        <v>3082</v>
      </c>
      <c r="Q1195">
        <v>1</v>
      </c>
      <c r="R1195" s="1">
        <v>45138</v>
      </c>
      <c r="S1195" s="1">
        <v>45136</v>
      </c>
      <c r="T1195" s="3" t="s">
        <v>54</v>
      </c>
      <c r="U1195" t="s">
        <v>55</v>
      </c>
      <c r="W1195" s="1">
        <v>45182</v>
      </c>
      <c r="Z1195">
        <f>MONTH(S1195)</f>
        <v>7</v>
      </c>
      <c r="AA1195" s="7">
        <f>INT((S1195-DATE(YEAR(S1195-WEEKDAY(S1195-0)+4),1,4)+WEEKDAY(DATE(YEAR(S1195-WEEKDAY(S1195-0)+4),1,4))+6)/7)</f>
        <v>30</v>
      </c>
      <c r="AB1195" t="s">
        <v>3083</v>
      </c>
      <c r="AG1195" s="7">
        <v>2023</v>
      </c>
      <c r="AH1195" t="s">
        <v>223</v>
      </c>
      <c r="AK1195" t="s">
        <v>2470</v>
      </c>
      <c r="AL1195" s="3" t="s">
        <v>59</v>
      </c>
    </row>
    <row r="1196" spans="1:38" ht="30" customHeight="1">
      <c r="A1196" s="3" t="s">
        <v>44</v>
      </c>
      <c r="B1196" s="3" t="s">
        <v>45</v>
      </c>
      <c r="G1196">
        <v>9036</v>
      </c>
      <c r="H1196" s="4">
        <f>IF(DATEDIF(L1196,S1196,"m")&gt;12,DATEDIF(L1196,S1196,"y"),(DATEDIF(L1196,S1196,"m")/12))</f>
        <v>5</v>
      </c>
      <c r="I1196" s="7">
        <f>DATEDIF(L1196,S1196,"M")</f>
        <v>64</v>
      </c>
      <c r="J1196" s="7">
        <f>DATEDIF(L1196,S1196,"D")</f>
        <v>1970</v>
      </c>
      <c r="K1196" t="s">
        <v>51</v>
      </c>
      <c r="L1196" s="1">
        <v>43145</v>
      </c>
      <c r="M1196" s="17" t="s">
        <v>45</v>
      </c>
      <c r="N1196" t="s">
        <v>101</v>
      </c>
      <c r="O1196" t="s">
        <v>52</v>
      </c>
      <c r="P1196" t="s">
        <v>2670</v>
      </c>
      <c r="Q1196">
        <v>1</v>
      </c>
      <c r="R1196" s="1">
        <v>45117</v>
      </c>
      <c r="S1196" s="1">
        <v>45115</v>
      </c>
      <c r="T1196" s="3" t="s">
        <v>54</v>
      </c>
      <c r="U1196" t="s">
        <v>55</v>
      </c>
      <c r="W1196" s="1">
        <v>45182</v>
      </c>
      <c r="Z1196">
        <f>MONTH(S1196)</f>
        <v>7</v>
      </c>
      <c r="AA1196" s="7">
        <f>INT((S1196-DATE(YEAR(S1196-WEEKDAY(S1196-0)+4),1,4)+WEEKDAY(DATE(YEAR(S1196-WEEKDAY(S1196-0)+4),1,4))+6)/7)</f>
        <v>27</v>
      </c>
      <c r="AB1196" t="s">
        <v>3085</v>
      </c>
      <c r="AG1196" s="7">
        <v>2023</v>
      </c>
      <c r="AH1196" t="s">
        <v>223</v>
      </c>
      <c r="AK1196" t="s">
        <v>2481</v>
      </c>
      <c r="AL1196" s="3" t="s">
        <v>59</v>
      </c>
    </row>
    <row r="1197" spans="1:38" ht="30" customHeight="1">
      <c r="A1197" s="3" t="s">
        <v>44</v>
      </c>
      <c r="B1197" s="3" t="s">
        <v>45</v>
      </c>
      <c r="G1197">
        <v>19167</v>
      </c>
      <c r="H1197" s="4">
        <f>IF(DATEDIF(L1197,S1197,"m")&gt;12,DATEDIF(L1197,S1197,"y"),(DATEDIF(L1197,S1197,"m")/12))</f>
        <v>2</v>
      </c>
      <c r="I1197" s="7">
        <f>DATEDIF(L1197,S1197,"M")</f>
        <v>26</v>
      </c>
      <c r="J1197" s="7">
        <f>DATEDIF(L1197,S1197,"D")</f>
        <v>792</v>
      </c>
      <c r="K1197" t="s">
        <v>51</v>
      </c>
      <c r="L1197" s="1">
        <v>44342</v>
      </c>
      <c r="M1197" s="17" t="s">
        <v>45</v>
      </c>
      <c r="N1197" t="s">
        <v>101</v>
      </c>
      <c r="O1197" t="s">
        <v>52</v>
      </c>
      <c r="P1197" t="s">
        <v>2521</v>
      </c>
      <c r="Q1197">
        <v>1</v>
      </c>
      <c r="R1197" s="1">
        <v>45136</v>
      </c>
      <c r="S1197" s="1">
        <v>45134</v>
      </c>
      <c r="T1197" s="3" t="s">
        <v>54</v>
      </c>
      <c r="U1197" t="s">
        <v>55</v>
      </c>
      <c r="W1197" s="1">
        <v>45182</v>
      </c>
      <c r="Z1197">
        <f>MONTH(S1197)</f>
        <v>7</v>
      </c>
      <c r="AA1197" s="7">
        <f>INT((S1197-DATE(YEAR(S1197-WEEKDAY(S1197-0)+4),1,4)+WEEKDAY(DATE(YEAR(S1197-WEEKDAY(S1197-0)+4),1,4))+6)/7)</f>
        <v>30</v>
      </c>
      <c r="AB1197" t="s">
        <v>3086</v>
      </c>
      <c r="AG1197" s="7">
        <v>2023</v>
      </c>
      <c r="AH1197" t="s">
        <v>223</v>
      </c>
      <c r="AK1197" t="s">
        <v>2481</v>
      </c>
      <c r="AL1197" s="3" t="s">
        <v>59</v>
      </c>
    </row>
    <row r="1198" spans="1:38" ht="30" customHeight="1">
      <c r="A1198" s="3" t="s">
        <v>44</v>
      </c>
      <c r="B1198" s="3" t="s">
        <v>45</v>
      </c>
      <c r="G1198">
        <v>12566</v>
      </c>
      <c r="H1198" s="4">
        <f>IF(DATEDIF(L1198,S1198,"m")&gt;12,DATEDIF(L1198,S1198,"y"),(DATEDIF(L1198,S1198,"m")/12))</f>
        <v>1</v>
      </c>
      <c r="I1198" s="7">
        <f>DATEDIF(L1198,S1198,"M")</f>
        <v>16</v>
      </c>
      <c r="J1198" s="7">
        <f>DATEDIF(L1198,S1198,"D")</f>
        <v>511</v>
      </c>
      <c r="K1198" t="s">
        <v>64</v>
      </c>
      <c r="L1198" s="1">
        <v>44599</v>
      </c>
      <c r="M1198" s="17" t="s">
        <v>45</v>
      </c>
      <c r="N1198" t="s">
        <v>101</v>
      </c>
      <c r="O1198" t="s">
        <v>52</v>
      </c>
      <c r="P1198" t="s">
        <v>2620</v>
      </c>
      <c r="Q1198">
        <v>1</v>
      </c>
      <c r="R1198" s="1">
        <v>45112</v>
      </c>
      <c r="S1198" s="1">
        <v>45110</v>
      </c>
      <c r="T1198" s="3" t="s">
        <v>54</v>
      </c>
      <c r="U1198" t="s">
        <v>55</v>
      </c>
      <c r="W1198" s="1">
        <v>45182</v>
      </c>
      <c r="Z1198">
        <f>MONTH(S1198)</f>
        <v>7</v>
      </c>
      <c r="AA1198" s="7">
        <f>INT((S1198-DATE(YEAR(S1198-WEEKDAY(S1198-0)+4),1,4)+WEEKDAY(DATE(YEAR(S1198-WEEKDAY(S1198-0)+4),1,4))+6)/7)</f>
        <v>27</v>
      </c>
      <c r="AB1198" t="s">
        <v>3092</v>
      </c>
      <c r="AG1198" s="7">
        <v>2023</v>
      </c>
      <c r="AH1198" t="s">
        <v>223</v>
      </c>
      <c r="AK1198" t="s">
        <v>2481</v>
      </c>
      <c r="AL1198" s="3" t="s">
        <v>59</v>
      </c>
    </row>
    <row r="1199" spans="1:38" ht="30" customHeight="1">
      <c r="A1199" s="3" t="s">
        <v>44</v>
      </c>
      <c r="B1199" s="3" t="s">
        <v>45</v>
      </c>
      <c r="G1199">
        <v>12610</v>
      </c>
      <c r="H1199" s="4">
        <f>IF(DATEDIF(L1199,S1199,"m")&gt;12,DATEDIF(L1199,S1199,"y"),(DATEDIF(L1199,S1199,"m")/12))</f>
        <v>1</v>
      </c>
      <c r="I1199" s="7">
        <f>DATEDIF(L1199,S1199,"M")</f>
        <v>14</v>
      </c>
      <c r="J1199" s="7">
        <f>DATEDIF(L1199,S1199,"D")</f>
        <v>449</v>
      </c>
      <c r="K1199" t="s">
        <v>64</v>
      </c>
      <c r="L1199" s="1">
        <v>44671</v>
      </c>
      <c r="M1199" s="17" t="s">
        <v>45</v>
      </c>
      <c r="N1199" t="s">
        <v>101</v>
      </c>
      <c r="O1199" t="s">
        <v>52</v>
      </c>
      <c r="P1199" t="s">
        <v>2921</v>
      </c>
      <c r="Q1199">
        <v>1</v>
      </c>
      <c r="R1199" s="1">
        <v>45122</v>
      </c>
      <c r="S1199" s="1">
        <v>45120</v>
      </c>
      <c r="T1199" s="3" t="s">
        <v>54</v>
      </c>
      <c r="U1199" t="s">
        <v>55</v>
      </c>
      <c r="W1199" s="1">
        <v>45182</v>
      </c>
      <c r="Z1199">
        <f>MONTH(S1199)</f>
        <v>7</v>
      </c>
      <c r="AA1199" s="7">
        <f>INT((S1199-DATE(YEAR(S1199-WEEKDAY(S1199-0)+4),1,4)+WEEKDAY(DATE(YEAR(S1199-WEEKDAY(S1199-0)+4),1,4))+6)/7)</f>
        <v>28</v>
      </c>
      <c r="AB1199" t="s">
        <v>3097</v>
      </c>
      <c r="AG1199" s="7">
        <v>2023</v>
      </c>
      <c r="AH1199" t="s">
        <v>223</v>
      </c>
      <c r="AK1199" t="s">
        <v>2481</v>
      </c>
      <c r="AL1199" s="3" t="s">
        <v>59</v>
      </c>
    </row>
    <row r="1200" spans="1:38" ht="30" customHeight="1">
      <c r="A1200" s="3" t="s">
        <v>44</v>
      </c>
      <c r="B1200" s="3" t="s">
        <v>45</v>
      </c>
      <c r="G1200">
        <v>12647</v>
      </c>
      <c r="H1200" s="5">
        <f>IF(DATEDIF(L1200,S1200,"m")&gt;12,DATEDIF(L1200,S1200,"y"),(DATEDIF(L1200,S1200,"m")/12))</f>
        <v>0.58333333333333337</v>
      </c>
      <c r="I1200" s="7">
        <f>DATEDIF(L1200,S1200,"M")</f>
        <v>7</v>
      </c>
      <c r="J1200" s="7">
        <f>DATEDIF(L1200,S1200,"D")</f>
        <v>225</v>
      </c>
      <c r="K1200" t="s">
        <v>51</v>
      </c>
      <c r="L1200" s="1">
        <v>44901</v>
      </c>
      <c r="M1200" s="17" t="s">
        <v>45</v>
      </c>
      <c r="N1200" t="s">
        <v>65</v>
      </c>
      <c r="O1200" t="s">
        <v>52</v>
      </c>
      <c r="Q1200">
        <v>1</v>
      </c>
      <c r="R1200" s="1">
        <v>45128</v>
      </c>
      <c r="S1200" s="1">
        <v>45126</v>
      </c>
      <c r="T1200" s="3" t="s">
        <v>54</v>
      </c>
      <c r="U1200" t="s">
        <v>55</v>
      </c>
      <c r="W1200" s="1">
        <v>45182</v>
      </c>
      <c r="Z1200">
        <f>MONTH(S1200)</f>
        <v>7</v>
      </c>
      <c r="AA1200" s="7">
        <f>INT((S1200-DATE(YEAR(S1200-WEEKDAY(S1200-0)+4),1,4)+WEEKDAY(DATE(YEAR(S1200-WEEKDAY(S1200-0)+4),1,4))+6)/7)</f>
        <v>29</v>
      </c>
      <c r="AB1200" t="s">
        <v>3102</v>
      </c>
      <c r="AG1200" s="7">
        <v>2023</v>
      </c>
      <c r="AH1200" t="s">
        <v>223</v>
      </c>
      <c r="AK1200" t="s">
        <v>2551</v>
      </c>
      <c r="AL1200" s="3" t="s">
        <v>59</v>
      </c>
    </row>
    <row r="1201" spans="1:38" ht="30" customHeight="1">
      <c r="A1201" s="3" t="s">
        <v>44</v>
      </c>
      <c r="B1201" s="3" t="s">
        <v>45</v>
      </c>
      <c r="G1201">
        <v>30452</v>
      </c>
      <c r="H1201" s="4">
        <f>IF(DATEDIF(L1201,S1201,"m")&gt;12,DATEDIF(L1201,S1201,"y"),(DATEDIF(L1201,S1201,"m")/12))</f>
        <v>12</v>
      </c>
      <c r="I1201" s="7">
        <f>DATEDIF(L1201,S1201,"M")</f>
        <v>147</v>
      </c>
      <c r="J1201" s="7">
        <f>DATEDIF(L1201,S1201,"D")</f>
        <v>4480</v>
      </c>
      <c r="K1201" t="s">
        <v>51</v>
      </c>
      <c r="L1201" s="1">
        <v>40699</v>
      </c>
      <c r="M1201" s="17" t="s">
        <v>45</v>
      </c>
      <c r="N1201" t="s">
        <v>65</v>
      </c>
      <c r="O1201" t="s">
        <v>52</v>
      </c>
      <c r="P1201" t="s">
        <v>2579</v>
      </c>
      <c r="Q1201">
        <v>1</v>
      </c>
      <c r="R1201" s="1">
        <v>45180</v>
      </c>
      <c r="S1201" s="1">
        <v>45179</v>
      </c>
      <c r="T1201" s="3" t="s">
        <v>54</v>
      </c>
      <c r="U1201" t="s">
        <v>55</v>
      </c>
      <c r="W1201" s="1">
        <v>45182</v>
      </c>
      <c r="Z1201">
        <f>MONTH(S1201)</f>
        <v>9</v>
      </c>
      <c r="AA1201" s="7">
        <f>INT((S1201-DATE(YEAR(S1201-WEEKDAY(S1201-0)+4),1,4)+WEEKDAY(DATE(YEAR(S1201-WEEKDAY(S1201-0)+4),1,4))+6)/7)</f>
        <v>37</v>
      </c>
      <c r="AB1201" t="s">
        <v>3104</v>
      </c>
      <c r="AG1201" s="7">
        <v>2023</v>
      </c>
      <c r="AH1201" t="s">
        <v>223</v>
      </c>
      <c r="AK1201" t="s">
        <v>3105</v>
      </c>
      <c r="AL1201" s="3" t="s">
        <v>59</v>
      </c>
    </row>
    <row r="1202" spans="1:38" ht="30" customHeight="1">
      <c r="A1202" s="3" t="s">
        <v>44</v>
      </c>
      <c r="B1202" s="3" t="s">
        <v>45</v>
      </c>
      <c r="G1202">
        <v>6851</v>
      </c>
      <c r="H1202" s="4">
        <f>IF(DATEDIF(L1202,S1202,"m")&gt;12,DATEDIF(L1202,S1202,"y"),(DATEDIF(L1202,S1202,"m")/12))</f>
        <v>3</v>
      </c>
      <c r="I1202" s="7">
        <f>DATEDIF(L1202,S1202,"M")</f>
        <v>47</v>
      </c>
      <c r="J1202" s="7">
        <f>DATEDIF(L1202,S1202,"D")</f>
        <v>1438</v>
      </c>
      <c r="K1202" t="s">
        <v>51</v>
      </c>
      <c r="L1202" s="1">
        <v>43681</v>
      </c>
      <c r="M1202" s="17" t="s">
        <v>45</v>
      </c>
      <c r="N1202" t="s">
        <v>101</v>
      </c>
      <c r="O1202" t="s">
        <v>52</v>
      </c>
      <c r="P1202" t="s">
        <v>2579</v>
      </c>
      <c r="Q1202">
        <v>1</v>
      </c>
      <c r="R1202" s="1">
        <v>45121</v>
      </c>
      <c r="S1202" s="1">
        <v>45119</v>
      </c>
      <c r="T1202" s="3" t="s">
        <v>54</v>
      </c>
      <c r="U1202" t="s">
        <v>55</v>
      </c>
      <c r="W1202" s="1">
        <v>45182</v>
      </c>
      <c r="Z1202">
        <f>MONTH(S1202)</f>
        <v>7</v>
      </c>
      <c r="AA1202" s="7">
        <f>INT((S1202-DATE(YEAR(S1202-WEEKDAY(S1202-0)+4),1,4)+WEEKDAY(DATE(YEAR(S1202-WEEKDAY(S1202-0)+4),1,4))+6)/7)</f>
        <v>28</v>
      </c>
      <c r="AB1202" t="s">
        <v>3107</v>
      </c>
      <c r="AG1202" s="7">
        <v>2023</v>
      </c>
      <c r="AH1202" t="s">
        <v>223</v>
      </c>
      <c r="AK1202" t="s">
        <v>2481</v>
      </c>
      <c r="AL1202" s="3" t="s">
        <v>59</v>
      </c>
    </row>
    <row r="1203" spans="1:38" ht="30" customHeight="1">
      <c r="A1203" s="3" t="s">
        <v>44</v>
      </c>
      <c r="B1203" s="3" t="s">
        <v>45</v>
      </c>
      <c r="G1203">
        <v>12603</v>
      </c>
      <c r="H1203" s="4">
        <f>IF(DATEDIF(L1203,S1203,"m")&gt;12,DATEDIF(L1203,S1203,"y"),(DATEDIF(L1203,S1203,"m")/12))</f>
        <v>4</v>
      </c>
      <c r="I1203" s="7">
        <f>DATEDIF(L1203,S1203,"M")</f>
        <v>57</v>
      </c>
      <c r="J1203" s="7">
        <f>DATEDIF(L1203,S1203,"D")</f>
        <v>1756</v>
      </c>
      <c r="K1203" t="s">
        <v>51</v>
      </c>
      <c r="L1203" s="1">
        <v>43362</v>
      </c>
      <c r="M1203" s="17" t="s">
        <v>45</v>
      </c>
      <c r="N1203" t="s">
        <v>101</v>
      </c>
      <c r="O1203" t="s">
        <v>52</v>
      </c>
      <c r="P1203" t="s">
        <v>2472</v>
      </c>
      <c r="Q1203">
        <v>1</v>
      </c>
      <c r="R1203" s="1">
        <v>45120</v>
      </c>
      <c r="S1203" s="1">
        <v>45118</v>
      </c>
      <c r="T1203" s="3" t="s">
        <v>54</v>
      </c>
      <c r="U1203" t="s">
        <v>55</v>
      </c>
      <c r="W1203" s="1">
        <v>45182</v>
      </c>
      <c r="Z1203">
        <f>MONTH(S1203)</f>
        <v>7</v>
      </c>
      <c r="AA1203" s="7">
        <f>INT((S1203-DATE(YEAR(S1203-WEEKDAY(S1203-0)+4),1,4)+WEEKDAY(DATE(YEAR(S1203-WEEKDAY(S1203-0)+4),1,4))+6)/7)</f>
        <v>28</v>
      </c>
      <c r="AB1203" t="s">
        <v>3113</v>
      </c>
      <c r="AG1203" s="7">
        <v>2023</v>
      </c>
      <c r="AH1203" t="s">
        <v>223</v>
      </c>
      <c r="AK1203" t="s">
        <v>2481</v>
      </c>
      <c r="AL1203" s="3" t="s">
        <v>59</v>
      </c>
    </row>
    <row r="1204" spans="1:38" ht="30" customHeight="1">
      <c r="A1204" s="3" t="s">
        <v>44</v>
      </c>
      <c r="B1204" s="3" t="s">
        <v>45</v>
      </c>
      <c r="G1204" t="s">
        <v>3078</v>
      </c>
      <c r="H1204" s="4">
        <f>IF(DATEDIF(L1204,S1204,"m")&gt;12,DATEDIF(L1204,S1204,"y"),(DATEDIF(L1204,S1204,"m")/12))</f>
        <v>6</v>
      </c>
      <c r="I1204" s="7">
        <f>DATEDIF(L1204,S1204,"M")</f>
        <v>74</v>
      </c>
      <c r="J1204" s="7">
        <f>DATEDIF(L1204,S1204,"D")</f>
        <v>2258</v>
      </c>
      <c r="K1204" t="s">
        <v>64</v>
      </c>
      <c r="L1204" s="1">
        <v>42923</v>
      </c>
      <c r="M1204" s="17" t="s">
        <v>45</v>
      </c>
      <c r="N1204" t="s">
        <v>83</v>
      </c>
      <c r="O1204" t="s">
        <v>52</v>
      </c>
      <c r="P1204" t="s">
        <v>2518</v>
      </c>
      <c r="Q1204">
        <v>0</v>
      </c>
      <c r="R1204" s="1">
        <v>45184</v>
      </c>
      <c r="S1204" s="1">
        <v>45181</v>
      </c>
      <c r="T1204" s="3" t="s">
        <v>54</v>
      </c>
      <c r="U1204" t="s">
        <v>55</v>
      </c>
      <c r="W1204" s="1">
        <v>45184</v>
      </c>
      <c r="Z1204">
        <f>MONTH(S1204)</f>
        <v>9</v>
      </c>
      <c r="AA1204" s="7">
        <f>INT((S1204-DATE(YEAR(S1204-WEEKDAY(S1204-0)+4),1,4)+WEEKDAY(DATE(YEAR(S1204-WEEKDAY(S1204-0)+4),1,4))+6)/7)</f>
        <v>37</v>
      </c>
      <c r="AB1204" t="s">
        <v>3079</v>
      </c>
      <c r="AG1204" s="7">
        <v>2023</v>
      </c>
      <c r="AH1204" t="s">
        <v>482</v>
      </c>
      <c r="AK1204" t="s">
        <v>140</v>
      </c>
      <c r="AL1204" s="3" t="s">
        <v>59</v>
      </c>
    </row>
    <row r="1205" spans="1:38" ht="30" customHeight="1">
      <c r="A1205" s="3" t="s">
        <v>44</v>
      </c>
      <c r="B1205" s="3" t="s">
        <v>45</v>
      </c>
      <c r="G1205">
        <v>177</v>
      </c>
      <c r="H1205" s="4">
        <f>IF(DATEDIF(L1205,S1205,"m")&gt;12,DATEDIF(L1205,S1205,"y"),(DATEDIF(L1205,S1205,"m")/12))</f>
        <v>12</v>
      </c>
      <c r="I1205" s="7">
        <f>DATEDIF(L1205,S1205,"M")</f>
        <v>150</v>
      </c>
      <c r="J1205" s="7">
        <f>DATEDIF(L1205,S1205,"D")</f>
        <v>4587</v>
      </c>
      <c r="K1205" t="s">
        <v>51</v>
      </c>
      <c r="L1205" s="1">
        <v>40594</v>
      </c>
      <c r="M1205" s="17" t="s">
        <v>45</v>
      </c>
      <c r="N1205" t="s">
        <v>83</v>
      </c>
      <c r="O1205" t="s">
        <v>52</v>
      </c>
      <c r="Q1205">
        <v>0</v>
      </c>
      <c r="R1205" s="1">
        <v>45184</v>
      </c>
      <c r="S1205" s="1">
        <v>45181</v>
      </c>
      <c r="T1205" s="3" t="s">
        <v>54</v>
      </c>
      <c r="U1205" t="s">
        <v>55</v>
      </c>
      <c r="W1205" s="1">
        <v>45184</v>
      </c>
      <c r="Z1205">
        <f>MONTH(S1205)</f>
        <v>9</v>
      </c>
      <c r="AA1205" s="7">
        <f>INT((S1205-DATE(YEAR(S1205-WEEKDAY(S1205-0)+4),1,4)+WEEKDAY(DATE(YEAR(S1205-WEEKDAY(S1205-0)+4),1,4))+6)/7)</f>
        <v>37</v>
      </c>
      <c r="AB1205" t="s">
        <v>3081</v>
      </c>
      <c r="AG1205" s="7">
        <v>2023</v>
      </c>
      <c r="AH1205" t="s">
        <v>482</v>
      </c>
      <c r="AK1205" t="s">
        <v>140</v>
      </c>
      <c r="AL1205" s="3" t="s">
        <v>59</v>
      </c>
    </row>
    <row r="1206" spans="1:38" ht="30" customHeight="1">
      <c r="A1206" s="3" t="s">
        <v>44</v>
      </c>
      <c r="B1206" s="3" t="s">
        <v>45</v>
      </c>
      <c r="G1206" t="s">
        <v>3087</v>
      </c>
      <c r="H1206" s="4">
        <f>IF(DATEDIF(L1206,S1206,"m")&gt;12,DATEDIF(L1206,S1206,"y"),(DATEDIF(L1206,S1206,"m")/12))</f>
        <v>14</v>
      </c>
      <c r="I1206" s="7">
        <f>DATEDIF(L1206,S1206,"M")</f>
        <v>177</v>
      </c>
      <c r="J1206" s="7">
        <f>DATEDIF(L1206,S1206,"D")</f>
        <v>5400</v>
      </c>
      <c r="K1206" t="s">
        <v>64</v>
      </c>
      <c r="L1206" s="1">
        <v>39781</v>
      </c>
      <c r="M1206" s="17" t="s">
        <v>45</v>
      </c>
      <c r="N1206" t="s">
        <v>83</v>
      </c>
      <c r="O1206" t="s">
        <v>52</v>
      </c>
      <c r="P1206" t="s">
        <v>3088</v>
      </c>
      <c r="Q1206">
        <v>0</v>
      </c>
      <c r="R1206" s="1">
        <v>45184</v>
      </c>
      <c r="S1206" s="1">
        <v>45181</v>
      </c>
      <c r="T1206" s="3" t="s">
        <v>54</v>
      </c>
      <c r="U1206" t="s">
        <v>55</v>
      </c>
      <c r="W1206" s="1">
        <v>45184</v>
      </c>
      <c r="Z1206">
        <f>MONTH(S1206)</f>
        <v>9</v>
      </c>
      <c r="AA1206" s="7">
        <f>INT((S1206-DATE(YEAR(S1206-WEEKDAY(S1206-0)+4),1,4)+WEEKDAY(DATE(YEAR(S1206-WEEKDAY(S1206-0)+4),1,4))+6)/7)</f>
        <v>37</v>
      </c>
      <c r="AB1206" t="s">
        <v>3089</v>
      </c>
      <c r="AG1206" s="7">
        <v>2023</v>
      </c>
      <c r="AH1206" t="s">
        <v>482</v>
      </c>
      <c r="AK1206" t="s">
        <v>140</v>
      </c>
      <c r="AL1206" s="3" t="s">
        <v>59</v>
      </c>
    </row>
    <row r="1207" spans="1:38" ht="30" customHeight="1">
      <c r="A1207" s="3" t="s">
        <v>44</v>
      </c>
      <c r="B1207" s="3" t="s">
        <v>45</v>
      </c>
      <c r="G1207">
        <v>176</v>
      </c>
      <c r="H1207" s="4">
        <f>IF(DATEDIF(L1207,S1207,"m")&gt;12,DATEDIF(L1207,S1207,"y"),(DATEDIF(L1207,S1207,"m")/12))</f>
        <v>12</v>
      </c>
      <c r="I1207" s="7">
        <f>DATEDIF(L1207,S1207,"M")</f>
        <v>151</v>
      </c>
      <c r="J1207" s="7">
        <f>DATEDIF(L1207,S1207,"D")</f>
        <v>4621</v>
      </c>
      <c r="K1207" t="s">
        <v>64</v>
      </c>
      <c r="L1207" s="1">
        <v>40560</v>
      </c>
      <c r="M1207" s="17" t="s">
        <v>45</v>
      </c>
      <c r="N1207" t="s">
        <v>83</v>
      </c>
      <c r="O1207" t="s">
        <v>52</v>
      </c>
      <c r="Q1207">
        <v>0</v>
      </c>
      <c r="R1207" s="1">
        <v>45184</v>
      </c>
      <c r="S1207" s="1">
        <v>45181</v>
      </c>
      <c r="T1207" s="3" t="s">
        <v>54</v>
      </c>
      <c r="U1207" t="s">
        <v>55</v>
      </c>
      <c r="W1207" s="1">
        <v>45184</v>
      </c>
      <c r="Z1207">
        <f>MONTH(S1207)</f>
        <v>9</v>
      </c>
      <c r="AA1207" s="7">
        <f>INT((S1207-DATE(YEAR(S1207-WEEKDAY(S1207-0)+4),1,4)+WEEKDAY(DATE(YEAR(S1207-WEEKDAY(S1207-0)+4),1,4))+6)/7)</f>
        <v>37</v>
      </c>
      <c r="AB1207" t="s">
        <v>3093</v>
      </c>
      <c r="AG1207" s="7">
        <v>2023</v>
      </c>
      <c r="AH1207" t="s">
        <v>482</v>
      </c>
      <c r="AK1207" t="s">
        <v>140</v>
      </c>
      <c r="AL1207" s="3" t="s">
        <v>59</v>
      </c>
    </row>
    <row r="1208" spans="1:38" ht="30" customHeight="1">
      <c r="A1208" s="3" t="s">
        <v>44</v>
      </c>
      <c r="B1208" s="3" t="s">
        <v>45</v>
      </c>
      <c r="G1208">
        <v>178</v>
      </c>
      <c r="H1208" s="4">
        <f>IF(DATEDIF(L1208,S1208,"m")&gt;12,DATEDIF(L1208,S1208,"y"),(DATEDIF(L1208,S1208,"m")/12))</f>
        <v>20</v>
      </c>
      <c r="I1208" s="7">
        <f>DATEDIF(L1208,S1208,"M")</f>
        <v>240</v>
      </c>
      <c r="J1208" s="7">
        <f>DATEDIF(L1208,S1208,"D")</f>
        <v>7319</v>
      </c>
      <c r="K1208" t="s">
        <v>64</v>
      </c>
      <c r="L1208" s="1">
        <v>37863</v>
      </c>
      <c r="M1208" s="17" t="s">
        <v>45</v>
      </c>
      <c r="N1208" t="s">
        <v>83</v>
      </c>
      <c r="O1208" t="s">
        <v>52</v>
      </c>
      <c r="P1208" t="s">
        <v>2518</v>
      </c>
      <c r="Q1208">
        <v>0</v>
      </c>
      <c r="R1208" s="1">
        <v>45184</v>
      </c>
      <c r="S1208" s="1">
        <v>45182</v>
      </c>
      <c r="T1208" s="3" t="s">
        <v>54</v>
      </c>
      <c r="U1208" t="s">
        <v>55</v>
      </c>
      <c r="W1208" s="1">
        <v>45184</v>
      </c>
      <c r="Z1208">
        <f>MONTH(S1208)</f>
        <v>9</v>
      </c>
      <c r="AA1208" s="7">
        <f>INT((S1208-DATE(YEAR(S1208-WEEKDAY(S1208-0)+4),1,4)+WEEKDAY(DATE(YEAR(S1208-WEEKDAY(S1208-0)+4),1,4))+6)/7)</f>
        <v>37</v>
      </c>
      <c r="AB1208" t="s">
        <v>3096</v>
      </c>
      <c r="AG1208" s="7">
        <v>2023</v>
      </c>
      <c r="AH1208" t="s">
        <v>482</v>
      </c>
      <c r="AK1208" t="s">
        <v>140</v>
      </c>
      <c r="AL1208" s="3" t="s">
        <v>59</v>
      </c>
    </row>
    <row r="1209" spans="1:38" ht="30" customHeight="1">
      <c r="A1209" s="3" t="s">
        <v>44</v>
      </c>
      <c r="B1209" s="3" t="s">
        <v>45</v>
      </c>
      <c r="G1209">
        <v>180</v>
      </c>
      <c r="H1209" s="4">
        <f>IF(DATEDIF(L1209,S1209,"m")&gt;12,DATEDIF(L1209,S1209,"y"),(DATEDIF(L1209,S1209,"m")/12))</f>
        <v>41</v>
      </c>
      <c r="I1209" s="7">
        <f>DATEDIF(L1209,S1209,"M")</f>
        <v>499</v>
      </c>
      <c r="J1209" s="7">
        <f>DATEDIF(L1209,S1209,"D")</f>
        <v>15209</v>
      </c>
      <c r="K1209" t="s">
        <v>51</v>
      </c>
      <c r="L1209" s="1">
        <v>29972</v>
      </c>
      <c r="M1209" s="17" t="s">
        <v>45</v>
      </c>
      <c r="N1209" t="s">
        <v>83</v>
      </c>
      <c r="O1209" t="s">
        <v>52</v>
      </c>
      <c r="P1209" t="s">
        <v>2646</v>
      </c>
      <c r="Q1209">
        <v>0</v>
      </c>
      <c r="R1209" s="1">
        <v>45184</v>
      </c>
      <c r="S1209" s="1">
        <v>45181</v>
      </c>
      <c r="T1209" s="3" t="s">
        <v>54</v>
      </c>
      <c r="U1209" t="s">
        <v>55</v>
      </c>
      <c r="W1209" s="1">
        <v>45184</v>
      </c>
      <c r="Z1209">
        <f>MONTH(S1209)</f>
        <v>9</v>
      </c>
      <c r="AA1209" s="7">
        <f>INT((S1209-DATE(YEAR(S1209-WEEKDAY(S1209-0)+4),1,4)+WEEKDAY(DATE(YEAR(S1209-WEEKDAY(S1209-0)+4),1,4))+6)/7)</f>
        <v>37</v>
      </c>
      <c r="AB1209" t="s">
        <v>3098</v>
      </c>
      <c r="AG1209" s="7">
        <v>2023</v>
      </c>
      <c r="AH1209" t="s">
        <v>482</v>
      </c>
      <c r="AK1209" t="s">
        <v>140</v>
      </c>
      <c r="AL1209" s="3" t="s">
        <v>59</v>
      </c>
    </row>
    <row r="1210" spans="1:38" ht="30" customHeight="1">
      <c r="A1210" s="3" t="s">
        <v>44</v>
      </c>
      <c r="B1210" s="3" t="s">
        <v>45</v>
      </c>
      <c r="G1210">
        <v>181</v>
      </c>
      <c r="H1210" s="4">
        <f>IF(DATEDIF(L1210,S1210,"m")&gt;12,DATEDIF(L1210,S1210,"y"),(DATEDIF(L1210,S1210,"m")/12))</f>
        <v>1</v>
      </c>
      <c r="I1210" s="7">
        <f>DATEDIF(L1210,S1210,"M")</f>
        <v>19</v>
      </c>
      <c r="J1210" s="7">
        <f>DATEDIF(L1210,S1210,"D")</f>
        <v>589</v>
      </c>
      <c r="K1210" t="s">
        <v>64</v>
      </c>
      <c r="L1210" s="1">
        <v>44590</v>
      </c>
      <c r="M1210" s="17" t="s">
        <v>45</v>
      </c>
      <c r="N1210" t="s">
        <v>83</v>
      </c>
      <c r="O1210" t="s">
        <v>52</v>
      </c>
      <c r="P1210" t="s">
        <v>2518</v>
      </c>
      <c r="Q1210">
        <v>0</v>
      </c>
      <c r="R1210" s="1">
        <v>45184</v>
      </c>
      <c r="S1210" s="1">
        <v>45179</v>
      </c>
      <c r="T1210" s="3" t="s">
        <v>54</v>
      </c>
      <c r="U1210" t="s">
        <v>55</v>
      </c>
      <c r="W1210" s="1">
        <v>45184</v>
      </c>
      <c r="Z1210">
        <f>MONTH(S1210)</f>
        <v>9</v>
      </c>
      <c r="AA1210" s="7">
        <f>INT((S1210-DATE(YEAR(S1210-WEEKDAY(S1210-0)+4),1,4)+WEEKDAY(DATE(YEAR(S1210-WEEKDAY(S1210-0)+4),1,4))+6)/7)</f>
        <v>37</v>
      </c>
      <c r="AB1210" t="s">
        <v>3099</v>
      </c>
      <c r="AG1210" s="7">
        <v>2023</v>
      </c>
      <c r="AH1210" t="s">
        <v>482</v>
      </c>
      <c r="AK1210" t="s">
        <v>140</v>
      </c>
      <c r="AL1210" s="3" t="s">
        <v>59</v>
      </c>
    </row>
    <row r="1211" spans="1:38" ht="30" customHeight="1">
      <c r="A1211" s="3" t="s">
        <v>44</v>
      </c>
      <c r="B1211" s="3" t="s">
        <v>45</v>
      </c>
      <c r="G1211">
        <v>175</v>
      </c>
      <c r="H1211" s="4">
        <f>IF(DATEDIF(L1211,S1211,"m")&gt;12,DATEDIF(L1211,S1211,"y"),(DATEDIF(L1211,S1211,"m")/12))</f>
        <v>1</v>
      </c>
      <c r="I1211" s="7">
        <f>DATEDIF(L1211,S1211,"M")</f>
        <v>22</v>
      </c>
      <c r="J1211" s="7">
        <f>DATEDIF(L1211,S1211,"D")</f>
        <v>673</v>
      </c>
      <c r="K1211" t="s">
        <v>51</v>
      </c>
      <c r="L1211" s="1">
        <v>44509</v>
      </c>
      <c r="M1211" s="17" t="s">
        <v>45</v>
      </c>
      <c r="N1211" t="s">
        <v>83</v>
      </c>
      <c r="O1211" t="s">
        <v>52</v>
      </c>
      <c r="Q1211">
        <v>0</v>
      </c>
      <c r="R1211" s="1">
        <v>45184</v>
      </c>
      <c r="S1211" s="1">
        <v>45182</v>
      </c>
      <c r="T1211" s="3" t="s">
        <v>54</v>
      </c>
      <c r="U1211" t="s">
        <v>55</v>
      </c>
      <c r="W1211" s="1">
        <v>45184</v>
      </c>
      <c r="Z1211">
        <f>MONTH(S1211)</f>
        <v>9</v>
      </c>
      <c r="AA1211" s="7">
        <f>INT((S1211-DATE(YEAR(S1211-WEEKDAY(S1211-0)+4),1,4)+WEEKDAY(DATE(YEAR(S1211-WEEKDAY(S1211-0)+4),1,4))+6)/7)</f>
        <v>37</v>
      </c>
      <c r="AB1211" t="s">
        <v>3101</v>
      </c>
      <c r="AG1211" s="7">
        <v>2023</v>
      </c>
      <c r="AH1211" t="s">
        <v>482</v>
      </c>
      <c r="AK1211" t="s">
        <v>140</v>
      </c>
      <c r="AL1211" s="3" t="s">
        <v>59</v>
      </c>
    </row>
    <row r="1212" spans="1:38" ht="30" customHeight="1">
      <c r="A1212" s="3" t="s">
        <v>44</v>
      </c>
      <c r="B1212" s="3" t="s">
        <v>45</v>
      </c>
      <c r="G1212" t="s">
        <v>3108</v>
      </c>
      <c r="H1212" s="4">
        <f>IF(DATEDIF(L1212,S1212,"m")&gt;12,DATEDIF(L1212,S1212,"y"),(DATEDIF(L1212,S1212,"m")/12))</f>
        <v>15</v>
      </c>
      <c r="I1212" s="7">
        <f>DATEDIF(L1212,S1212,"M")</f>
        <v>187</v>
      </c>
      <c r="J1212" s="7">
        <f>DATEDIF(L1212,S1212,"D")</f>
        <v>5701</v>
      </c>
      <c r="K1212" t="s">
        <v>64</v>
      </c>
      <c r="L1212" s="1">
        <v>39478</v>
      </c>
      <c r="M1212" s="17" t="s">
        <v>45</v>
      </c>
      <c r="N1212" t="s">
        <v>83</v>
      </c>
      <c r="O1212" t="s">
        <v>52</v>
      </c>
      <c r="P1212" t="s">
        <v>2579</v>
      </c>
      <c r="Q1212">
        <v>0</v>
      </c>
      <c r="R1212" s="1">
        <v>45184</v>
      </c>
      <c r="S1212" s="1">
        <v>45179</v>
      </c>
      <c r="T1212" s="3" t="s">
        <v>54</v>
      </c>
      <c r="U1212" t="s">
        <v>55</v>
      </c>
      <c r="W1212" s="1">
        <v>45184</v>
      </c>
      <c r="Z1212">
        <f>MONTH(S1212)</f>
        <v>9</v>
      </c>
      <c r="AA1212" s="7">
        <f>INT((S1212-DATE(YEAR(S1212-WEEKDAY(S1212-0)+4),1,4)+WEEKDAY(DATE(YEAR(S1212-WEEKDAY(S1212-0)+4),1,4))+6)/7)</f>
        <v>37</v>
      </c>
      <c r="AB1212" t="s">
        <v>3109</v>
      </c>
      <c r="AG1212" s="7">
        <v>2023</v>
      </c>
      <c r="AH1212" t="s">
        <v>482</v>
      </c>
      <c r="AK1212" t="s">
        <v>2659</v>
      </c>
      <c r="AL1212" s="3" t="s">
        <v>59</v>
      </c>
    </row>
    <row r="1213" spans="1:38" ht="30" customHeight="1">
      <c r="A1213" s="3" t="s">
        <v>44</v>
      </c>
      <c r="B1213" s="3" t="s">
        <v>45</v>
      </c>
      <c r="G1213" t="s">
        <v>3110</v>
      </c>
      <c r="H1213" s="5">
        <f>IF(DATEDIF(L1213,S1213,"m")&gt;12,DATEDIF(L1213,S1213,"y"),(DATEDIF(L1213,S1213,"m")/12))</f>
        <v>0.25</v>
      </c>
      <c r="I1213" s="7">
        <f>DATEDIF(L1213,S1213,"M")</f>
        <v>3</v>
      </c>
      <c r="J1213" s="7">
        <f>DATEDIF(L1213,S1213,"D")</f>
        <v>93</v>
      </c>
      <c r="K1213" t="s">
        <v>64</v>
      </c>
      <c r="L1213" s="1">
        <v>45086</v>
      </c>
      <c r="M1213" s="17" t="s">
        <v>45</v>
      </c>
      <c r="N1213" t="s">
        <v>83</v>
      </c>
      <c r="O1213" t="s">
        <v>52</v>
      </c>
      <c r="P1213" t="s">
        <v>2598</v>
      </c>
      <c r="Q1213">
        <v>0</v>
      </c>
      <c r="R1213" s="1">
        <v>45184</v>
      </c>
      <c r="S1213" s="1">
        <v>45179</v>
      </c>
      <c r="T1213" s="3" t="s">
        <v>54</v>
      </c>
      <c r="U1213" t="s">
        <v>55</v>
      </c>
      <c r="W1213" s="1">
        <v>45184</v>
      </c>
      <c r="Z1213">
        <f>MONTH(S1213)</f>
        <v>9</v>
      </c>
      <c r="AA1213" s="7">
        <f>INT((S1213-DATE(YEAR(S1213-WEEKDAY(S1213-0)+4),1,4)+WEEKDAY(DATE(YEAR(S1213-WEEKDAY(S1213-0)+4),1,4))+6)/7)</f>
        <v>37</v>
      </c>
      <c r="AB1213" t="s">
        <v>3111</v>
      </c>
      <c r="AG1213" s="7">
        <v>2023</v>
      </c>
      <c r="AH1213" t="s">
        <v>482</v>
      </c>
      <c r="AK1213" t="s">
        <v>2577</v>
      </c>
      <c r="AL1213" s="3" t="s">
        <v>59</v>
      </c>
    </row>
    <row r="1214" spans="1:38" ht="30" customHeight="1">
      <c r="A1214" s="3" t="s">
        <v>44</v>
      </c>
      <c r="B1214" s="3" t="s">
        <v>45</v>
      </c>
      <c r="G1214">
        <v>10496</v>
      </c>
      <c r="H1214" s="4">
        <f>IF(DATEDIF(L1214,S1214,"m")&gt;12,DATEDIF(L1214,S1214,"y"),(DATEDIF(L1214,S1214,"m")/12))</f>
        <v>1</v>
      </c>
      <c r="I1214" s="7">
        <f>DATEDIF(L1214,S1214,"M")</f>
        <v>20</v>
      </c>
      <c r="J1214" s="7">
        <f>DATEDIF(L1214,S1214,"D")</f>
        <v>621</v>
      </c>
      <c r="K1214" t="s">
        <v>64</v>
      </c>
      <c r="L1214" s="1">
        <v>44417</v>
      </c>
      <c r="M1214" s="17" t="s">
        <v>45</v>
      </c>
      <c r="N1214" t="s">
        <v>2853</v>
      </c>
      <c r="O1214" t="s">
        <v>52</v>
      </c>
      <c r="P1214" t="s">
        <v>2620</v>
      </c>
      <c r="Q1214">
        <v>1</v>
      </c>
      <c r="R1214" s="1">
        <v>45040</v>
      </c>
      <c r="S1214" s="1">
        <v>45038</v>
      </c>
      <c r="T1214" s="3" t="s">
        <v>54</v>
      </c>
      <c r="U1214" t="s">
        <v>55</v>
      </c>
      <c r="W1214" s="1">
        <v>45188</v>
      </c>
      <c r="Z1214">
        <f>MONTH(S1214)</f>
        <v>4</v>
      </c>
      <c r="AA1214" s="7">
        <f>INT((S1214-DATE(YEAR(S1214-WEEKDAY(S1214-0)+4),1,4)+WEEKDAY(DATE(YEAR(S1214-WEEKDAY(S1214-0)+4),1,4))+6)/7)</f>
        <v>16</v>
      </c>
      <c r="AB1214" t="s">
        <v>3084</v>
      </c>
      <c r="AG1214" s="7">
        <v>2023</v>
      </c>
      <c r="AH1214" t="s">
        <v>223</v>
      </c>
      <c r="AK1214" t="s">
        <v>2705</v>
      </c>
      <c r="AL1214" s="3" t="s">
        <v>59</v>
      </c>
    </row>
    <row r="1215" spans="1:38" ht="30" customHeight="1">
      <c r="A1215" s="3" t="s">
        <v>44</v>
      </c>
      <c r="B1215" s="3" t="s">
        <v>45</v>
      </c>
      <c r="G1215">
        <v>1223</v>
      </c>
      <c r="H1215" s="4">
        <f>IF(DATEDIF(L1215,S1215,"m")&gt;12,DATEDIF(L1215,S1215,"y"),(DATEDIF(L1215,S1215,"m")/12))</f>
        <v>10</v>
      </c>
      <c r="I1215" s="7">
        <f>DATEDIF(L1215,S1215,"M")</f>
        <v>129</v>
      </c>
      <c r="J1215" s="7">
        <f>DATEDIF(L1215,S1215,"D")</f>
        <v>3928</v>
      </c>
      <c r="K1215" t="s">
        <v>51</v>
      </c>
      <c r="L1215" s="1">
        <v>41257</v>
      </c>
      <c r="M1215" s="17" t="s">
        <v>45</v>
      </c>
      <c r="N1215" t="s">
        <v>65</v>
      </c>
      <c r="O1215" t="s">
        <v>52</v>
      </c>
      <c r="P1215" t="s">
        <v>2527</v>
      </c>
      <c r="Q1215">
        <v>1</v>
      </c>
      <c r="R1215" s="1">
        <v>45187</v>
      </c>
      <c r="S1215" s="1">
        <v>45185</v>
      </c>
      <c r="T1215" s="3" t="s">
        <v>54</v>
      </c>
      <c r="U1215" t="s">
        <v>55</v>
      </c>
      <c r="W1215" s="1">
        <v>45188</v>
      </c>
      <c r="Z1215">
        <f>MONTH(S1215)</f>
        <v>9</v>
      </c>
      <c r="AA1215" s="7">
        <f>INT((S1215-DATE(YEAR(S1215-WEEKDAY(S1215-0)+4),1,4)+WEEKDAY(DATE(YEAR(S1215-WEEKDAY(S1215-0)+4),1,4))+6)/7)</f>
        <v>37</v>
      </c>
      <c r="AB1215" t="s">
        <v>3090</v>
      </c>
      <c r="AG1215" s="7">
        <v>2023</v>
      </c>
      <c r="AH1215" t="s">
        <v>223</v>
      </c>
      <c r="AK1215" t="s">
        <v>2551</v>
      </c>
      <c r="AL1215" s="3" t="s">
        <v>59</v>
      </c>
    </row>
    <row r="1216" spans="1:38" ht="30" customHeight="1">
      <c r="A1216" s="3" t="s">
        <v>44</v>
      </c>
      <c r="B1216" s="3" t="s">
        <v>45</v>
      </c>
      <c r="G1216">
        <v>1834</v>
      </c>
      <c r="H1216" s="4">
        <f>IF(DATEDIF(L1216,S1216,"m")&gt;12,DATEDIF(L1216,S1216,"y"),(DATEDIF(L1216,S1216,"m")/12))</f>
        <v>5</v>
      </c>
      <c r="I1216" s="7">
        <f>DATEDIF(L1216,S1216,"M")</f>
        <v>69</v>
      </c>
      <c r="J1216" s="7">
        <f>DATEDIF(L1216,S1216,"D")</f>
        <v>2122</v>
      </c>
      <c r="K1216" t="s">
        <v>64</v>
      </c>
      <c r="L1216" s="1">
        <v>42913</v>
      </c>
      <c r="M1216" s="17" t="s">
        <v>45</v>
      </c>
      <c r="N1216" t="s">
        <v>101</v>
      </c>
      <c r="O1216" t="s">
        <v>52</v>
      </c>
      <c r="P1216" t="s">
        <v>2579</v>
      </c>
      <c r="Q1216">
        <v>1</v>
      </c>
      <c r="R1216" s="1">
        <v>45037</v>
      </c>
      <c r="S1216" s="1">
        <v>45035</v>
      </c>
      <c r="T1216" s="3" t="s">
        <v>54</v>
      </c>
      <c r="U1216" t="s">
        <v>55</v>
      </c>
      <c r="W1216" s="1">
        <v>45188</v>
      </c>
      <c r="Z1216">
        <f>MONTH(S1216)</f>
        <v>4</v>
      </c>
      <c r="AA1216" s="7">
        <f>INT((S1216-DATE(YEAR(S1216-WEEKDAY(S1216-0)+4),1,4)+WEEKDAY(DATE(YEAR(S1216-WEEKDAY(S1216-0)+4),1,4))+6)/7)</f>
        <v>16</v>
      </c>
      <c r="AB1216" t="s">
        <v>3091</v>
      </c>
      <c r="AG1216" s="7">
        <v>2023</v>
      </c>
      <c r="AH1216" t="s">
        <v>223</v>
      </c>
      <c r="AK1216" t="s">
        <v>2451</v>
      </c>
      <c r="AL1216" s="3" t="s">
        <v>59</v>
      </c>
    </row>
    <row r="1217" spans="1:38" ht="30" customHeight="1">
      <c r="A1217" s="3" t="s">
        <v>44</v>
      </c>
      <c r="B1217" s="3" t="s">
        <v>45</v>
      </c>
      <c r="G1217">
        <v>10411</v>
      </c>
      <c r="H1217" s="4">
        <f>IF(DATEDIF(L1217,S1217,"m")&gt;12,DATEDIF(L1217,S1217,"y"),(DATEDIF(L1217,S1217,"m")/12))</f>
        <v>2</v>
      </c>
      <c r="I1217" s="7">
        <f>DATEDIF(L1217,S1217,"M")</f>
        <v>31</v>
      </c>
      <c r="J1217" s="7">
        <f>DATEDIF(L1217,S1217,"D")</f>
        <v>962</v>
      </c>
      <c r="K1217" t="s">
        <v>64</v>
      </c>
      <c r="L1217" s="1">
        <v>44077</v>
      </c>
      <c r="M1217" s="17" t="s">
        <v>45</v>
      </c>
      <c r="N1217" t="s">
        <v>65</v>
      </c>
      <c r="O1217" t="s">
        <v>52</v>
      </c>
      <c r="P1217" t="s">
        <v>3094</v>
      </c>
      <c r="Q1217">
        <v>1</v>
      </c>
      <c r="R1217" s="1">
        <v>45041</v>
      </c>
      <c r="S1217" s="1">
        <v>45039</v>
      </c>
      <c r="T1217" s="3" t="s">
        <v>54</v>
      </c>
      <c r="U1217" t="s">
        <v>55</v>
      </c>
      <c r="W1217" s="1">
        <v>45188</v>
      </c>
      <c r="Z1217">
        <f>MONTH(S1217)</f>
        <v>4</v>
      </c>
      <c r="AA1217" s="7">
        <f>INT((S1217-DATE(YEAR(S1217-WEEKDAY(S1217-0)+4),1,4)+WEEKDAY(DATE(YEAR(S1217-WEEKDAY(S1217-0)+4),1,4))+6)/7)</f>
        <v>17</v>
      </c>
      <c r="AB1217" t="s">
        <v>3095</v>
      </c>
      <c r="AG1217" s="7">
        <v>2023</v>
      </c>
      <c r="AH1217" t="s">
        <v>223</v>
      </c>
      <c r="AK1217" t="s">
        <v>2470</v>
      </c>
      <c r="AL1217" s="3" t="s">
        <v>59</v>
      </c>
    </row>
    <row r="1218" spans="1:38" ht="30" customHeight="1">
      <c r="A1218" s="3" t="s">
        <v>44</v>
      </c>
      <c r="B1218" s="3" t="s">
        <v>45</v>
      </c>
      <c r="G1218">
        <v>20413</v>
      </c>
      <c r="H1218" s="4">
        <f>IF(DATEDIF(L1218,S1218,"m")&gt;12,DATEDIF(L1218,S1218,"y"),(DATEDIF(L1218,S1218,"m")/12))</f>
        <v>13</v>
      </c>
      <c r="I1218" s="7">
        <f>DATEDIF(L1218,S1218,"M")</f>
        <v>165</v>
      </c>
      <c r="J1218" s="7">
        <f>DATEDIF(L1218,S1218,"D")</f>
        <v>5051</v>
      </c>
      <c r="K1218" t="s">
        <v>51</v>
      </c>
      <c r="L1218" s="1">
        <v>40134</v>
      </c>
      <c r="M1218" s="17" t="s">
        <v>45</v>
      </c>
      <c r="N1218" t="s">
        <v>101</v>
      </c>
      <c r="O1218" t="s">
        <v>52</v>
      </c>
      <c r="P1218" t="s">
        <v>2579</v>
      </c>
      <c r="Q1218">
        <v>1</v>
      </c>
      <c r="R1218" s="1">
        <v>45187</v>
      </c>
      <c r="S1218" s="1">
        <v>45185</v>
      </c>
      <c r="T1218" s="3" t="s">
        <v>54</v>
      </c>
      <c r="U1218" t="s">
        <v>55</v>
      </c>
      <c r="W1218" s="1">
        <v>45188</v>
      </c>
      <c r="Z1218">
        <f>MONTH(S1218)</f>
        <v>9</v>
      </c>
      <c r="AA1218" s="7">
        <f>INT((S1218-DATE(YEAR(S1218-WEEKDAY(S1218-0)+4),1,4)+WEEKDAY(DATE(YEAR(S1218-WEEKDAY(S1218-0)+4),1,4))+6)/7)</f>
        <v>37</v>
      </c>
      <c r="AB1218" t="s">
        <v>3100</v>
      </c>
      <c r="AG1218" s="7">
        <v>2023</v>
      </c>
      <c r="AH1218" t="s">
        <v>223</v>
      </c>
      <c r="AK1218" t="s">
        <v>2481</v>
      </c>
      <c r="AL1218" s="3" t="s">
        <v>59</v>
      </c>
    </row>
    <row r="1219" spans="1:38" ht="30" customHeight="1">
      <c r="A1219" s="3" t="s">
        <v>44</v>
      </c>
      <c r="B1219" s="3" t="s">
        <v>45</v>
      </c>
      <c r="G1219">
        <v>30615</v>
      </c>
      <c r="H1219" s="4">
        <f>IF(DATEDIF(L1219,S1219,"m")&gt;12,DATEDIF(L1219,S1219,"y"),(DATEDIF(L1219,S1219,"m")/12))</f>
        <v>8</v>
      </c>
      <c r="I1219" s="7">
        <f>DATEDIF(L1219,S1219,"M")</f>
        <v>107</v>
      </c>
      <c r="J1219" s="7">
        <f>DATEDIF(L1219,S1219,"D")</f>
        <v>3281</v>
      </c>
      <c r="K1219" t="s">
        <v>51</v>
      </c>
      <c r="L1219" s="1">
        <v>41904</v>
      </c>
      <c r="M1219" s="17" t="s">
        <v>45</v>
      </c>
      <c r="N1219" t="s">
        <v>65</v>
      </c>
      <c r="O1219" t="s">
        <v>52</v>
      </c>
      <c r="Q1219">
        <v>1</v>
      </c>
      <c r="R1219" s="1">
        <v>45187</v>
      </c>
      <c r="S1219" s="1">
        <v>45185</v>
      </c>
      <c r="T1219" s="3" t="s">
        <v>54</v>
      </c>
      <c r="U1219" t="s">
        <v>55</v>
      </c>
      <c r="W1219" s="1">
        <v>45188</v>
      </c>
      <c r="Z1219">
        <f>MONTH(S1219)</f>
        <v>9</v>
      </c>
      <c r="AA1219" s="7">
        <f>INT((S1219-DATE(YEAR(S1219-WEEKDAY(S1219-0)+4),1,4)+WEEKDAY(DATE(YEAR(S1219-WEEKDAY(S1219-0)+4),1,4))+6)/7)</f>
        <v>37</v>
      </c>
      <c r="AB1219" t="s">
        <v>3103</v>
      </c>
      <c r="AG1219" s="7">
        <v>2023</v>
      </c>
      <c r="AH1219" t="s">
        <v>223</v>
      </c>
      <c r="AK1219" t="s">
        <v>2470</v>
      </c>
      <c r="AL1219" s="3" t="s">
        <v>59</v>
      </c>
    </row>
    <row r="1220" spans="1:38" ht="30" customHeight="1">
      <c r="A1220" s="3" t="s">
        <v>44</v>
      </c>
      <c r="B1220" s="3" t="s">
        <v>45</v>
      </c>
      <c r="G1220">
        <v>30640</v>
      </c>
      <c r="H1220" s="4">
        <f>IF(DATEDIF(L1220,S1220,"m")&gt;12,DATEDIF(L1220,S1220,"y"),(DATEDIF(L1220,S1220,"m")/12))</f>
        <v>2</v>
      </c>
      <c r="I1220" s="7">
        <f>DATEDIF(L1220,S1220,"M")</f>
        <v>25</v>
      </c>
      <c r="J1220" s="7">
        <f>DATEDIF(L1220,S1220,"D")</f>
        <v>767</v>
      </c>
      <c r="K1220" t="s">
        <v>51</v>
      </c>
      <c r="L1220" s="1">
        <v>44418</v>
      </c>
      <c r="M1220" s="17" t="s">
        <v>45</v>
      </c>
      <c r="N1220" t="s">
        <v>65</v>
      </c>
      <c r="O1220" t="s">
        <v>52</v>
      </c>
      <c r="P1220" t="s">
        <v>2579</v>
      </c>
      <c r="Q1220">
        <v>1</v>
      </c>
      <c r="R1220" s="1">
        <v>45187</v>
      </c>
      <c r="S1220" s="1">
        <v>45185</v>
      </c>
      <c r="T1220" s="3" t="s">
        <v>54</v>
      </c>
      <c r="U1220" t="s">
        <v>55</v>
      </c>
      <c r="W1220" s="1">
        <v>45188</v>
      </c>
      <c r="Z1220">
        <f>MONTH(S1220)</f>
        <v>9</v>
      </c>
      <c r="AA1220" s="7">
        <f>INT((S1220-DATE(YEAR(S1220-WEEKDAY(S1220-0)+4),1,4)+WEEKDAY(DATE(YEAR(S1220-WEEKDAY(S1220-0)+4),1,4))+6)/7)</f>
        <v>37</v>
      </c>
      <c r="AB1220" t="s">
        <v>3106</v>
      </c>
      <c r="AG1220" s="7">
        <v>2023</v>
      </c>
      <c r="AH1220" t="s">
        <v>223</v>
      </c>
      <c r="AK1220" t="s">
        <v>2844</v>
      </c>
      <c r="AL1220" s="3" t="s">
        <v>59</v>
      </c>
    </row>
    <row r="1221" spans="1:38" ht="30" customHeight="1">
      <c r="A1221" s="3" t="s">
        <v>44</v>
      </c>
      <c r="B1221" s="3" t="s">
        <v>45</v>
      </c>
      <c r="G1221">
        <v>30656</v>
      </c>
      <c r="H1221" s="4">
        <f>IF(DATEDIF(L1221,S1221,"m")&gt;12,DATEDIF(L1221,S1221,"y"),(DATEDIF(L1221,S1221,"m")/12))</f>
        <v>32</v>
      </c>
      <c r="I1221" s="7">
        <f>DATEDIF(L1221,S1221,"M")</f>
        <v>387</v>
      </c>
      <c r="J1221" s="7">
        <f>DATEDIF(L1221,S1221,"D")</f>
        <v>11805</v>
      </c>
      <c r="K1221" t="s">
        <v>51</v>
      </c>
      <c r="L1221" s="1">
        <v>33380</v>
      </c>
      <c r="M1221" s="17" t="s">
        <v>45</v>
      </c>
      <c r="N1221" t="s">
        <v>65</v>
      </c>
      <c r="O1221" t="s">
        <v>52</v>
      </c>
      <c r="Q1221">
        <v>1</v>
      </c>
      <c r="R1221" s="1">
        <v>45188</v>
      </c>
      <c r="S1221" s="1">
        <v>45185</v>
      </c>
      <c r="T1221" s="3" t="s">
        <v>54</v>
      </c>
      <c r="U1221" t="s">
        <v>55</v>
      </c>
      <c r="W1221" s="1">
        <v>45188</v>
      </c>
      <c r="Z1221">
        <f>MONTH(S1221)</f>
        <v>9</v>
      </c>
      <c r="AA1221" s="7">
        <f>INT((S1221-DATE(YEAR(S1221-WEEKDAY(S1221-0)+4),1,4)+WEEKDAY(DATE(YEAR(S1221-WEEKDAY(S1221-0)+4),1,4))+6)/7)</f>
        <v>37</v>
      </c>
      <c r="AB1221" t="s">
        <v>3112</v>
      </c>
      <c r="AG1221" s="7">
        <v>2023</v>
      </c>
      <c r="AH1221" t="s">
        <v>223</v>
      </c>
      <c r="AK1221" t="s">
        <v>2582</v>
      </c>
      <c r="AL1221" s="3" t="s">
        <v>59</v>
      </c>
    </row>
    <row r="1222" spans="1:38" ht="30" customHeight="1">
      <c r="A1222" s="3" t="s">
        <v>44</v>
      </c>
      <c r="B1222" s="3" t="s">
        <v>45</v>
      </c>
      <c r="G1222" t="s">
        <v>3114</v>
      </c>
      <c r="H1222" s="4">
        <f>IF(DATEDIF(L1222,S1222,"m")&gt;12,DATEDIF(L1222,S1222,"y"),(DATEDIF(L1222,S1222,"m")/12))</f>
        <v>1</v>
      </c>
      <c r="I1222" s="7">
        <f>DATEDIF(L1222,S1222,"M")</f>
        <v>22</v>
      </c>
      <c r="J1222" s="7">
        <f>DATEDIF(L1222,S1222,"D")</f>
        <v>674</v>
      </c>
      <c r="K1222" t="s">
        <v>64</v>
      </c>
      <c r="L1222" s="1">
        <v>44509</v>
      </c>
      <c r="M1222" s="17" t="s">
        <v>45</v>
      </c>
      <c r="N1222" t="s">
        <v>83</v>
      </c>
      <c r="O1222" t="s">
        <v>52</v>
      </c>
      <c r="P1222" t="s">
        <v>2579</v>
      </c>
      <c r="Q1222">
        <v>0</v>
      </c>
      <c r="R1222" s="1">
        <v>45187</v>
      </c>
      <c r="S1222" s="1">
        <v>45183</v>
      </c>
      <c r="T1222" s="3" t="s">
        <v>54</v>
      </c>
      <c r="U1222" t="s">
        <v>55</v>
      </c>
      <c r="W1222" s="1">
        <v>45189</v>
      </c>
      <c r="Z1222">
        <f>MONTH(S1222)</f>
        <v>9</v>
      </c>
      <c r="AA1222" s="7">
        <f>INT((S1222-DATE(YEAR(S1222-WEEKDAY(S1222-0)+4),1,4)+WEEKDAY(DATE(YEAR(S1222-WEEKDAY(S1222-0)+4),1,4))+6)/7)</f>
        <v>37</v>
      </c>
      <c r="AB1222" t="s">
        <v>3115</v>
      </c>
      <c r="AG1222" s="7">
        <v>2023</v>
      </c>
      <c r="AH1222" t="s">
        <v>482</v>
      </c>
      <c r="AK1222" t="s">
        <v>2474</v>
      </c>
      <c r="AL1222" s="3" t="s">
        <v>59</v>
      </c>
    </row>
    <row r="1223" spans="1:38" ht="30" customHeight="1">
      <c r="A1223" s="3" t="s">
        <v>44</v>
      </c>
      <c r="B1223" s="3" t="s">
        <v>45</v>
      </c>
      <c r="G1223" t="s">
        <v>3116</v>
      </c>
      <c r="H1223" s="4">
        <f>IF(DATEDIF(L1223,S1223,"m")&gt;12,DATEDIF(L1223,S1223,"y"),(DATEDIF(L1223,S1223,"m")/12))</f>
        <v>3</v>
      </c>
      <c r="I1223" s="7">
        <f>DATEDIF(L1223,S1223,"M")</f>
        <v>38</v>
      </c>
      <c r="J1223" s="7">
        <f>DATEDIF(L1223,S1223,"D")</f>
        <v>1183</v>
      </c>
      <c r="K1223" t="s">
        <v>51</v>
      </c>
      <c r="L1223" s="1">
        <v>44002</v>
      </c>
      <c r="M1223" s="17" t="s">
        <v>45</v>
      </c>
      <c r="N1223" t="s">
        <v>83</v>
      </c>
      <c r="O1223" t="s">
        <v>52</v>
      </c>
      <c r="P1223" t="s">
        <v>2598</v>
      </c>
      <c r="Q1223">
        <v>0</v>
      </c>
      <c r="R1223" s="1">
        <v>45187</v>
      </c>
      <c r="S1223" s="1">
        <v>45185</v>
      </c>
      <c r="T1223" s="3" t="s">
        <v>54</v>
      </c>
      <c r="U1223" t="s">
        <v>55</v>
      </c>
      <c r="W1223" s="1">
        <v>45189</v>
      </c>
      <c r="Z1223">
        <f>MONTH(S1223)</f>
        <v>9</v>
      </c>
      <c r="AA1223" s="7">
        <f>INT((S1223-DATE(YEAR(S1223-WEEKDAY(S1223-0)+4),1,4)+WEEKDAY(DATE(YEAR(S1223-WEEKDAY(S1223-0)+4),1,4))+6)/7)</f>
        <v>37</v>
      </c>
      <c r="AB1223" t="s">
        <v>3117</v>
      </c>
      <c r="AG1223" s="7">
        <v>2023</v>
      </c>
      <c r="AH1223" t="s">
        <v>482</v>
      </c>
      <c r="AK1223" t="s">
        <v>2635</v>
      </c>
      <c r="AL1223" s="3" t="s">
        <v>59</v>
      </c>
    </row>
    <row r="1224" spans="1:38" ht="30" customHeight="1">
      <c r="A1224" s="3" t="s">
        <v>44</v>
      </c>
      <c r="B1224" s="3" t="s">
        <v>45</v>
      </c>
      <c r="G1224" t="s">
        <v>3118</v>
      </c>
      <c r="H1224" s="4">
        <f>IF(DATEDIF(L1224,S1224,"m")&gt;12,DATEDIF(L1224,S1224,"y"),(DATEDIF(L1224,S1224,"m")/12))</f>
        <v>18</v>
      </c>
      <c r="I1224" s="7">
        <f>DATEDIF(L1224,S1224,"M")</f>
        <v>225</v>
      </c>
      <c r="J1224" s="7">
        <f>DATEDIF(L1224,S1224,"D")</f>
        <v>6873</v>
      </c>
      <c r="K1224" t="s">
        <v>64</v>
      </c>
      <c r="L1224" s="1">
        <v>38312</v>
      </c>
      <c r="M1224" s="17" t="s">
        <v>45</v>
      </c>
      <c r="N1224" t="s">
        <v>83</v>
      </c>
      <c r="O1224" t="s">
        <v>52</v>
      </c>
      <c r="P1224" t="s">
        <v>2598</v>
      </c>
      <c r="Q1224">
        <v>0</v>
      </c>
      <c r="R1224" s="1">
        <v>45187</v>
      </c>
      <c r="S1224" s="1">
        <v>45185</v>
      </c>
      <c r="T1224" s="3" t="s">
        <v>54</v>
      </c>
      <c r="U1224" t="s">
        <v>55</v>
      </c>
      <c r="W1224" s="1">
        <v>45189</v>
      </c>
      <c r="Z1224">
        <f>MONTH(S1224)</f>
        <v>9</v>
      </c>
      <c r="AA1224" s="7">
        <f>INT((S1224-DATE(YEAR(S1224-WEEKDAY(S1224-0)+4),1,4)+WEEKDAY(DATE(YEAR(S1224-WEEKDAY(S1224-0)+4),1,4))+6)/7)</f>
        <v>37</v>
      </c>
      <c r="AB1224" t="s">
        <v>3119</v>
      </c>
      <c r="AG1224" s="7">
        <v>2023</v>
      </c>
      <c r="AH1224" t="s">
        <v>482</v>
      </c>
      <c r="AK1224" t="s">
        <v>2684</v>
      </c>
      <c r="AL1224" s="3" t="s">
        <v>59</v>
      </c>
    </row>
    <row r="1225" spans="1:38" ht="30" customHeight="1">
      <c r="A1225" s="3" t="s">
        <v>44</v>
      </c>
      <c r="B1225" s="3" t="s">
        <v>45</v>
      </c>
      <c r="G1225" t="s">
        <v>3120</v>
      </c>
      <c r="H1225" s="4">
        <f>IF(DATEDIF(L1225,S1225,"m")&gt;12,DATEDIF(L1225,S1225,"y"),(DATEDIF(L1225,S1225,"m")/12))</f>
        <v>28</v>
      </c>
      <c r="I1225" s="7">
        <f>DATEDIF(L1225,S1225,"M")</f>
        <v>336</v>
      </c>
      <c r="J1225" s="7">
        <f>DATEDIF(L1225,S1225,"D")</f>
        <v>10233</v>
      </c>
      <c r="K1225" t="s">
        <v>64</v>
      </c>
      <c r="L1225" s="1">
        <v>34951</v>
      </c>
      <c r="M1225" s="17" t="s">
        <v>45</v>
      </c>
      <c r="N1225" t="s">
        <v>83</v>
      </c>
      <c r="O1225" t="s">
        <v>52</v>
      </c>
      <c r="P1225" t="s">
        <v>2518</v>
      </c>
      <c r="Q1225">
        <v>0</v>
      </c>
      <c r="R1225" s="1">
        <v>45187</v>
      </c>
      <c r="S1225" s="1">
        <v>45184</v>
      </c>
      <c r="T1225" s="3" t="s">
        <v>54</v>
      </c>
      <c r="U1225" t="s">
        <v>55</v>
      </c>
      <c r="W1225" s="1">
        <v>45189</v>
      </c>
      <c r="Z1225">
        <f>MONTH(S1225)</f>
        <v>9</v>
      </c>
      <c r="AA1225" s="7">
        <f>INT((S1225-DATE(YEAR(S1225-WEEKDAY(S1225-0)+4),1,4)+WEEKDAY(DATE(YEAR(S1225-WEEKDAY(S1225-0)+4),1,4))+6)/7)</f>
        <v>37</v>
      </c>
      <c r="AB1225" t="s">
        <v>3121</v>
      </c>
      <c r="AG1225" s="7">
        <v>2023</v>
      </c>
      <c r="AH1225" t="s">
        <v>482</v>
      </c>
      <c r="AK1225" t="s">
        <v>2474</v>
      </c>
      <c r="AL1225" s="3" t="s">
        <v>59</v>
      </c>
    </row>
    <row r="1226" spans="1:38" ht="30" customHeight="1">
      <c r="A1226" s="3" t="s">
        <v>44</v>
      </c>
      <c r="B1226" s="3" t="s">
        <v>45</v>
      </c>
      <c r="G1226" t="s">
        <v>3122</v>
      </c>
      <c r="H1226" s="4">
        <f>IF(DATEDIF(L1226,S1226,"m")&gt;12,DATEDIF(L1226,S1226,"y"),(DATEDIF(L1226,S1226,"m")/12))</f>
        <v>64</v>
      </c>
      <c r="I1226" s="7">
        <f>DATEDIF(L1226,S1226,"M")</f>
        <v>776</v>
      </c>
      <c r="J1226" s="7">
        <f>DATEDIF(L1226,S1226,"D")</f>
        <v>23636</v>
      </c>
      <c r="K1226" t="s">
        <v>64</v>
      </c>
      <c r="L1226" s="1">
        <v>21549</v>
      </c>
      <c r="M1226" s="17" t="s">
        <v>45</v>
      </c>
      <c r="N1226" t="s">
        <v>83</v>
      </c>
      <c r="O1226" t="s">
        <v>52</v>
      </c>
      <c r="P1226" t="s">
        <v>2463</v>
      </c>
      <c r="Q1226">
        <v>0</v>
      </c>
      <c r="R1226" s="1">
        <v>45187</v>
      </c>
      <c r="S1226" s="1">
        <v>45185</v>
      </c>
      <c r="T1226" s="3" t="s">
        <v>54</v>
      </c>
      <c r="U1226" t="s">
        <v>55</v>
      </c>
      <c r="W1226" s="1">
        <v>45189</v>
      </c>
      <c r="Z1226">
        <f>MONTH(S1226)</f>
        <v>9</v>
      </c>
      <c r="AA1226" s="7">
        <f>INT((S1226-DATE(YEAR(S1226-WEEKDAY(S1226-0)+4),1,4)+WEEKDAY(DATE(YEAR(S1226-WEEKDAY(S1226-0)+4),1,4))+6)/7)</f>
        <v>37</v>
      </c>
      <c r="AB1226" t="s">
        <v>3123</v>
      </c>
      <c r="AG1226" s="7">
        <v>2023</v>
      </c>
      <c r="AH1226" t="s">
        <v>482</v>
      </c>
      <c r="AK1226" t="s">
        <v>2698</v>
      </c>
      <c r="AL1226" s="3" t="s">
        <v>59</v>
      </c>
    </row>
    <row r="1227" spans="1:38" ht="30" customHeight="1">
      <c r="A1227" s="3" t="s">
        <v>44</v>
      </c>
      <c r="B1227" s="3" t="s">
        <v>45</v>
      </c>
      <c r="G1227" t="s">
        <v>3124</v>
      </c>
      <c r="H1227" s="4">
        <f>IF(DATEDIF(L1227,S1227,"m")&gt;12,DATEDIF(L1227,S1227,"y"),(DATEDIF(L1227,S1227,"m")/12))</f>
        <v>37</v>
      </c>
      <c r="I1227" s="7">
        <f>DATEDIF(L1227,S1227,"M")</f>
        <v>446</v>
      </c>
      <c r="J1227" s="7">
        <f>DATEDIF(L1227,S1227,"D")</f>
        <v>13577</v>
      </c>
      <c r="K1227" t="s">
        <v>64</v>
      </c>
      <c r="L1227" s="1">
        <v>31608</v>
      </c>
      <c r="M1227" s="17" t="s">
        <v>45</v>
      </c>
      <c r="N1227" t="s">
        <v>83</v>
      </c>
      <c r="O1227" t="s">
        <v>52</v>
      </c>
      <c r="P1227" t="s">
        <v>2518</v>
      </c>
      <c r="Q1227">
        <v>0</v>
      </c>
      <c r="R1227" s="1">
        <v>45187</v>
      </c>
      <c r="S1227" s="1">
        <v>45185</v>
      </c>
      <c r="T1227" s="3" t="s">
        <v>54</v>
      </c>
      <c r="U1227" t="s">
        <v>55</v>
      </c>
      <c r="W1227" s="1">
        <v>45189</v>
      </c>
      <c r="Z1227">
        <f>MONTH(S1227)</f>
        <v>9</v>
      </c>
      <c r="AA1227" s="7">
        <f>INT((S1227-DATE(YEAR(S1227-WEEKDAY(S1227-0)+4),1,4)+WEEKDAY(DATE(YEAR(S1227-WEEKDAY(S1227-0)+4),1,4))+6)/7)</f>
        <v>37</v>
      </c>
      <c r="AB1227" t="s">
        <v>3125</v>
      </c>
      <c r="AG1227" s="7">
        <v>2023</v>
      </c>
      <c r="AH1227" t="s">
        <v>482</v>
      </c>
      <c r="AK1227" t="s">
        <v>2638</v>
      </c>
      <c r="AL1227" s="3" t="s">
        <v>59</v>
      </c>
    </row>
    <row r="1228" spans="1:38" ht="30" customHeight="1">
      <c r="A1228" s="3" t="s">
        <v>44</v>
      </c>
      <c r="B1228" s="3" t="s">
        <v>45</v>
      </c>
      <c r="G1228" t="s">
        <v>3126</v>
      </c>
      <c r="H1228" s="4">
        <f>IF(DATEDIF(L1228,S1228,"m")&gt;12,DATEDIF(L1228,S1228,"y"),(DATEDIF(L1228,S1228,"m")/12))</f>
        <v>13</v>
      </c>
      <c r="I1228" s="7">
        <f>DATEDIF(L1228,S1228,"M")</f>
        <v>167</v>
      </c>
      <c r="J1228" s="7">
        <f>DATEDIF(L1228,S1228,"D")</f>
        <v>5110</v>
      </c>
      <c r="K1228" t="s">
        <v>51</v>
      </c>
      <c r="L1228" s="1">
        <v>40074</v>
      </c>
      <c r="M1228" s="17" t="s">
        <v>45</v>
      </c>
      <c r="N1228" t="s">
        <v>83</v>
      </c>
      <c r="O1228" t="s">
        <v>52</v>
      </c>
      <c r="P1228" t="s">
        <v>2518</v>
      </c>
      <c r="Q1228">
        <v>0</v>
      </c>
      <c r="R1228" s="1">
        <v>45187</v>
      </c>
      <c r="S1228" s="1">
        <v>45184</v>
      </c>
      <c r="T1228" s="3" t="s">
        <v>54</v>
      </c>
      <c r="U1228" t="s">
        <v>55</v>
      </c>
      <c r="W1228" s="1">
        <v>45189</v>
      </c>
      <c r="Z1228">
        <f>MONTH(S1228)</f>
        <v>9</v>
      </c>
      <c r="AA1228" s="7">
        <f>INT((S1228-DATE(YEAR(S1228-WEEKDAY(S1228-0)+4),1,4)+WEEKDAY(DATE(YEAR(S1228-WEEKDAY(S1228-0)+4),1,4))+6)/7)</f>
        <v>37</v>
      </c>
      <c r="AB1228" t="s">
        <v>3127</v>
      </c>
      <c r="AG1228" s="7">
        <v>2023</v>
      </c>
      <c r="AH1228" t="s">
        <v>482</v>
      </c>
      <c r="AK1228" t="s">
        <v>2638</v>
      </c>
      <c r="AL1228" s="3" t="s">
        <v>59</v>
      </c>
    </row>
    <row r="1229" spans="1:38" ht="30" customHeight="1">
      <c r="A1229" s="3" t="s">
        <v>44</v>
      </c>
      <c r="B1229" s="3" t="s">
        <v>45</v>
      </c>
      <c r="G1229" t="s">
        <v>3128</v>
      </c>
      <c r="H1229" s="4">
        <f>IF(DATEDIF(L1229,S1229,"m")&gt;12,DATEDIF(L1229,S1229,"y"),(DATEDIF(L1229,S1229,"m")/12))</f>
        <v>1</v>
      </c>
      <c r="I1229" s="7">
        <f>DATEDIF(L1229,S1229,"M")</f>
        <v>17</v>
      </c>
      <c r="J1229" s="7">
        <f>DATEDIF(L1229,S1229,"D")</f>
        <v>542</v>
      </c>
      <c r="K1229" t="s">
        <v>51</v>
      </c>
      <c r="L1229" s="1">
        <v>44642</v>
      </c>
      <c r="M1229" s="17" t="s">
        <v>45</v>
      </c>
      <c r="N1229" t="s">
        <v>83</v>
      </c>
      <c r="O1229" t="s">
        <v>52</v>
      </c>
      <c r="P1229" t="s">
        <v>2472</v>
      </c>
      <c r="Q1229">
        <v>0</v>
      </c>
      <c r="R1229" s="1">
        <v>45187</v>
      </c>
      <c r="S1229" s="1">
        <v>45184</v>
      </c>
      <c r="T1229" s="3" t="s">
        <v>54</v>
      </c>
      <c r="U1229" t="s">
        <v>55</v>
      </c>
      <c r="W1229" s="1">
        <v>45189</v>
      </c>
      <c r="Z1229">
        <f>MONTH(S1229)</f>
        <v>9</v>
      </c>
      <c r="AA1229" s="7">
        <f>INT((S1229-DATE(YEAR(S1229-WEEKDAY(S1229-0)+4),1,4)+WEEKDAY(DATE(YEAR(S1229-WEEKDAY(S1229-0)+4),1,4))+6)/7)</f>
        <v>37</v>
      </c>
      <c r="AB1229" t="s">
        <v>3129</v>
      </c>
      <c r="AG1229" s="7">
        <v>2023</v>
      </c>
      <c r="AH1229" t="s">
        <v>482</v>
      </c>
      <c r="AK1229" t="s">
        <v>2654</v>
      </c>
      <c r="AL1229" s="3" t="s">
        <v>59</v>
      </c>
    </row>
    <row r="1230" spans="1:38" ht="30" customHeight="1">
      <c r="A1230" s="3" t="s">
        <v>44</v>
      </c>
      <c r="B1230" s="3" t="s">
        <v>45</v>
      </c>
      <c r="G1230">
        <v>10055</v>
      </c>
      <c r="H1230" s="4">
        <f>IF(DATEDIF(L1230,S1230,"m")&gt;12,DATEDIF(L1230,S1230,"y"),(DATEDIF(L1230,S1230,"m")/12))</f>
        <v>3</v>
      </c>
      <c r="I1230" s="7">
        <f>DATEDIF(L1230,S1230,"M")</f>
        <v>47</v>
      </c>
      <c r="J1230" s="7">
        <f>DATEDIF(L1230,S1230,"D")</f>
        <v>1441</v>
      </c>
      <c r="K1230" t="s">
        <v>51</v>
      </c>
      <c r="L1230" s="1">
        <v>43541</v>
      </c>
      <c r="M1230" s="17" t="s">
        <v>45</v>
      </c>
      <c r="N1230" t="s">
        <v>65</v>
      </c>
      <c r="O1230" t="s">
        <v>52</v>
      </c>
      <c r="P1230" t="s">
        <v>2579</v>
      </c>
      <c r="Q1230">
        <v>1</v>
      </c>
      <c r="R1230" s="1">
        <v>44985</v>
      </c>
      <c r="S1230" s="1">
        <v>44982</v>
      </c>
      <c r="T1230" s="3" t="s">
        <v>54</v>
      </c>
      <c r="U1230" t="s">
        <v>55</v>
      </c>
      <c r="W1230" s="1">
        <v>45189</v>
      </c>
      <c r="Z1230">
        <f>MONTH(S1230)</f>
        <v>2</v>
      </c>
      <c r="AA1230" s="7">
        <f>INT((S1230-DATE(YEAR(S1230-WEEKDAY(S1230-0)+4),1,4)+WEEKDAY(DATE(YEAR(S1230-WEEKDAY(S1230-0)+4),1,4))+6)/7)</f>
        <v>8</v>
      </c>
      <c r="AB1230" t="s">
        <v>3130</v>
      </c>
      <c r="AG1230" s="7">
        <v>2023</v>
      </c>
      <c r="AH1230" t="s">
        <v>223</v>
      </c>
      <c r="AK1230" t="s">
        <v>2844</v>
      </c>
      <c r="AL1230" s="3" t="s">
        <v>59</v>
      </c>
    </row>
    <row r="1231" spans="1:38" ht="30" customHeight="1">
      <c r="A1231" s="3" t="s">
        <v>44</v>
      </c>
      <c r="B1231" s="3" t="s">
        <v>45</v>
      </c>
      <c r="G1231" t="s">
        <v>3131</v>
      </c>
      <c r="H1231" s="4">
        <f>IF(DATEDIF(L1231,S1231,"m")&gt;12,DATEDIF(L1231,S1231,"y"),(DATEDIF(L1231,S1231,"m")/12))</f>
        <v>12</v>
      </c>
      <c r="I1231" s="7">
        <f>DATEDIF(L1231,S1231,"M")</f>
        <v>144</v>
      </c>
      <c r="J1231" s="7">
        <f>DATEDIF(L1231,S1231,"D")</f>
        <v>4408</v>
      </c>
      <c r="K1231" t="s">
        <v>64</v>
      </c>
      <c r="L1231" s="1">
        <v>40776</v>
      </c>
      <c r="M1231" s="17" t="s">
        <v>45</v>
      </c>
      <c r="N1231" t="s">
        <v>83</v>
      </c>
      <c r="O1231" t="s">
        <v>52</v>
      </c>
      <c r="P1231" t="s">
        <v>2527</v>
      </c>
      <c r="Q1231">
        <v>0</v>
      </c>
      <c r="R1231" s="1">
        <v>45187</v>
      </c>
      <c r="S1231" s="1">
        <v>45184</v>
      </c>
      <c r="T1231" s="3" t="s">
        <v>54</v>
      </c>
      <c r="U1231" t="s">
        <v>55</v>
      </c>
      <c r="W1231" s="1">
        <v>45189</v>
      </c>
      <c r="Z1231">
        <f>MONTH(S1231)</f>
        <v>9</v>
      </c>
      <c r="AA1231" s="7">
        <f>INT((S1231-DATE(YEAR(S1231-WEEKDAY(S1231-0)+4),1,4)+WEEKDAY(DATE(YEAR(S1231-WEEKDAY(S1231-0)+4),1,4))+6)/7)</f>
        <v>37</v>
      </c>
      <c r="AB1231" t="s">
        <v>3132</v>
      </c>
      <c r="AG1231" s="7">
        <v>2023</v>
      </c>
      <c r="AH1231" t="s">
        <v>482</v>
      </c>
      <c r="AK1231" t="s">
        <v>2659</v>
      </c>
      <c r="AL1231" s="3" t="s">
        <v>59</v>
      </c>
    </row>
    <row r="1232" spans="1:38" ht="30" customHeight="1">
      <c r="A1232" s="3" t="s">
        <v>44</v>
      </c>
      <c r="B1232" s="3" t="s">
        <v>45</v>
      </c>
      <c r="G1232" t="s">
        <v>3133</v>
      </c>
      <c r="H1232" s="4">
        <f>IF(DATEDIF(L1232,S1232,"m")&gt;12,DATEDIF(L1232,S1232,"y"),(DATEDIF(L1232,S1232,"m")/12))</f>
        <v>1</v>
      </c>
      <c r="I1232" s="7">
        <f>DATEDIF(L1232,S1232,"M")</f>
        <v>17</v>
      </c>
      <c r="J1232" s="7">
        <f>DATEDIF(L1232,S1232,"D")</f>
        <v>527</v>
      </c>
      <c r="K1232" t="s">
        <v>51</v>
      </c>
      <c r="L1232" s="1">
        <v>44657</v>
      </c>
      <c r="M1232" s="17" t="s">
        <v>45</v>
      </c>
      <c r="N1232" t="s">
        <v>83</v>
      </c>
      <c r="O1232" t="s">
        <v>52</v>
      </c>
      <c r="P1232" t="s">
        <v>2620</v>
      </c>
      <c r="Q1232">
        <v>0</v>
      </c>
      <c r="R1232" s="1">
        <v>45187</v>
      </c>
      <c r="S1232" s="1">
        <v>45184</v>
      </c>
      <c r="T1232" s="3" t="s">
        <v>54</v>
      </c>
      <c r="U1232" t="s">
        <v>55</v>
      </c>
      <c r="W1232" s="1">
        <v>45189</v>
      </c>
      <c r="Z1232">
        <f>MONTH(S1232)</f>
        <v>9</v>
      </c>
      <c r="AA1232" s="7">
        <f>INT((S1232-DATE(YEAR(S1232-WEEKDAY(S1232-0)+4),1,4)+WEEKDAY(DATE(YEAR(S1232-WEEKDAY(S1232-0)+4),1,4))+6)/7)</f>
        <v>37</v>
      </c>
      <c r="AB1232" t="s">
        <v>3134</v>
      </c>
      <c r="AG1232" s="7">
        <v>2023</v>
      </c>
      <c r="AH1232" t="s">
        <v>482</v>
      </c>
      <c r="AK1232" t="s">
        <v>2474</v>
      </c>
      <c r="AL1232" s="3" t="s">
        <v>59</v>
      </c>
    </row>
    <row r="1233" spans="1:38" ht="30" customHeight="1">
      <c r="A1233" s="3" t="s">
        <v>44</v>
      </c>
      <c r="B1233" s="3" t="s">
        <v>45</v>
      </c>
      <c r="G1233">
        <v>12111</v>
      </c>
      <c r="H1233" s="4">
        <f>IF(DATEDIF(L1233,S1233,"m")&gt;12,DATEDIF(L1233,S1233,"y"),(DATEDIF(L1233,S1233,"m")/12))</f>
        <v>11</v>
      </c>
      <c r="I1233" s="7">
        <f>DATEDIF(L1233,S1233,"M")</f>
        <v>133</v>
      </c>
      <c r="J1233" s="7">
        <f>DATEDIF(L1233,S1233,"D")</f>
        <v>4053</v>
      </c>
      <c r="K1233" t="s">
        <v>64</v>
      </c>
      <c r="L1233" s="1">
        <v>40966</v>
      </c>
      <c r="M1233" s="17" t="s">
        <v>45</v>
      </c>
      <c r="N1233" t="s">
        <v>101</v>
      </c>
      <c r="O1233" t="s">
        <v>52</v>
      </c>
      <c r="P1233" t="s">
        <v>2620</v>
      </c>
      <c r="Q1233">
        <v>1</v>
      </c>
      <c r="R1233" s="1">
        <v>45021</v>
      </c>
      <c r="S1233" s="1">
        <v>45019</v>
      </c>
      <c r="T1233" s="3" t="s">
        <v>54</v>
      </c>
      <c r="U1233" t="s">
        <v>55</v>
      </c>
      <c r="W1233" s="1">
        <v>45189</v>
      </c>
      <c r="Z1233">
        <f>MONTH(S1233)</f>
        <v>4</v>
      </c>
      <c r="AA1233" s="7">
        <f>INT((S1233-DATE(YEAR(S1233-WEEKDAY(S1233-0)+4),1,4)+WEEKDAY(DATE(YEAR(S1233-WEEKDAY(S1233-0)+4),1,4))+6)/7)</f>
        <v>14</v>
      </c>
      <c r="AB1233" t="s">
        <v>3135</v>
      </c>
      <c r="AG1233" s="7">
        <v>2023</v>
      </c>
      <c r="AH1233" t="s">
        <v>223</v>
      </c>
      <c r="AK1233" t="s">
        <v>2534</v>
      </c>
      <c r="AL1233" s="3" t="s">
        <v>59</v>
      </c>
    </row>
    <row r="1234" spans="1:38" ht="30" customHeight="1">
      <c r="A1234" s="3" t="s">
        <v>44</v>
      </c>
      <c r="B1234" s="3" t="s">
        <v>45</v>
      </c>
      <c r="G1234">
        <v>11116</v>
      </c>
      <c r="H1234" s="4">
        <f>IF(DATEDIF(L1234,S1234,"m")&gt;12,DATEDIF(L1234,S1234,"y"),(DATEDIF(L1234,S1234,"m")/12))</f>
        <v>1</v>
      </c>
      <c r="I1234" s="7">
        <f>DATEDIF(L1234,S1234,"M")</f>
        <v>16</v>
      </c>
      <c r="J1234" s="7">
        <f>DATEDIF(L1234,S1234,"D")</f>
        <v>514</v>
      </c>
      <c r="K1234" t="s">
        <v>51</v>
      </c>
      <c r="L1234" s="1">
        <v>44514</v>
      </c>
      <c r="M1234" s="17" t="s">
        <v>45</v>
      </c>
      <c r="N1234" t="s">
        <v>65</v>
      </c>
      <c r="O1234" t="s">
        <v>52</v>
      </c>
      <c r="P1234" t="s">
        <v>2463</v>
      </c>
      <c r="Q1234">
        <v>1</v>
      </c>
      <c r="R1234" s="1">
        <v>45030</v>
      </c>
      <c r="S1234" s="1">
        <v>45028</v>
      </c>
      <c r="T1234" s="3" t="s">
        <v>54</v>
      </c>
      <c r="U1234" t="s">
        <v>55</v>
      </c>
      <c r="W1234" s="1">
        <v>45189</v>
      </c>
      <c r="Z1234">
        <f>MONTH(S1234)</f>
        <v>4</v>
      </c>
      <c r="AA1234" s="7">
        <f>INT((S1234-DATE(YEAR(S1234-WEEKDAY(S1234-0)+4),1,4)+WEEKDAY(DATE(YEAR(S1234-WEEKDAY(S1234-0)+4),1,4))+6)/7)</f>
        <v>15</v>
      </c>
      <c r="AB1234" t="s">
        <v>3136</v>
      </c>
      <c r="AG1234" s="7">
        <v>2023</v>
      </c>
      <c r="AH1234" t="s">
        <v>223</v>
      </c>
      <c r="AK1234" t="s">
        <v>2582</v>
      </c>
      <c r="AL1234" s="3" t="s">
        <v>59</v>
      </c>
    </row>
    <row r="1235" spans="1:38" ht="30" customHeight="1">
      <c r="A1235" s="3" t="s">
        <v>44</v>
      </c>
      <c r="B1235" s="3" t="s">
        <v>45</v>
      </c>
      <c r="G1235" t="s">
        <v>3137</v>
      </c>
      <c r="H1235" s="4">
        <f>IF(DATEDIF(L1235,S1235,"m")&gt;12,DATEDIF(L1235,S1235,"y"),(DATEDIF(L1235,S1235,"m")/12))</f>
        <v>1</v>
      </c>
      <c r="I1235" s="7">
        <f>DATEDIF(L1235,S1235,"M")</f>
        <v>20</v>
      </c>
      <c r="J1235" s="7">
        <f>DATEDIF(L1235,S1235,"D")</f>
        <v>637</v>
      </c>
      <c r="K1235" t="s">
        <v>64</v>
      </c>
      <c r="L1235" s="1">
        <v>44547</v>
      </c>
      <c r="M1235" s="17" t="s">
        <v>45</v>
      </c>
      <c r="N1235" t="s">
        <v>83</v>
      </c>
      <c r="O1235" t="s">
        <v>52</v>
      </c>
      <c r="P1235" t="s">
        <v>2620</v>
      </c>
      <c r="Q1235">
        <v>0</v>
      </c>
      <c r="R1235" s="1">
        <v>45187</v>
      </c>
      <c r="S1235" s="1">
        <v>45184</v>
      </c>
      <c r="T1235" s="3" t="s">
        <v>54</v>
      </c>
      <c r="U1235" t="s">
        <v>55</v>
      </c>
      <c r="W1235" s="1">
        <v>45189</v>
      </c>
      <c r="Z1235">
        <f>MONTH(S1235)</f>
        <v>9</v>
      </c>
      <c r="AA1235" s="7">
        <f>INT((S1235-DATE(YEAR(S1235-WEEKDAY(S1235-0)+4),1,4)+WEEKDAY(DATE(YEAR(S1235-WEEKDAY(S1235-0)+4),1,4))+6)/7)</f>
        <v>37</v>
      </c>
      <c r="AB1235" t="s">
        <v>3138</v>
      </c>
      <c r="AG1235" s="7">
        <v>2023</v>
      </c>
      <c r="AH1235" t="s">
        <v>482</v>
      </c>
      <c r="AK1235" t="s">
        <v>2474</v>
      </c>
      <c r="AL1235" s="3" t="s">
        <v>59</v>
      </c>
    </row>
    <row r="1236" spans="1:38" ht="30" customHeight="1">
      <c r="A1236" s="3" t="s">
        <v>44</v>
      </c>
      <c r="B1236" s="3" t="s">
        <v>45</v>
      </c>
      <c r="G1236" t="s">
        <v>3139</v>
      </c>
      <c r="H1236" s="4">
        <f>IF(DATEDIF(L1236,S1236,"m")&gt;12,DATEDIF(L1236,S1236,"y"),(DATEDIF(L1236,S1236,"m")/12))</f>
        <v>3</v>
      </c>
      <c r="I1236" s="7">
        <f>DATEDIF(L1236,S1236,"M")</f>
        <v>44</v>
      </c>
      <c r="J1236" s="7">
        <f>DATEDIF(L1236,S1236,"D")</f>
        <v>1358</v>
      </c>
      <c r="K1236" t="s">
        <v>64</v>
      </c>
      <c r="L1236" s="1">
        <v>43826</v>
      </c>
      <c r="M1236" s="17" t="s">
        <v>45</v>
      </c>
      <c r="N1236" t="s">
        <v>83</v>
      </c>
      <c r="O1236" t="s">
        <v>52</v>
      </c>
      <c r="P1236" t="s">
        <v>2558</v>
      </c>
      <c r="Q1236">
        <v>0</v>
      </c>
      <c r="R1236" s="1">
        <v>45187</v>
      </c>
      <c r="S1236" s="1">
        <v>45184</v>
      </c>
      <c r="T1236" s="3" t="s">
        <v>54</v>
      </c>
      <c r="U1236" t="s">
        <v>55</v>
      </c>
      <c r="W1236" s="1">
        <v>45189</v>
      </c>
      <c r="Z1236">
        <f>MONTH(S1236)</f>
        <v>9</v>
      </c>
      <c r="AA1236" s="7">
        <f>INT((S1236-DATE(YEAR(S1236-WEEKDAY(S1236-0)+4),1,4)+WEEKDAY(DATE(YEAR(S1236-WEEKDAY(S1236-0)+4),1,4))+6)/7)</f>
        <v>37</v>
      </c>
      <c r="AB1236" t="s">
        <v>3140</v>
      </c>
      <c r="AG1236" s="7">
        <v>2023</v>
      </c>
      <c r="AH1236" t="s">
        <v>482</v>
      </c>
      <c r="AK1236" t="s">
        <v>140</v>
      </c>
      <c r="AL1236" s="3" t="s">
        <v>59</v>
      </c>
    </row>
    <row r="1237" spans="1:38" ht="30" customHeight="1">
      <c r="A1237" s="3" t="s">
        <v>44</v>
      </c>
      <c r="B1237" s="3" t="s">
        <v>45</v>
      </c>
      <c r="G1237" t="s">
        <v>3141</v>
      </c>
      <c r="H1237" s="4">
        <f>IF(DATEDIF(L1237,S1237,"m")&gt;12,DATEDIF(L1237,S1237,"y"),(DATEDIF(L1237,S1237,"m")/12))</f>
        <v>1</v>
      </c>
      <c r="I1237" s="7">
        <f>DATEDIF(L1237,S1237,"M")</f>
        <v>22</v>
      </c>
      <c r="J1237" s="7">
        <f>DATEDIF(L1237,S1237,"D")</f>
        <v>690</v>
      </c>
      <c r="K1237" t="s">
        <v>64</v>
      </c>
      <c r="L1237" s="1">
        <v>44495</v>
      </c>
      <c r="M1237" s="17" t="s">
        <v>45</v>
      </c>
      <c r="N1237" t="s">
        <v>83</v>
      </c>
      <c r="O1237" t="s">
        <v>52</v>
      </c>
      <c r="P1237" t="s">
        <v>2670</v>
      </c>
      <c r="Q1237">
        <v>0</v>
      </c>
      <c r="R1237" s="1">
        <v>45187</v>
      </c>
      <c r="S1237" s="1">
        <v>45185</v>
      </c>
      <c r="T1237" s="3" t="s">
        <v>54</v>
      </c>
      <c r="U1237" t="s">
        <v>55</v>
      </c>
      <c r="W1237" s="1">
        <v>45189</v>
      </c>
      <c r="Z1237">
        <f>MONTH(S1237)</f>
        <v>9</v>
      </c>
      <c r="AA1237" s="7">
        <f>INT((S1237-DATE(YEAR(S1237-WEEKDAY(S1237-0)+4),1,4)+WEEKDAY(DATE(YEAR(S1237-WEEKDAY(S1237-0)+4),1,4))+6)/7)</f>
        <v>37</v>
      </c>
      <c r="AB1237" t="s">
        <v>3142</v>
      </c>
      <c r="AG1237" s="7">
        <v>2023</v>
      </c>
      <c r="AH1237" t="s">
        <v>482</v>
      </c>
      <c r="AK1237" t="s">
        <v>2461</v>
      </c>
      <c r="AL1237" s="3" t="s">
        <v>59</v>
      </c>
    </row>
    <row r="1238" spans="1:38" ht="30" customHeight="1">
      <c r="A1238" s="3" t="s">
        <v>44</v>
      </c>
      <c r="B1238" s="3" t="s">
        <v>45</v>
      </c>
      <c r="G1238">
        <v>30974</v>
      </c>
      <c r="H1238" s="4">
        <f>IF(DATEDIF(L1238,S1238,"m")&gt;12,DATEDIF(L1238,S1238,"y"),(DATEDIF(L1238,S1238,"m")/12))</f>
        <v>6</v>
      </c>
      <c r="I1238" s="7">
        <f>DATEDIF(L1238,S1238,"M")</f>
        <v>77</v>
      </c>
      <c r="J1238" s="7">
        <f>DATEDIF(L1238,S1238,"D")</f>
        <v>2354</v>
      </c>
      <c r="K1238" t="s">
        <v>51</v>
      </c>
      <c r="L1238" s="1">
        <v>42844</v>
      </c>
      <c r="M1238" s="17" t="s">
        <v>45</v>
      </c>
      <c r="N1238" t="s">
        <v>101</v>
      </c>
      <c r="O1238" t="s">
        <v>52</v>
      </c>
      <c r="P1238" t="s">
        <v>2598</v>
      </c>
      <c r="Q1238">
        <v>1</v>
      </c>
      <c r="R1238" s="1">
        <v>45200</v>
      </c>
      <c r="S1238" s="1">
        <v>45198</v>
      </c>
      <c r="T1238" s="3" t="s">
        <v>54</v>
      </c>
      <c r="U1238" t="s">
        <v>55</v>
      </c>
      <c r="W1238" s="1">
        <v>45201</v>
      </c>
      <c r="Z1238">
        <f>MONTH(S1238)</f>
        <v>9</v>
      </c>
      <c r="AA1238" s="7">
        <f>INT((S1238-DATE(YEAR(S1238-WEEKDAY(S1238-0)+4),1,4)+WEEKDAY(DATE(YEAR(S1238-WEEKDAY(S1238-0)+4),1,4))+6)/7)</f>
        <v>39</v>
      </c>
      <c r="AB1238" t="s">
        <v>3143</v>
      </c>
      <c r="AG1238" s="7">
        <v>2023</v>
      </c>
      <c r="AH1238" t="s">
        <v>223</v>
      </c>
      <c r="AK1238" t="s">
        <v>2933</v>
      </c>
      <c r="AL1238" s="3" t="s">
        <v>59</v>
      </c>
    </row>
    <row r="1239" spans="1:38" ht="30" customHeight="1">
      <c r="A1239" s="3" t="s">
        <v>44</v>
      </c>
      <c r="B1239" s="3" t="s">
        <v>45</v>
      </c>
      <c r="G1239" t="s">
        <v>3144</v>
      </c>
      <c r="H1239" s="5">
        <f>IF(DATEDIF(L1239,S1239,"m")&gt;12,DATEDIF(L1239,S1239,"y"),(DATEDIF(L1239,S1239,"m")/12))</f>
        <v>0.16666666666666666</v>
      </c>
      <c r="I1239" s="7">
        <f>DATEDIF(L1239,S1239,"M")</f>
        <v>2</v>
      </c>
      <c r="J1239" s="7">
        <f>DATEDIF(L1239,S1239,"D")</f>
        <v>81</v>
      </c>
      <c r="K1239" t="s">
        <v>64</v>
      </c>
      <c r="L1239" s="1">
        <v>45109</v>
      </c>
      <c r="M1239" s="17" t="s">
        <v>45</v>
      </c>
      <c r="N1239" t="s">
        <v>83</v>
      </c>
      <c r="O1239" t="s">
        <v>52</v>
      </c>
      <c r="P1239" t="s">
        <v>2579</v>
      </c>
      <c r="Q1239">
        <v>0</v>
      </c>
      <c r="R1239" s="1">
        <v>45204</v>
      </c>
      <c r="S1239" s="1">
        <v>45190</v>
      </c>
      <c r="T1239" s="3" t="s">
        <v>54</v>
      </c>
      <c r="U1239" t="s">
        <v>55</v>
      </c>
      <c r="W1239" s="1">
        <v>45204</v>
      </c>
      <c r="Z1239">
        <f>MONTH(S1239)</f>
        <v>9</v>
      </c>
      <c r="AA1239" s="7">
        <f>INT((S1239-DATE(YEAR(S1239-WEEKDAY(S1239-0)+4),1,4)+WEEKDAY(DATE(YEAR(S1239-WEEKDAY(S1239-0)+4),1,4))+6)/7)</f>
        <v>38</v>
      </c>
      <c r="AB1239" t="s">
        <v>3145</v>
      </c>
      <c r="AG1239" s="7">
        <v>2023</v>
      </c>
      <c r="AH1239" t="s">
        <v>482</v>
      </c>
      <c r="AK1239" t="s">
        <v>2625</v>
      </c>
      <c r="AL1239" s="3" t="s">
        <v>59</v>
      </c>
    </row>
    <row r="1240" spans="1:38" ht="30" customHeight="1">
      <c r="A1240" s="3" t="s">
        <v>44</v>
      </c>
      <c r="B1240" s="3" t="s">
        <v>45</v>
      </c>
      <c r="G1240" t="s">
        <v>3150</v>
      </c>
      <c r="H1240" s="4">
        <f>IF(DATEDIF(L1240,S1240,"m")&gt;12,DATEDIF(L1240,S1240,"y"),(DATEDIF(L1240,S1240,"m")/12))</f>
        <v>21</v>
      </c>
      <c r="I1240" s="7">
        <f>DATEDIF(L1240,S1240,"M")</f>
        <v>254</v>
      </c>
      <c r="J1240" s="7">
        <f>DATEDIF(L1240,S1240,"D")</f>
        <v>7754</v>
      </c>
      <c r="K1240" t="s">
        <v>51</v>
      </c>
      <c r="L1240" s="1">
        <v>37447</v>
      </c>
      <c r="M1240" s="17" t="s">
        <v>45</v>
      </c>
      <c r="N1240" t="s">
        <v>83</v>
      </c>
      <c r="O1240" t="s">
        <v>52</v>
      </c>
      <c r="P1240" t="s">
        <v>2513</v>
      </c>
      <c r="Q1240">
        <v>0</v>
      </c>
      <c r="R1240" s="1">
        <v>45204</v>
      </c>
      <c r="S1240" s="1">
        <v>45201</v>
      </c>
      <c r="T1240" s="3" t="s">
        <v>54</v>
      </c>
      <c r="U1240" t="s">
        <v>55</v>
      </c>
      <c r="W1240" s="1">
        <v>45204</v>
      </c>
      <c r="Z1240">
        <f>MONTH(S1240)</f>
        <v>10</v>
      </c>
      <c r="AA1240" s="7">
        <f>INT((S1240-DATE(YEAR(S1240-WEEKDAY(S1240-0)+4),1,4)+WEEKDAY(DATE(YEAR(S1240-WEEKDAY(S1240-0)+4),1,4))+6)/7)</f>
        <v>40</v>
      </c>
      <c r="AB1240" t="s">
        <v>3151</v>
      </c>
      <c r="AG1240" s="7">
        <v>2023</v>
      </c>
      <c r="AH1240" t="s">
        <v>482</v>
      </c>
      <c r="AK1240" t="s">
        <v>2519</v>
      </c>
      <c r="AL1240" s="3" t="s">
        <v>59</v>
      </c>
    </row>
    <row r="1241" spans="1:38" ht="30" customHeight="1">
      <c r="A1241" s="3" t="s">
        <v>44</v>
      </c>
      <c r="B1241" s="3" t="s">
        <v>45</v>
      </c>
      <c r="G1241" t="s">
        <v>3158</v>
      </c>
      <c r="H1241" s="4">
        <f>IF(DATEDIF(L1241,S1241,"m")&gt;12,DATEDIF(L1241,S1241,"y"),(DATEDIF(L1241,S1241,"m")/12))</f>
        <v>7</v>
      </c>
      <c r="I1241" s="7">
        <f>DATEDIF(L1241,S1241,"M")</f>
        <v>85</v>
      </c>
      <c r="J1241" s="7">
        <f>DATEDIF(L1241,S1241,"D")</f>
        <v>2589</v>
      </c>
      <c r="K1241" t="s">
        <v>51</v>
      </c>
      <c r="L1241" s="1">
        <v>42601</v>
      </c>
      <c r="M1241" s="17" t="s">
        <v>45</v>
      </c>
      <c r="N1241" t="s">
        <v>83</v>
      </c>
      <c r="O1241" t="s">
        <v>52</v>
      </c>
      <c r="P1241" t="s">
        <v>2579</v>
      </c>
      <c r="Q1241">
        <v>0</v>
      </c>
      <c r="R1241" s="1">
        <v>45204</v>
      </c>
      <c r="S1241" s="1">
        <v>45190</v>
      </c>
      <c r="T1241" s="3" t="s">
        <v>54</v>
      </c>
      <c r="U1241" t="s">
        <v>55</v>
      </c>
      <c r="W1241" s="1">
        <v>45204</v>
      </c>
      <c r="Z1241">
        <f>MONTH(S1241)</f>
        <v>9</v>
      </c>
      <c r="AA1241" s="7">
        <f>INT((S1241-DATE(YEAR(S1241-WEEKDAY(S1241-0)+4),1,4)+WEEKDAY(DATE(YEAR(S1241-WEEKDAY(S1241-0)+4),1,4))+6)/7)</f>
        <v>38</v>
      </c>
      <c r="AB1241" t="s">
        <v>3159</v>
      </c>
      <c r="AG1241" s="7">
        <v>2023</v>
      </c>
      <c r="AH1241" t="s">
        <v>482</v>
      </c>
      <c r="AK1241" t="s">
        <v>2625</v>
      </c>
      <c r="AL1241" s="3" t="s">
        <v>59</v>
      </c>
    </row>
    <row r="1242" spans="1:38" ht="30" customHeight="1">
      <c r="A1242" s="3" t="s">
        <v>44</v>
      </c>
      <c r="B1242" s="3" t="s">
        <v>45</v>
      </c>
      <c r="G1242" t="s">
        <v>3176</v>
      </c>
      <c r="H1242" s="4">
        <f>IF(DATEDIF(L1242,S1242,"m")&gt;12,DATEDIF(L1242,S1242,"y"),(DATEDIF(L1242,S1242,"m")/12))</f>
        <v>9</v>
      </c>
      <c r="I1242" s="7">
        <f>DATEDIF(L1242,S1242,"M")</f>
        <v>110</v>
      </c>
      <c r="J1242" s="7">
        <f>DATEDIF(L1242,S1242,"D")</f>
        <v>3351</v>
      </c>
      <c r="K1242" t="s">
        <v>64</v>
      </c>
      <c r="L1242" s="1">
        <v>41850</v>
      </c>
      <c r="M1242" s="17" t="s">
        <v>45</v>
      </c>
      <c r="N1242" t="s">
        <v>83</v>
      </c>
      <c r="O1242" t="s">
        <v>52</v>
      </c>
      <c r="P1242" t="s">
        <v>2558</v>
      </c>
      <c r="Q1242">
        <v>0</v>
      </c>
      <c r="R1242" s="1">
        <v>45204</v>
      </c>
      <c r="S1242" s="1">
        <v>45201</v>
      </c>
      <c r="T1242" s="3" t="s">
        <v>54</v>
      </c>
      <c r="U1242" t="s">
        <v>55</v>
      </c>
      <c r="W1242" s="1">
        <v>45204</v>
      </c>
      <c r="Z1242">
        <f>MONTH(S1242)</f>
        <v>10</v>
      </c>
      <c r="AA1242" s="7">
        <f>INT((S1242-DATE(YEAR(S1242-WEEKDAY(S1242-0)+4),1,4)+WEEKDAY(DATE(YEAR(S1242-WEEKDAY(S1242-0)+4),1,4))+6)/7)</f>
        <v>40</v>
      </c>
      <c r="AB1242" t="s">
        <v>3177</v>
      </c>
      <c r="AG1242" s="7">
        <v>2023</v>
      </c>
      <c r="AH1242" t="s">
        <v>482</v>
      </c>
      <c r="AK1242" t="s">
        <v>140</v>
      </c>
      <c r="AL1242" s="3" t="s">
        <v>59</v>
      </c>
    </row>
    <row r="1243" spans="1:38" ht="30" customHeight="1">
      <c r="A1243" s="3" t="s">
        <v>44</v>
      </c>
      <c r="B1243" s="3" t="s">
        <v>45</v>
      </c>
      <c r="G1243" t="s">
        <v>3178</v>
      </c>
      <c r="H1243" s="4">
        <f>IF(DATEDIF(L1243,S1243,"m")&gt;12,DATEDIF(L1243,S1243,"y"),(DATEDIF(L1243,S1243,"m")/12))</f>
        <v>3</v>
      </c>
      <c r="I1243" s="7">
        <f>DATEDIF(L1243,S1243,"M")</f>
        <v>45</v>
      </c>
      <c r="J1243" s="7">
        <f>DATEDIF(L1243,S1243,"D")</f>
        <v>1385</v>
      </c>
      <c r="K1243" t="s">
        <v>51</v>
      </c>
      <c r="L1243" s="1">
        <v>43815</v>
      </c>
      <c r="M1243" s="17" t="s">
        <v>45</v>
      </c>
      <c r="N1243" t="s">
        <v>83</v>
      </c>
      <c r="O1243" t="s">
        <v>52</v>
      </c>
      <c r="P1243" t="s">
        <v>2598</v>
      </c>
      <c r="Q1243">
        <v>0</v>
      </c>
      <c r="R1243" s="1">
        <v>45204</v>
      </c>
      <c r="S1243" s="1">
        <v>45200</v>
      </c>
      <c r="T1243" s="3" t="s">
        <v>54</v>
      </c>
      <c r="U1243" t="s">
        <v>55</v>
      </c>
      <c r="W1243" s="1">
        <v>45204</v>
      </c>
      <c r="Z1243">
        <f>MONTH(S1243)</f>
        <v>10</v>
      </c>
      <c r="AA1243" s="7">
        <f>INT((S1243-DATE(YEAR(S1243-WEEKDAY(S1243-0)+4),1,4)+WEEKDAY(DATE(YEAR(S1243-WEEKDAY(S1243-0)+4),1,4))+6)/7)</f>
        <v>40</v>
      </c>
      <c r="AB1243" t="s">
        <v>3179</v>
      </c>
      <c r="AG1243" s="7">
        <v>2023</v>
      </c>
      <c r="AH1243" t="s">
        <v>482</v>
      </c>
      <c r="AK1243" t="s">
        <v>3003</v>
      </c>
      <c r="AL1243" s="3" t="s">
        <v>59</v>
      </c>
    </row>
    <row r="1244" spans="1:38" ht="30" customHeight="1">
      <c r="A1244" s="3" t="s">
        <v>44</v>
      </c>
      <c r="B1244" s="3" t="s">
        <v>45</v>
      </c>
      <c r="G1244" t="s">
        <v>3203</v>
      </c>
      <c r="H1244" s="4">
        <f>IF(DATEDIF(L1244,S1244,"m")&gt;12,DATEDIF(L1244,S1244,"y"),(DATEDIF(L1244,S1244,"m")/12))</f>
        <v>9</v>
      </c>
      <c r="I1244" s="7">
        <f>DATEDIF(L1244,S1244,"M")</f>
        <v>113</v>
      </c>
      <c r="J1244" s="7">
        <f>DATEDIF(L1244,S1244,"D")</f>
        <v>3469</v>
      </c>
      <c r="K1244" t="s">
        <v>64</v>
      </c>
      <c r="L1244" s="1">
        <v>41732</v>
      </c>
      <c r="M1244" s="17" t="s">
        <v>45</v>
      </c>
      <c r="N1244" t="s">
        <v>83</v>
      </c>
      <c r="O1244" t="s">
        <v>52</v>
      </c>
      <c r="P1244" t="s">
        <v>2518</v>
      </c>
      <c r="Q1244">
        <v>0</v>
      </c>
      <c r="R1244" s="1">
        <v>45204</v>
      </c>
      <c r="S1244" s="1">
        <v>45201</v>
      </c>
      <c r="T1244" s="3" t="s">
        <v>54</v>
      </c>
      <c r="U1244" t="s">
        <v>55</v>
      </c>
      <c r="W1244" s="1">
        <v>45204</v>
      </c>
      <c r="Z1244">
        <f>MONTH(S1244)</f>
        <v>10</v>
      </c>
      <c r="AA1244" s="7">
        <f>INT((S1244-DATE(YEAR(S1244-WEEKDAY(S1244-0)+4),1,4)+WEEKDAY(DATE(YEAR(S1244-WEEKDAY(S1244-0)+4),1,4))+6)/7)</f>
        <v>40</v>
      </c>
      <c r="AB1244" t="s">
        <v>3204</v>
      </c>
      <c r="AG1244" s="7">
        <v>2023</v>
      </c>
      <c r="AH1244" t="s">
        <v>482</v>
      </c>
      <c r="AK1244" t="s">
        <v>140</v>
      </c>
      <c r="AL1244" s="3" t="s">
        <v>59</v>
      </c>
    </row>
    <row r="1245" spans="1:38" ht="30" customHeight="1">
      <c r="A1245" s="3" t="s">
        <v>44</v>
      </c>
      <c r="B1245" s="3" t="s">
        <v>45</v>
      </c>
      <c r="G1245" t="s">
        <v>3231</v>
      </c>
      <c r="H1245" s="11">
        <f>IF(DATEDIF(L1245,S1245,"m")&gt;12,DATEDIF(L1245,S1245,"y"),(DATEDIF(L1245,S1245,"m")/12))</f>
        <v>0</v>
      </c>
      <c r="I1245" s="7">
        <f>DATEDIF(L1245,S1245,"M")</f>
        <v>0</v>
      </c>
      <c r="J1245" s="7">
        <f>DATEDIF(L1245,S1245,"D")</f>
        <v>10</v>
      </c>
      <c r="K1245" t="s">
        <v>51</v>
      </c>
      <c r="L1245" s="1">
        <v>45191</v>
      </c>
      <c r="M1245" s="17" t="s">
        <v>45</v>
      </c>
      <c r="N1245" t="s">
        <v>83</v>
      </c>
      <c r="O1245" t="s">
        <v>52</v>
      </c>
      <c r="P1245" t="s">
        <v>2518</v>
      </c>
      <c r="Q1245">
        <v>0</v>
      </c>
      <c r="R1245" s="1">
        <v>45204</v>
      </c>
      <c r="S1245" s="1">
        <v>45201</v>
      </c>
      <c r="T1245" s="3" t="s">
        <v>54</v>
      </c>
      <c r="U1245" t="s">
        <v>55</v>
      </c>
      <c r="W1245" s="1">
        <v>45204</v>
      </c>
      <c r="Z1245">
        <f>MONTH(S1245)</f>
        <v>10</v>
      </c>
      <c r="AA1245" s="7">
        <f>INT((S1245-DATE(YEAR(S1245-WEEKDAY(S1245-0)+4),1,4)+WEEKDAY(DATE(YEAR(S1245-WEEKDAY(S1245-0)+4),1,4))+6)/7)</f>
        <v>40</v>
      </c>
      <c r="AB1245" t="s">
        <v>3232</v>
      </c>
      <c r="AG1245" s="7">
        <v>2023</v>
      </c>
      <c r="AH1245" t="s">
        <v>482</v>
      </c>
      <c r="AK1245" t="s">
        <v>140</v>
      </c>
      <c r="AL1245" s="3" t="s">
        <v>59</v>
      </c>
    </row>
    <row r="1246" spans="1:38" ht="30" customHeight="1">
      <c r="A1246" s="3" t="s">
        <v>44</v>
      </c>
      <c r="B1246" s="3" t="s">
        <v>45</v>
      </c>
      <c r="G1246" t="s">
        <v>2819</v>
      </c>
      <c r="H1246" s="5">
        <f>IF(DATEDIF(L1246,S1246,"m")&gt;12,DATEDIF(L1246,S1246,"y"),(DATEDIF(L1246,S1246,"m")/12))</f>
        <v>0.75</v>
      </c>
      <c r="I1246" s="7">
        <f>DATEDIF(L1246,S1246,"M")</f>
        <v>9</v>
      </c>
      <c r="J1246" s="7">
        <f>DATEDIF(L1246,S1246,"D")</f>
        <v>276</v>
      </c>
      <c r="K1246" t="s">
        <v>51</v>
      </c>
      <c r="L1246" s="1">
        <v>44926</v>
      </c>
      <c r="M1246" s="17" t="s">
        <v>45</v>
      </c>
      <c r="N1246" t="s">
        <v>83</v>
      </c>
      <c r="O1246" t="s">
        <v>52</v>
      </c>
      <c r="P1246" t="s">
        <v>2558</v>
      </c>
      <c r="Q1246">
        <v>0</v>
      </c>
      <c r="R1246" s="1">
        <v>45204</v>
      </c>
      <c r="S1246" s="1">
        <v>45202</v>
      </c>
      <c r="T1246" s="3" t="s">
        <v>54</v>
      </c>
      <c r="U1246" t="s">
        <v>55</v>
      </c>
      <c r="W1246" s="1">
        <v>45205</v>
      </c>
      <c r="Z1246">
        <f>MONTH(S1246)</f>
        <v>10</v>
      </c>
      <c r="AA1246" s="7">
        <f>INT((S1246-DATE(YEAR(S1246-WEEKDAY(S1246-0)+4),1,4)+WEEKDAY(DATE(YEAR(S1246-WEEKDAY(S1246-0)+4),1,4))+6)/7)</f>
        <v>40</v>
      </c>
      <c r="AB1246" t="s">
        <v>2820</v>
      </c>
      <c r="AG1246" s="7">
        <v>2023</v>
      </c>
      <c r="AH1246" t="s">
        <v>482</v>
      </c>
      <c r="AK1246" t="s">
        <v>140</v>
      </c>
      <c r="AL1246" s="3" t="s">
        <v>59</v>
      </c>
    </row>
    <row r="1247" spans="1:38" ht="30" customHeight="1">
      <c r="A1247" s="3" t="s">
        <v>44</v>
      </c>
      <c r="B1247" s="3" t="s">
        <v>45</v>
      </c>
      <c r="G1247" t="s">
        <v>3168</v>
      </c>
      <c r="H1247" s="4">
        <f>IF(DATEDIF(L1247,S1247,"m")&gt;12,DATEDIF(L1247,S1247,"y"),(DATEDIF(L1247,S1247,"m")/12))</f>
        <v>57</v>
      </c>
      <c r="I1247" s="7">
        <f>DATEDIF(L1247,S1247,"M")</f>
        <v>692</v>
      </c>
      <c r="J1247" s="7">
        <f>DATEDIF(L1247,S1247,"D")</f>
        <v>21076</v>
      </c>
      <c r="K1247" t="s">
        <v>64</v>
      </c>
      <c r="L1247" s="1">
        <v>24124</v>
      </c>
      <c r="M1247" s="17" t="s">
        <v>45</v>
      </c>
      <c r="N1247" t="s">
        <v>83</v>
      </c>
      <c r="O1247" t="s">
        <v>52</v>
      </c>
      <c r="P1247" t="s">
        <v>2463</v>
      </c>
      <c r="Q1247">
        <v>0</v>
      </c>
      <c r="R1247" s="1">
        <v>45204</v>
      </c>
      <c r="S1247" s="1">
        <v>45200</v>
      </c>
      <c r="T1247" s="3" t="s">
        <v>54</v>
      </c>
      <c r="U1247" t="s">
        <v>55</v>
      </c>
      <c r="W1247" s="1">
        <v>45205</v>
      </c>
      <c r="Z1247">
        <f>MONTH(S1247)</f>
        <v>10</v>
      </c>
      <c r="AA1247" s="7">
        <f>INT((S1247-DATE(YEAR(S1247-WEEKDAY(S1247-0)+4),1,4)+WEEKDAY(DATE(YEAR(S1247-WEEKDAY(S1247-0)+4),1,4))+6)/7)</f>
        <v>40</v>
      </c>
      <c r="AB1247" t="s">
        <v>3169</v>
      </c>
      <c r="AG1247" s="7">
        <v>2023</v>
      </c>
      <c r="AH1247" t="s">
        <v>482</v>
      </c>
      <c r="AK1247" t="s">
        <v>140</v>
      </c>
      <c r="AL1247" s="3" t="s">
        <v>59</v>
      </c>
    </row>
    <row r="1248" spans="1:38" ht="30" customHeight="1">
      <c r="A1248" s="3" t="s">
        <v>44</v>
      </c>
      <c r="B1248" s="3" t="s">
        <v>45</v>
      </c>
      <c r="G1248" t="s">
        <v>3174</v>
      </c>
      <c r="H1248" s="4">
        <f>IF(DATEDIF(L1248,S1248,"m")&gt;12,DATEDIF(L1248,S1248,"y"),(DATEDIF(L1248,S1248,"m")/12))</f>
        <v>3</v>
      </c>
      <c r="I1248" s="7">
        <f>DATEDIF(L1248,S1248,"M")</f>
        <v>40</v>
      </c>
      <c r="J1248" s="7">
        <f>DATEDIF(L1248,S1248,"D")</f>
        <v>1229</v>
      </c>
      <c r="K1248" t="s">
        <v>51</v>
      </c>
      <c r="L1248" s="1">
        <v>43973</v>
      </c>
      <c r="M1248" s="17" t="s">
        <v>45</v>
      </c>
      <c r="N1248" t="s">
        <v>83</v>
      </c>
      <c r="O1248" t="s">
        <v>52</v>
      </c>
      <c r="P1248" t="s">
        <v>2558</v>
      </c>
      <c r="Q1248">
        <v>0</v>
      </c>
      <c r="R1248" s="1">
        <v>45204</v>
      </c>
      <c r="S1248" s="1">
        <v>45202</v>
      </c>
      <c r="T1248" s="3" t="s">
        <v>54</v>
      </c>
      <c r="U1248" t="s">
        <v>55</v>
      </c>
      <c r="W1248" s="1">
        <v>45205</v>
      </c>
      <c r="Z1248">
        <f>MONTH(S1248)</f>
        <v>10</v>
      </c>
      <c r="AA1248" s="7">
        <f>INT((S1248-DATE(YEAR(S1248-WEEKDAY(S1248-0)+4),1,4)+WEEKDAY(DATE(YEAR(S1248-WEEKDAY(S1248-0)+4),1,4))+6)/7)</f>
        <v>40</v>
      </c>
      <c r="AB1248" t="s">
        <v>3175</v>
      </c>
      <c r="AG1248" s="7">
        <v>2023</v>
      </c>
      <c r="AH1248" t="s">
        <v>482</v>
      </c>
      <c r="AK1248" t="s">
        <v>140</v>
      </c>
      <c r="AL1248" s="3" t="s">
        <v>59</v>
      </c>
    </row>
    <row r="1249" spans="1:38" ht="30" customHeight="1">
      <c r="A1249" s="3" t="s">
        <v>44</v>
      </c>
      <c r="B1249" s="3" t="s">
        <v>45</v>
      </c>
      <c r="G1249" t="s">
        <v>3186</v>
      </c>
      <c r="H1249" s="4">
        <f>IF(DATEDIF(L1249,S1249,"m")&gt;12,DATEDIF(L1249,S1249,"y"),(DATEDIF(L1249,S1249,"m")/12))</f>
        <v>4</v>
      </c>
      <c r="I1249" s="7">
        <f>DATEDIF(L1249,S1249,"M")</f>
        <v>57</v>
      </c>
      <c r="J1249" s="7">
        <f>DATEDIF(L1249,S1249,"D")</f>
        <v>1756</v>
      </c>
      <c r="K1249" t="s">
        <v>51</v>
      </c>
      <c r="L1249" s="1">
        <v>43446</v>
      </c>
      <c r="M1249" s="17" t="s">
        <v>45</v>
      </c>
      <c r="N1249" t="s">
        <v>83</v>
      </c>
      <c r="O1249" t="s">
        <v>52</v>
      </c>
      <c r="P1249" t="s">
        <v>3187</v>
      </c>
      <c r="Q1249">
        <v>0</v>
      </c>
      <c r="R1249" s="1">
        <v>45204</v>
      </c>
      <c r="S1249" s="1">
        <v>45202</v>
      </c>
      <c r="T1249" s="3" t="s">
        <v>54</v>
      </c>
      <c r="U1249" t="s">
        <v>55</v>
      </c>
      <c r="W1249" s="1">
        <v>45205</v>
      </c>
      <c r="Z1249">
        <f>MONTH(S1249)</f>
        <v>10</v>
      </c>
      <c r="AA1249" s="7">
        <f>INT((S1249-DATE(YEAR(S1249-WEEKDAY(S1249-0)+4),1,4)+WEEKDAY(DATE(YEAR(S1249-WEEKDAY(S1249-0)+4),1,4))+6)/7)</f>
        <v>40</v>
      </c>
      <c r="AB1249" t="s">
        <v>3188</v>
      </c>
      <c r="AG1249" s="7">
        <v>2023</v>
      </c>
      <c r="AH1249" t="s">
        <v>482</v>
      </c>
      <c r="AK1249" t="s">
        <v>140</v>
      </c>
      <c r="AL1249" s="3" t="s">
        <v>59</v>
      </c>
    </row>
    <row r="1250" spans="1:38" ht="30" customHeight="1">
      <c r="A1250" s="3" t="s">
        <v>44</v>
      </c>
      <c r="B1250" s="3" t="s">
        <v>45</v>
      </c>
      <c r="G1250" t="s">
        <v>3211</v>
      </c>
      <c r="H1250" s="4">
        <f>IF(DATEDIF(L1250,S1250,"m")&gt;12,DATEDIF(L1250,S1250,"y"),(DATEDIF(L1250,S1250,"m")/12))</f>
        <v>13</v>
      </c>
      <c r="I1250" s="7">
        <f>DATEDIF(L1250,S1250,"M")</f>
        <v>159</v>
      </c>
      <c r="J1250" s="7">
        <f>DATEDIF(L1250,S1250,"D")</f>
        <v>4848</v>
      </c>
      <c r="K1250" t="s">
        <v>51</v>
      </c>
      <c r="L1250" s="1">
        <v>40355</v>
      </c>
      <c r="M1250" s="17" t="s">
        <v>45</v>
      </c>
      <c r="N1250" t="s">
        <v>83</v>
      </c>
      <c r="O1250" t="s">
        <v>52</v>
      </c>
      <c r="P1250" t="s">
        <v>2521</v>
      </c>
      <c r="Q1250">
        <v>0</v>
      </c>
      <c r="R1250" s="1">
        <v>45204</v>
      </c>
      <c r="S1250" s="1">
        <v>45203</v>
      </c>
      <c r="T1250" s="3" t="s">
        <v>54</v>
      </c>
      <c r="U1250" t="s">
        <v>55</v>
      </c>
      <c r="W1250" s="1">
        <v>45205</v>
      </c>
      <c r="Z1250">
        <f>MONTH(S1250)</f>
        <v>10</v>
      </c>
      <c r="AA1250" s="7">
        <f>INT((S1250-DATE(YEAR(S1250-WEEKDAY(S1250-0)+4),1,4)+WEEKDAY(DATE(YEAR(S1250-WEEKDAY(S1250-0)+4),1,4))+6)/7)</f>
        <v>40</v>
      </c>
      <c r="AB1250" t="s">
        <v>3212</v>
      </c>
      <c r="AG1250" s="7">
        <v>2023</v>
      </c>
      <c r="AH1250" t="s">
        <v>482</v>
      </c>
      <c r="AK1250" t="s">
        <v>2826</v>
      </c>
      <c r="AL1250" s="3" t="s">
        <v>59</v>
      </c>
    </row>
    <row r="1251" spans="1:38" ht="30" customHeight="1">
      <c r="A1251" s="3" t="s">
        <v>44</v>
      </c>
      <c r="B1251" s="3" t="s">
        <v>45</v>
      </c>
      <c r="G1251" t="s">
        <v>3213</v>
      </c>
      <c r="H1251" s="4">
        <f>IF(DATEDIF(L1251,S1251,"m")&gt;12,DATEDIF(L1251,S1251,"y"),(DATEDIF(L1251,S1251,"m")/12))</f>
        <v>15</v>
      </c>
      <c r="I1251" s="7">
        <f>DATEDIF(L1251,S1251,"M")</f>
        <v>187</v>
      </c>
      <c r="J1251" s="7">
        <f>DATEDIF(L1251,S1251,"D")</f>
        <v>5696</v>
      </c>
      <c r="K1251" t="s">
        <v>64</v>
      </c>
      <c r="L1251" s="1">
        <v>39500</v>
      </c>
      <c r="M1251" s="17" t="s">
        <v>45</v>
      </c>
      <c r="N1251" t="s">
        <v>83</v>
      </c>
      <c r="O1251" t="s">
        <v>52</v>
      </c>
      <c r="P1251" t="s">
        <v>2521</v>
      </c>
      <c r="Q1251">
        <v>0</v>
      </c>
      <c r="R1251" s="1">
        <v>45204</v>
      </c>
      <c r="S1251" s="1">
        <v>45196</v>
      </c>
      <c r="T1251" s="3" t="s">
        <v>54</v>
      </c>
      <c r="U1251" t="s">
        <v>55</v>
      </c>
      <c r="W1251" s="1">
        <v>45205</v>
      </c>
      <c r="Z1251">
        <f>MONTH(S1251)</f>
        <v>9</v>
      </c>
      <c r="AA1251" s="7">
        <f>INT((S1251-DATE(YEAR(S1251-WEEKDAY(S1251-0)+4),1,4)+WEEKDAY(DATE(YEAR(S1251-WEEKDAY(S1251-0)+4),1,4))+6)/7)</f>
        <v>39</v>
      </c>
      <c r="AB1251" t="s">
        <v>3214</v>
      </c>
      <c r="AG1251" s="7">
        <v>2023</v>
      </c>
      <c r="AH1251" t="s">
        <v>482</v>
      </c>
      <c r="AK1251" t="s">
        <v>2826</v>
      </c>
      <c r="AL1251" s="3" t="s">
        <v>59</v>
      </c>
    </row>
    <row r="1252" spans="1:38" ht="30" customHeight="1">
      <c r="A1252" s="3" t="s">
        <v>44</v>
      </c>
      <c r="B1252" s="3" t="s">
        <v>45</v>
      </c>
      <c r="G1252" t="s">
        <v>3237</v>
      </c>
      <c r="H1252" s="4">
        <f>IF(DATEDIF(L1252,S1252,"m")&gt;12,DATEDIF(L1252,S1252,"y"),(DATEDIF(L1252,S1252,"m")/12))</f>
        <v>11</v>
      </c>
      <c r="I1252" s="7">
        <f>DATEDIF(L1252,S1252,"M")</f>
        <v>143</v>
      </c>
      <c r="J1252" s="7">
        <f>DATEDIF(L1252,S1252,"D")</f>
        <v>4374</v>
      </c>
      <c r="K1252" t="s">
        <v>64</v>
      </c>
      <c r="L1252" s="1">
        <v>40798</v>
      </c>
      <c r="M1252" s="17" t="s">
        <v>45</v>
      </c>
      <c r="N1252" t="s">
        <v>83</v>
      </c>
      <c r="O1252" t="s">
        <v>52</v>
      </c>
      <c r="P1252" t="s">
        <v>2518</v>
      </c>
      <c r="Q1252">
        <v>0</v>
      </c>
      <c r="R1252" s="1">
        <v>45204</v>
      </c>
      <c r="S1252" s="1">
        <v>45172</v>
      </c>
      <c r="T1252" s="3" t="s">
        <v>54</v>
      </c>
      <c r="U1252" t="s">
        <v>55</v>
      </c>
      <c r="W1252" s="1">
        <v>45205</v>
      </c>
      <c r="Z1252">
        <f>MONTH(S1252)</f>
        <v>9</v>
      </c>
      <c r="AA1252" s="7">
        <f>INT((S1252-DATE(YEAR(S1252-WEEKDAY(S1252-0)+4),1,4)+WEEKDAY(DATE(YEAR(S1252-WEEKDAY(S1252-0)+4),1,4))+6)/7)</f>
        <v>36</v>
      </c>
      <c r="AB1252" t="s">
        <v>3238</v>
      </c>
      <c r="AG1252" s="7">
        <v>2023</v>
      </c>
      <c r="AH1252" t="s">
        <v>482</v>
      </c>
      <c r="AK1252" t="s">
        <v>3012</v>
      </c>
      <c r="AL1252" s="3" t="s">
        <v>59</v>
      </c>
    </row>
    <row r="1253" spans="1:38" ht="30" customHeight="1">
      <c r="A1253" s="3" t="s">
        <v>44</v>
      </c>
      <c r="B1253" s="3" t="s">
        <v>45</v>
      </c>
      <c r="G1253" t="s">
        <v>3239</v>
      </c>
      <c r="H1253" s="4">
        <f>IF(DATEDIF(L1253,S1253,"m")&gt;12,DATEDIF(L1253,S1253,"y"),(DATEDIF(L1253,S1253,"m")/12))</f>
        <v>8</v>
      </c>
      <c r="I1253" s="7">
        <f>DATEDIF(L1253,S1253,"M")</f>
        <v>105</v>
      </c>
      <c r="J1253" s="7">
        <f>DATEDIF(L1253,S1253,"D")</f>
        <v>3218</v>
      </c>
      <c r="K1253" t="s">
        <v>51</v>
      </c>
      <c r="L1253" s="1">
        <v>41983</v>
      </c>
      <c r="M1253" s="17" t="s">
        <v>45</v>
      </c>
      <c r="N1253" t="s">
        <v>83</v>
      </c>
      <c r="O1253" t="s">
        <v>52</v>
      </c>
      <c r="P1253" t="s">
        <v>2513</v>
      </c>
      <c r="Q1253">
        <v>0</v>
      </c>
      <c r="R1253" s="1">
        <v>45204</v>
      </c>
      <c r="S1253" s="1">
        <v>45201</v>
      </c>
      <c r="T1253" s="3" t="s">
        <v>54</v>
      </c>
      <c r="U1253" t="s">
        <v>55</v>
      </c>
      <c r="W1253" s="1">
        <v>45205</v>
      </c>
      <c r="Z1253">
        <f>MONTH(S1253)</f>
        <v>10</v>
      </c>
      <c r="AA1253" s="7">
        <f>INT((S1253-DATE(YEAR(S1253-WEEKDAY(S1253-0)+4),1,4)+WEEKDAY(DATE(YEAR(S1253-WEEKDAY(S1253-0)+4),1,4))+6)/7)</f>
        <v>40</v>
      </c>
      <c r="AB1253" t="s">
        <v>3240</v>
      </c>
      <c r="AG1253" s="7">
        <v>2023</v>
      </c>
      <c r="AH1253" t="s">
        <v>482</v>
      </c>
      <c r="AK1253" t="s">
        <v>2577</v>
      </c>
      <c r="AL1253" s="3" t="s">
        <v>59</v>
      </c>
    </row>
    <row r="1254" spans="1:38" ht="30" customHeight="1">
      <c r="A1254" s="3" t="s">
        <v>44</v>
      </c>
      <c r="B1254" s="3" t="s">
        <v>45</v>
      </c>
      <c r="G1254" t="s">
        <v>3241</v>
      </c>
      <c r="H1254" s="4">
        <f>IF(DATEDIF(L1254,S1254,"m")&gt;12,DATEDIF(L1254,S1254,"y"),(DATEDIF(L1254,S1254,"m")/12))</f>
        <v>34</v>
      </c>
      <c r="I1254" s="7">
        <f>DATEDIF(L1254,S1254,"M")</f>
        <v>419</v>
      </c>
      <c r="J1254" s="7">
        <f>DATEDIF(L1254,S1254,"D")</f>
        <v>12764</v>
      </c>
      <c r="K1254" t="s">
        <v>64</v>
      </c>
      <c r="L1254" s="1">
        <v>32435</v>
      </c>
      <c r="M1254" s="17" t="s">
        <v>45</v>
      </c>
      <c r="N1254" t="s">
        <v>83</v>
      </c>
      <c r="O1254" t="s">
        <v>52</v>
      </c>
      <c r="P1254" t="s">
        <v>2513</v>
      </c>
      <c r="Q1254">
        <v>0</v>
      </c>
      <c r="R1254" s="1">
        <v>45204</v>
      </c>
      <c r="S1254" s="1">
        <v>45199</v>
      </c>
      <c r="T1254" s="3" t="s">
        <v>54</v>
      </c>
      <c r="U1254" t="s">
        <v>55</v>
      </c>
      <c r="W1254" s="1">
        <v>45205</v>
      </c>
      <c r="Z1254">
        <f>MONTH(S1254)</f>
        <v>9</v>
      </c>
      <c r="AA1254" s="7">
        <f>INT((S1254-DATE(YEAR(S1254-WEEKDAY(S1254-0)+4),1,4)+WEEKDAY(DATE(YEAR(S1254-WEEKDAY(S1254-0)+4),1,4))+6)/7)</f>
        <v>39</v>
      </c>
      <c r="AB1254" t="s">
        <v>3242</v>
      </c>
      <c r="AG1254" s="7">
        <v>2023</v>
      </c>
      <c r="AH1254" t="s">
        <v>482</v>
      </c>
      <c r="AK1254" t="s">
        <v>140</v>
      </c>
      <c r="AL1254" s="3" t="s">
        <v>59</v>
      </c>
    </row>
    <row r="1255" spans="1:38" ht="30" customHeight="1">
      <c r="A1255" s="3" t="s">
        <v>44</v>
      </c>
      <c r="B1255" s="3" t="s">
        <v>45</v>
      </c>
      <c r="G1255" t="s">
        <v>3253</v>
      </c>
      <c r="H1255" s="4">
        <f>IF(DATEDIF(L1255,S1255,"m")&gt;12,DATEDIF(L1255,S1255,"y"),(DATEDIF(L1255,S1255,"m")/12))</f>
        <v>7</v>
      </c>
      <c r="I1255" s="7">
        <f>DATEDIF(L1255,S1255,"M")</f>
        <v>84</v>
      </c>
      <c r="J1255" s="7">
        <f>DATEDIF(L1255,S1255,"D")</f>
        <v>2562</v>
      </c>
      <c r="K1255" t="s">
        <v>64</v>
      </c>
      <c r="L1255" s="1">
        <v>42638</v>
      </c>
      <c r="M1255" s="17" t="s">
        <v>45</v>
      </c>
      <c r="N1255" t="s">
        <v>83</v>
      </c>
      <c r="O1255" t="s">
        <v>52</v>
      </c>
      <c r="P1255" t="s">
        <v>2518</v>
      </c>
      <c r="Q1255">
        <v>0</v>
      </c>
      <c r="R1255" s="1">
        <v>45204</v>
      </c>
      <c r="S1255" s="1">
        <v>45200</v>
      </c>
      <c r="T1255" s="3" t="s">
        <v>54</v>
      </c>
      <c r="U1255" t="s">
        <v>55</v>
      </c>
      <c r="W1255" s="1">
        <v>45205</v>
      </c>
      <c r="Z1255">
        <f>MONTH(S1255)</f>
        <v>10</v>
      </c>
      <c r="AA1255" s="7">
        <f>INT((S1255-DATE(YEAR(S1255-WEEKDAY(S1255-0)+4),1,4)+WEEKDAY(DATE(YEAR(S1255-WEEKDAY(S1255-0)+4),1,4))+6)/7)</f>
        <v>40</v>
      </c>
      <c r="AB1255" t="s">
        <v>3254</v>
      </c>
      <c r="AG1255" s="7">
        <v>2023</v>
      </c>
      <c r="AH1255" t="s">
        <v>482</v>
      </c>
      <c r="AK1255" t="s">
        <v>2826</v>
      </c>
      <c r="AL1255" s="3" t="s">
        <v>59</v>
      </c>
    </row>
    <row r="1256" spans="1:38" ht="30" customHeight="1">
      <c r="A1256" s="3" t="s">
        <v>44</v>
      </c>
      <c r="B1256" s="3" t="s">
        <v>45</v>
      </c>
      <c r="G1256" t="s">
        <v>3255</v>
      </c>
      <c r="H1256" s="4">
        <f>IF(DATEDIF(L1256,S1256,"m")&gt;12,DATEDIF(L1256,S1256,"y"),(DATEDIF(L1256,S1256,"m")/12))</f>
        <v>75</v>
      </c>
      <c r="I1256" s="7">
        <f>DATEDIF(L1256,S1256,"M")</f>
        <v>900</v>
      </c>
      <c r="J1256" s="7">
        <f>DATEDIF(L1256,S1256,"D")</f>
        <v>27418</v>
      </c>
      <c r="K1256" t="s">
        <v>64</v>
      </c>
      <c r="L1256" s="1">
        <v>17782</v>
      </c>
      <c r="M1256" s="17" t="s">
        <v>45</v>
      </c>
      <c r="N1256" t="s">
        <v>83</v>
      </c>
      <c r="O1256" t="s">
        <v>52</v>
      </c>
      <c r="P1256" t="s">
        <v>2513</v>
      </c>
      <c r="Q1256">
        <v>0</v>
      </c>
      <c r="R1256" s="1">
        <v>45204</v>
      </c>
      <c r="S1256" s="1">
        <v>45200</v>
      </c>
      <c r="T1256" s="3" t="s">
        <v>54</v>
      </c>
      <c r="U1256" t="s">
        <v>55</v>
      </c>
      <c r="W1256" s="1">
        <v>45205</v>
      </c>
      <c r="Z1256">
        <f>MONTH(S1256)</f>
        <v>10</v>
      </c>
      <c r="AA1256" s="7">
        <f>INT((S1256-DATE(YEAR(S1256-WEEKDAY(S1256-0)+4),1,4)+WEEKDAY(DATE(YEAR(S1256-WEEKDAY(S1256-0)+4),1,4))+6)/7)</f>
        <v>40</v>
      </c>
      <c r="AB1256" t="s">
        <v>3256</v>
      </c>
      <c r="AG1256" s="7">
        <v>2023</v>
      </c>
      <c r="AH1256" t="s">
        <v>482</v>
      </c>
      <c r="AK1256" t="s">
        <v>2577</v>
      </c>
      <c r="AL1256" s="3" t="s">
        <v>59</v>
      </c>
    </row>
    <row r="1257" spans="1:38" ht="30" customHeight="1">
      <c r="A1257" s="3" t="s">
        <v>44</v>
      </c>
      <c r="B1257" s="3" t="s">
        <v>45</v>
      </c>
      <c r="G1257">
        <v>10760</v>
      </c>
      <c r="H1257" s="4">
        <f>IF(DATEDIF(L1257,S1257,"m")&gt;12,DATEDIF(L1257,S1257,"y"),(DATEDIF(L1257,S1257,"m")/12))</f>
        <v>15</v>
      </c>
      <c r="I1257" s="7">
        <f>DATEDIF(L1257,S1257,"M")</f>
        <v>190</v>
      </c>
      <c r="J1257" s="7">
        <f>DATEDIF(L1257,S1257,"D")</f>
        <v>5805</v>
      </c>
      <c r="K1257" t="s">
        <v>64</v>
      </c>
      <c r="L1257" s="1">
        <v>39400</v>
      </c>
      <c r="M1257" s="17" t="s">
        <v>45</v>
      </c>
      <c r="N1257" t="s">
        <v>65</v>
      </c>
      <c r="O1257" t="s">
        <v>52</v>
      </c>
      <c r="P1257" t="s">
        <v>2579</v>
      </c>
      <c r="Q1257">
        <v>1</v>
      </c>
      <c r="R1257" s="1">
        <v>45208</v>
      </c>
      <c r="S1257" s="1">
        <v>45205</v>
      </c>
      <c r="T1257" s="3" t="s">
        <v>54</v>
      </c>
      <c r="U1257" t="s">
        <v>55</v>
      </c>
      <c r="W1257" s="1">
        <v>45208</v>
      </c>
      <c r="Z1257">
        <f>MONTH(S1257)</f>
        <v>10</v>
      </c>
      <c r="AA1257" s="7">
        <f>INT((S1257-DATE(YEAR(S1257-WEEKDAY(S1257-0)+4),1,4)+WEEKDAY(DATE(YEAR(S1257-WEEKDAY(S1257-0)+4),1,4))+6)/7)</f>
        <v>40</v>
      </c>
      <c r="AB1257" t="s">
        <v>3170</v>
      </c>
      <c r="AG1257" s="7">
        <v>2023</v>
      </c>
      <c r="AH1257" t="s">
        <v>223</v>
      </c>
      <c r="AK1257" t="s">
        <v>2992</v>
      </c>
      <c r="AL1257" s="3" t="s">
        <v>59</v>
      </c>
    </row>
    <row r="1258" spans="1:38" ht="30" customHeight="1">
      <c r="A1258" s="3" t="s">
        <v>44</v>
      </c>
      <c r="B1258" s="3" t="s">
        <v>45</v>
      </c>
      <c r="G1258" t="s">
        <v>479</v>
      </c>
      <c r="H1258" s="4">
        <f>IF(DATEDIF(L1258,S1258,"m")&gt;12,DATEDIF(L1258,S1258,"y"),(DATEDIF(L1258,S1258,"m")/12))</f>
        <v>2</v>
      </c>
      <c r="I1258" s="7">
        <f>DATEDIF(L1258,S1258,"M")</f>
        <v>29</v>
      </c>
      <c r="J1258" s="7">
        <f>DATEDIF(L1258,S1258,"D")</f>
        <v>900</v>
      </c>
      <c r="K1258" t="s">
        <v>51</v>
      </c>
      <c r="L1258" s="1">
        <v>44304</v>
      </c>
      <c r="M1258" s="17" t="s">
        <v>45</v>
      </c>
      <c r="N1258" t="s">
        <v>83</v>
      </c>
      <c r="O1258" t="s">
        <v>52</v>
      </c>
      <c r="P1258" t="s">
        <v>480</v>
      </c>
      <c r="Q1258">
        <v>0</v>
      </c>
      <c r="R1258" s="1">
        <v>45208</v>
      </c>
      <c r="S1258" s="1">
        <v>45204</v>
      </c>
      <c r="T1258" s="3" t="s">
        <v>54</v>
      </c>
      <c r="U1258" t="s">
        <v>55</v>
      </c>
      <c r="W1258" s="1">
        <v>45209</v>
      </c>
      <c r="Z1258">
        <f>MONTH(S1258)</f>
        <v>10</v>
      </c>
      <c r="AA1258" s="7">
        <f>INT((S1258-DATE(YEAR(S1258-WEEKDAY(S1258-0)+4),1,4)+WEEKDAY(DATE(YEAR(S1258-WEEKDAY(S1258-0)+4),1,4))+6)/7)</f>
        <v>40</v>
      </c>
      <c r="AB1258" t="s">
        <v>481</v>
      </c>
      <c r="AG1258" s="7">
        <v>2023</v>
      </c>
      <c r="AH1258" t="s">
        <v>482</v>
      </c>
      <c r="AK1258" t="s">
        <v>140</v>
      </c>
      <c r="AL1258" s="3" t="s">
        <v>59</v>
      </c>
    </row>
    <row r="1259" spans="1:38" ht="30" customHeight="1">
      <c r="A1259" s="3" t="s">
        <v>44</v>
      </c>
      <c r="B1259" s="3" t="s">
        <v>45</v>
      </c>
      <c r="G1259" t="s">
        <v>3146</v>
      </c>
      <c r="H1259" s="4">
        <f>IF(DATEDIF(L1259,S1259,"m")&gt;12,DATEDIF(L1259,S1259,"y"),(DATEDIF(L1259,S1259,"m")/12))</f>
        <v>2</v>
      </c>
      <c r="I1259" s="7">
        <f>DATEDIF(L1259,S1259,"M")</f>
        <v>31</v>
      </c>
      <c r="J1259" s="7">
        <f>DATEDIF(L1259,S1259,"D")</f>
        <v>956</v>
      </c>
      <c r="K1259" t="s">
        <v>64</v>
      </c>
      <c r="L1259" s="1">
        <v>44248</v>
      </c>
      <c r="M1259" s="17" t="s">
        <v>45</v>
      </c>
      <c r="N1259" t="s">
        <v>83</v>
      </c>
      <c r="O1259" t="s">
        <v>52</v>
      </c>
      <c r="P1259" t="s">
        <v>2518</v>
      </c>
      <c r="Q1259">
        <v>0</v>
      </c>
      <c r="R1259" s="1">
        <v>45208</v>
      </c>
      <c r="S1259" s="1">
        <v>45204</v>
      </c>
      <c r="T1259" s="3" t="s">
        <v>54</v>
      </c>
      <c r="U1259" t="s">
        <v>55</v>
      </c>
      <c r="W1259" s="1">
        <v>45209</v>
      </c>
      <c r="Z1259">
        <f>MONTH(S1259)</f>
        <v>10</v>
      </c>
      <c r="AA1259" s="7">
        <f>INT((S1259-DATE(YEAR(S1259-WEEKDAY(S1259-0)+4),1,4)+WEEKDAY(DATE(YEAR(S1259-WEEKDAY(S1259-0)+4),1,4))+6)/7)</f>
        <v>40</v>
      </c>
      <c r="AB1259" t="s">
        <v>3147</v>
      </c>
      <c r="AG1259" s="7">
        <v>2023</v>
      </c>
      <c r="AH1259" t="s">
        <v>482</v>
      </c>
      <c r="AK1259" t="s">
        <v>2672</v>
      </c>
      <c r="AL1259" s="3" t="s">
        <v>59</v>
      </c>
    </row>
    <row r="1260" spans="1:38" ht="30" customHeight="1">
      <c r="A1260" s="3" t="s">
        <v>44</v>
      </c>
      <c r="B1260" s="3" t="s">
        <v>45</v>
      </c>
      <c r="G1260" t="s">
        <v>3148</v>
      </c>
      <c r="H1260" s="4">
        <f>IF(DATEDIF(L1260,S1260,"m")&gt;12,DATEDIF(L1260,S1260,"y"),(DATEDIF(L1260,S1260,"m")/12))</f>
        <v>47</v>
      </c>
      <c r="I1260" s="7">
        <f>DATEDIF(L1260,S1260,"M")</f>
        <v>571</v>
      </c>
      <c r="J1260" s="7">
        <f>DATEDIF(L1260,S1260,"D")</f>
        <v>17387</v>
      </c>
      <c r="K1260" t="s">
        <v>51</v>
      </c>
      <c r="L1260" s="1">
        <v>27816</v>
      </c>
      <c r="M1260" s="17" t="s">
        <v>45</v>
      </c>
      <c r="N1260" t="s">
        <v>83</v>
      </c>
      <c r="O1260" t="s">
        <v>52</v>
      </c>
      <c r="P1260" t="s">
        <v>2472</v>
      </c>
      <c r="Q1260">
        <v>0</v>
      </c>
      <c r="R1260" s="1">
        <v>45208</v>
      </c>
      <c r="S1260" s="1">
        <v>45203</v>
      </c>
      <c r="T1260" s="3" t="s">
        <v>54</v>
      </c>
      <c r="U1260" t="s">
        <v>55</v>
      </c>
      <c r="W1260" s="1">
        <v>45209</v>
      </c>
      <c r="Z1260">
        <f>MONTH(S1260)</f>
        <v>10</v>
      </c>
      <c r="AA1260" s="7">
        <f>INT((S1260-DATE(YEAR(S1260-WEEKDAY(S1260-0)+4),1,4)+WEEKDAY(DATE(YEAR(S1260-WEEKDAY(S1260-0)+4),1,4))+6)/7)</f>
        <v>40</v>
      </c>
      <c r="AB1260" t="s">
        <v>3149</v>
      </c>
      <c r="AG1260" s="7">
        <v>2023</v>
      </c>
      <c r="AH1260" t="s">
        <v>482</v>
      </c>
      <c r="AK1260" t="s">
        <v>2519</v>
      </c>
      <c r="AL1260" s="3" t="s">
        <v>59</v>
      </c>
    </row>
    <row r="1261" spans="1:38" ht="30" customHeight="1">
      <c r="A1261" s="3" t="s">
        <v>44</v>
      </c>
      <c r="B1261" s="3" t="s">
        <v>45</v>
      </c>
      <c r="G1261" t="s">
        <v>3152</v>
      </c>
      <c r="H1261" s="4">
        <f>IF(DATEDIF(L1261,S1261,"m")&gt;12,DATEDIF(L1261,S1261,"y"),(DATEDIF(L1261,S1261,"m")/12))</f>
        <v>4</v>
      </c>
      <c r="I1261" s="7">
        <f>DATEDIF(L1261,S1261,"M")</f>
        <v>59</v>
      </c>
      <c r="J1261" s="7">
        <f>DATEDIF(L1261,S1261,"D")</f>
        <v>1806</v>
      </c>
      <c r="K1261" t="s">
        <v>51</v>
      </c>
      <c r="L1261" s="1">
        <v>43399</v>
      </c>
      <c r="M1261" s="17" t="s">
        <v>45</v>
      </c>
      <c r="N1261" t="s">
        <v>83</v>
      </c>
      <c r="O1261" t="s">
        <v>52</v>
      </c>
      <c r="P1261" t="s">
        <v>2472</v>
      </c>
      <c r="Q1261">
        <v>0</v>
      </c>
      <c r="R1261" s="1">
        <v>45208</v>
      </c>
      <c r="S1261" s="1">
        <v>45205</v>
      </c>
      <c r="T1261" s="3" t="s">
        <v>54</v>
      </c>
      <c r="U1261" t="s">
        <v>55</v>
      </c>
      <c r="W1261" s="1">
        <v>45209</v>
      </c>
      <c r="Z1261">
        <f>MONTH(S1261)</f>
        <v>10</v>
      </c>
      <c r="AA1261" s="7">
        <f>INT((S1261-DATE(YEAR(S1261-WEEKDAY(S1261-0)+4),1,4)+WEEKDAY(DATE(YEAR(S1261-WEEKDAY(S1261-0)+4),1,4))+6)/7)</f>
        <v>40</v>
      </c>
      <c r="AB1261" t="s">
        <v>3153</v>
      </c>
      <c r="AG1261" s="7">
        <v>2023</v>
      </c>
      <c r="AH1261" t="s">
        <v>482</v>
      </c>
      <c r="AK1261" t="s">
        <v>2519</v>
      </c>
      <c r="AL1261" s="3" t="s">
        <v>59</v>
      </c>
    </row>
    <row r="1262" spans="1:38" ht="30" customHeight="1">
      <c r="A1262" s="3" t="s">
        <v>44</v>
      </c>
      <c r="B1262" s="3" t="s">
        <v>45</v>
      </c>
      <c r="G1262" t="s">
        <v>3154</v>
      </c>
      <c r="H1262" s="4">
        <f>IF(DATEDIF(L1262,S1262,"m")&gt;12,DATEDIF(L1262,S1262,"y"),(DATEDIF(L1262,S1262,"m")/12))</f>
        <v>3</v>
      </c>
      <c r="I1262" s="7">
        <f>DATEDIF(L1262,S1262,"M")</f>
        <v>43</v>
      </c>
      <c r="J1262" s="7">
        <f>DATEDIF(L1262,S1262,"D")</f>
        <v>1316</v>
      </c>
      <c r="K1262" t="s">
        <v>64</v>
      </c>
      <c r="L1262" s="1">
        <v>43888</v>
      </c>
      <c r="M1262" s="17" t="s">
        <v>45</v>
      </c>
      <c r="N1262" t="s">
        <v>83</v>
      </c>
      <c r="O1262" t="s">
        <v>52</v>
      </c>
      <c r="P1262" t="s">
        <v>480</v>
      </c>
      <c r="Q1262">
        <v>0</v>
      </c>
      <c r="R1262" s="1">
        <v>45208</v>
      </c>
      <c r="S1262" s="1">
        <v>45204</v>
      </c>
      <c r="T1262" s="3" t="s">
        <v>54</v>
      </c>
      <c r="U1262" t="s">
        <v>55</v>
      </c>
      <c r="W1262" s="1">
        <v>45209</v>
      </c>
      <c r="Z1262">
        <f>MONTH(S1262)</f>
        <v>10</v>
      </c>
      <c r="AA1262" s="7">
        <f>INT((S1262-DATE(YEAR(S1262-WEEKDAY(S1262-0)+4),1,4)+WEEKDAY(DATE(YEAR(S1262-WEEKDAY(S1262-0)+4),1,4))+6)/7)</f>
        <v>40</v>
      </c>
      <c r="AB1262" t="s">
        <v>3155</v>
      </c>
      <c r="AG1262" s="7">
        <v>2023</v>
      </c>
      <c r="AH1262" t="s">
        <v>482</v>
      </c>
      <c r="AK1262" t="s">
        <v>140</v>
      </c>
      <c r="AL1262" s="3" t="s">
        <v>59</v>
      </c>
    </row>
    <row r="1263" spans="1:38" ht="30" customHeight="1">
      <c r="A1263" s="3" t="s">
        <v>44</v>
      </c>
      <c r="B1263" s="3" t="s">
        <v>45</v>
      </c>
      <c r="G1263" t="s">
        <v>3156</v>
      </c>
      <c r="H1263" s="5">
        <f>IF(DATEDIF(L1263,S1263,"m")&gt;12,DATEDIF(L1263,S1263,"y"),(DATEDIF(L1263,S1263,"m")/12))</f>
        <v>0.58333333333333337</v>
      </c>
      <c r="I1263" s="7">
        <f>DATEDIF(L1263,S1263,"M")</f>
        <v>7</v>
      </c>
      <c r="J1263" s="7">
        <f>DATEDIF(L1263,S1263,"D")</f>
        <v>220</v>
      </c>
      <c r="K1263" t="s">
        <v>64</v>
      </c>
      <c r="L1263" s="1">
        <v>44967</v>
      </c>
      <c r="M1263" s="17" t="s">
        <v>45</v>
      </c>
      <c r="N1263" t="s">
        <v>83</v>
      </c>
      <c r="O1263" t="s">
        <v>52</v>
      </c>
      <c r="P1263" t="s">
        <v>2527</v>
      </c>
      <c r="Q1263">
        <v>0</v>
      </c>
      <c r="R1263" s="1">
        <v>45208</v>
      </c>
      <c r="S1263" s="1">
        <v>45187</v>
      </c>
      <c r="T1263" s="3" t="s">
        <v>54</v>
      </c>
      <c r="U1263" t="s">
        <v>55</v>
      </c>
      <c r="W1263" s="1">
        <v>45209</v>
      </c>
      <c r="Z1263">
        <f>MONTH(S1263)</f>
        <v>9</v>
      </c>
      <c r="AA1263" s="7">
        <f>INT((S1263-DATE(YEAR(S1263-WEEKDAY(S1263-0)+4),1,4)+WEEKDAY(DATE(YEAR(S1263-WEEKDAY(S1263-0)+4),1,4))+6)/7)</f>
        <v>38</v>
      </c>
      <c r="AB1263" t="s">
        <v>3157</v>
      </c>
      <c r="AG1263" s="7">
        <v>2023</v>
      </c>
      <c r="AH1263" t="s">
        <v>482</v>
      </c>
      <c r="AK1263" t="s">
        <v>140</v>
      </c>
      <c r="AL1263" s="3" t="s">
        <v>59</v>
      </c>
    </row>
    <row r="1264" spans="1:38" ht="30" customHeight="1">
      <c r="A1264" s="3" t="s">
        <v>44</v>
      </c>
      <c r="B1264" s="3" t="s">
        <v>45</v>
      </c>
      <c r="G1264" t="s">
        <v>3160</v>
      </c>
      <c r="H1264" s="4">
        <f>IF(DATEDIF(L1264,S1264,"m")&gt;12,DATEDIF(L1264,S1264,"y"),(DATEDIF(L1264,S1264,"m")/12))</f>
        <v>9</v>
      </c>
      <c r="I1264" s="7">
        <f>DATEDIF(L1264,S1264,"M")</f>
        <v>116</v>
      </c>
      <c r="J1264" s="7">
        <f>DATEDIF(L1264,S1264,"D")</f>
        <v>3555</v>
      </c>
      <c r="K1264" t="s">
        <v>51</v>
      </c>
      <c r="L1264" s="1">
        <v>41649</v>
      </c>
      <c r="M1264" s="17" t="s">
        <v>45</v>
      </c>
      <c r="N1264" t="s">
        <v>83</v>
      </c>
      <c r="O1264" t="s">
        <v>52</v>
      </c>
      <c r="P1264" t="s">
        <v>2527</v>
      </c>
      <c r="Q1264">
        <v>0</v>
      </c>
      <c r="R1264" s="1">
        <v>45208</v>
      </c>
      <c r="S1264" s="1">
        <v>45204</v>
      </c>
      <c r="T1264" s="3" t="s">
        <v>54</v>
      </c>
      <c r="U1264" t="s">
        <v>55</v>
      </c>
      <c r="W1264" s="1">
        <v>45209</v>
      </c>
      <c r="Z1264">
        <f>MONTH(S1264)</f>
        <v>10</v>
      </c>
      <c r="AA1264" s="7">
        <f>INT((S1264-DATE(YEAR(S1264-WEEKDAY(S1264-0)+4),1,4)+WEEKDAY(DATE(YEAR(S1264-WEEKDAY(S1264-0)+4),1,4))+6)/7)</f>
        <v>40</v>
      </c>
      <c r="AB1264" t="s">
        <v>3161</v>
      </c>
      <c r="AG1264" s="7">
        <v>2023</v>
      </c>
      <c r="AH1264" t="s">
        <v>482</v>
      </c>
      <c r="AK1264" t="s">
        <v>2577</v>
      </c>
      <c r="AL1264" s="3" t="s">
        <v>59</v>
      </c>
    </row>
    <row r="1265" spans="1:38" ht="30" customHeight="1">
      <c r="A1265" s="3" t="s">
        <v>44</v>
      </c>
      <c r="B1265" s="3" t="s">
        <v>45</v>
      </c>
      <c r="G1265" t="s">
        <v>3162</v>
      </c>
      <c r="H1265" s="4">
        <f>IF(DATEDIF(L1265,S1265,"m")&gt;12,DATEDIF(L1265,S1265,"y"),(DATEDIF(L1265,S1265,"m")/12))</f>
        <v>12</v>
      </c>
      <c r="I1265" s="7">
        <f>DATEDIF(L1265,S1265,"M")</f>
        <v>146</v>
      </c>
      <c r="J1265" s="7">
        <f>DATEDIF(L1265,S1265,"D")</f>
        <v>4461</v>
      </c>
      <c r="K1265" t="s">
        <v>64</v>
      </c>
      <c r="L1265" s="1">
        <v>40744</v>
      </c>
      <c r="M1265" s="17" t="s">
        <v>45</v>
      </c>
      <c r="N1265" t="s">
        <v>83</v>
      </c>
      <c r="O1265" t="s">
        <v>52</v>
      </c>
      <c r="P1265" t="s">
        <v>2527</v>
      </c>
      <c r="Q1265">
        <v>0</v>
      </c>
      <c r="R1265" s="1">
        <v>45208</v>
      </c>
      <c r="S1265" s="1">
        <v>45205</v>
      </c>
      <c r="T1265" s="3" t="s">
        <v>54</v>
      </c>
      <c r="U1265" t="s">
        <v>55</v>
      </c>
      <c r="W1265" s="1">
        <v>45209</v>
      </c>
      <c r="Z1265">
        <f>MONTH(S1265)</f>
        <v>10</v>
      </c>
      <c r="AA1265" s="7">
        <f>INT((S1265-DATE(YEAR(S1265-WEEKDAY(S1265-0)+4),1,4)+WEEKDAY(DATE(YEAR(S1265-WEEKDAY(S1265-0)+4),1,4))+6)/7)</f>
        <v>40</v>
      </c>
      <c r="AB1265" t="s">
        <v>3163</v>
      </c>
      <c r="AG1265" s="7">
        <v>2023</v>
      </c>
      <c r="AH1265" t="s">
        <v>482</v>
      </c>
      <c r="AK1265" t="s">
        <v>2577</v>
      </c>
      <c r="AL1265" s="3" t="s">
        <v>59</v>
      </c>
    </row>
    <row r="1266" spans="1:38" ht="30" customHeight="1">
      <c r="A1266" s="3" t="s">
        <v>44</v>
      </c>
      <c r="B1266" s="3" t="s">
        <v>45</v>
      </c>
      <c r="G1266" t="s">
        <v>3164</v>
      </c>
      <c r="H1266" s="4">
        <f>IF(DATEDIF(L1266,S1266,"m")&gt;12,DATEDIF(L1266,S1266,"y"),(DATEDIF(L1266,S1266,"m")/12))</f>
        <v>4</v>
      </c>
      <c r="I1266" s="7">
        <f>DATEDIF(L1266,S1266,"M")</f>
        <v>55</v>
      </c>
      <c r="J1266" s="7">
        <f>DATEDIF(L1266,S1266,"D")</f>
        <v>1677</v>
      </c>
      <c r="K1266" t="s">
        <v>51</v>
      </c>
      <c r="L1266" s="1">
        <v>43529</v>
      </c>
      <c r="M1266" s="17" t="s">
        <v>45</v>
      </c>
      <c r="N1266" t="s">
        <v>83</v>
      </c>
      <c r="O1266" t="s">
        <v>52</v>
      </c>
      <c r="P1266" t="s">
        <v>3165</v>
      </c>
      <c r="Q1266">
        <v>0</v>
      </c>
      <c r="R1266" s="1">
        <v>45208</v>
      </c>
      <c r="S1266" s="1">
        <v>45206</v>
      </c>
      <c r="T1266" s="3" t="s">
        <v>54</v>
      </c>
      <c r="U1266" t="s">
        <v>55</v>
      </c>
      <c r="W1266" s="1">
        <v>45209</v>
      </c>
      <c r="Z1266">
        <f>MONTH(S1266)</f>
        <v>10</v>
      </c>
      <c r="AA1266" s="7">
        <f>INT((S1266-DATE(YEAR(S1266-WEEKDAY(S1266-0)+4),1,4)+WEEKDAY(DATE(YEAR(S1266-WEEKDAY(S1266-0)+4),1,4))+6)/7)</f>
        <v>40</v>
      </c>
      <c r="AB1266" t="s">
        <v>3166</v>
      </c>
      <c r="AG1266" s="7">
        <v>2023</v>
      </c>
      <c r="AH1266" t="s">
        <v>3167</v>
      </c>
      <c r="AK1266" t="s">
        <v>140</v>
      </c>
      <c r="AL1266" s="3" t="s">
        <v>59</v>
      </c>
    </row>
    <row r="1267" spans="1:38" ht="30" customHeight="1">
      <c r="A1267" s="3" t="s">
        <v>44</v>
      </c>
      <c r="B1267" s="3" t="s">
        <v>45</v>
      </c>
      <c r="G1267" t="s">
        <v>3171</v>
      </c>
      <c r="H1267" s="5">
        <f>IF(DATEDIF(L1267,S1267,"m")&gt;12,DATEDIF(L1267,S1267,"y"),(DATEDIF(L1267,S1267,"m")/12))</f>
        <v>0.75</v>
      </c>
      <c r="I1267" s="7">
        <f>DATEDIF(L1267,S1267,"M")</f>
        <v>9</v>
      </c>
      <c r="J1267" s="7">
        <f>DATEDIF(L1267,S1267,"D")</f>
        <v>284</v>
      </c>
      <c r="K1267" t="s">
        <v>51</v>
      </c>
      <c r="L1267" s="1">
        <v>44917</v>
      </c>
      <c r="M1267" s="17" t="s">
        <v>45</v>
      </c>
      <c r="N1267" t="s">
        <v>83</v>
      </c>
      <c r="O1267" t="s">
        <v>52</v>
      </c>
      <c r="P1267" t="s">
        <v>2472</v>
      </c>
      <c r="Q1267">
        <v>0</v>
      </c>
      <c r="R1267" s="1">
        <v>45208</v>
      </c>
      <c r="S1267" s="1">
        <v>45201</v>
      </c>
      <c r="T1267" s="3" t="s">
        <v>54</v>
      </c>
      <c r="U1267" t="s">
        <v>55</v>
      </c>
      <c r="W1267" s="1">
        <v>45209</v>
      </c>
      <c r="Z1267">
        <f>MONTH(S1267)</f>
        <v>10</v>
      </c>
      <c r="AA1267" s="7">
        <f>INT((S1267-DATE(YEAR(S1267-WEEKDAY(S1267-0)+4),1,4)+WEEKDAY(DATE(YEAR(S1267-WEEKDAY(S1267-0)+4),1,4))+6)/7)</f>
        <v>40</v>
      </c>
      <c r="AB1267" t="s">
        <v>3172</v>
      </c>
      <c r="AG1267" s="7">
        <v>2023</v>
      </c>
      <c r="AH1267" t="s">
        <v>482</v>
      </c>
      <c r="AK1267" t="s">
        <v>3173</v>
      </c>
      <c r="AL1267" s="3" t="s">
        <v>59</v>
      </c>
    </row>
    <row r="1268" spans="1:38" ht="30" customHeight="1">
      <c r="A1268" s="3" t="s">
        <v>44</v>
      </c>
      <c r="B1268" s="3" t="s">
        <v>45</v>
      </c>
      <c r="G1268" t="s">
        <v>3180</v>
      </c>
      <c r="H1268" s="4">
        <f>IF(DATEDIF(L1268,S1268,"m")&gt;12,DATEDIF(L1268,S1268,"y"),(DATEDIF(L1268,S1268,"m")/12))</f>
        <v>2</v>
      </c>
      <c r="I1268" s="7">
        <f>DATEDIF(L1268,S1268,"M")</f>
        <v>30</v>
      </c>
      <c r="J1268" s="7">
        <f>DATEDIF(L1268,S1268,"D")</f>
        <v>926</v>
      </c>
      <c r="K1268" t="s">
        <v>64</v>
      </c>
      <c r="L1268" s="1">
        <v>44274</v>
      </c>
      <c r="M1268" s="17" t="s">
        <v>45</v>
      </c>
      <c r="N1268" t="s">
        <v>83</v>
      </c>
      <c r="O1268" t="s">
        <v>52</v>
      </c>
      <c r="P1268" t="s">
        <v>2521</v>
      </c>
      <c r="Q1268">
        <v>0</v>
      </c>
      <c r="R1268" s="1">
        <v>45208</v>
      </c>
      <c r="S1268" s="1">
        <v>45200</v>
      </c>
      <c r="T1268" s="3" t="s">
        <v>54</v>
      </c>
      <c r="U1268" t="s">
        <v>55</v>
      </c>
      <c r="W1268" s="1">
        <v>45209</v>
      </c>
      <c r="Z1268">
        <f>MONTH(S1268)</f>
        <v>10</v>
      </c>
      <c r="AA1268" s="7">
        <f>INT((S1268-DATE(YEAR(S1268-WEEKDAY(S1268-0)+4),1,4)+WEEKDAY(DATE(YEAR(S1268-WEEKDAY(S1268-0)+4),1,4))+6)/7)</f>
        <v>40</v>
      </c>
      <c r="AB1268" t="s">
        <v>3181</v>
      </c>
      <c r="AG1268" s="7">
        <v>2023</v>
      </c>
      <c r="AH1268" t="s">
        <v>482</v>
      </c>
      <c r="AK1268" t="s">
        <v>2556</v>
      </c>
      <c r="AL1268" s="3" t="s">
        <v>59</v>
      </c>
    </row>
    <row r="1269" spans="1:38" ht="30" customHeight="1">
      <c r="A1269" s="3" t="s">
        <v>44</v>
      </c>
      <c r="B1269" s="3" t="s">
        <v>45</v>
      </c>
      <c r="G1269" t="s">
        <v>3182</v>
      </c>
      <c r="H1269" s="4">
        <f>IF(DATEDIF(L1269,S1269,"m")&gt;12,DATEDIF(L1269,S1269,"y"),(DATEDIF(L1269,S1269,"m")/12))</f>
        <v>5</v>
      </c>
      <c r="I1269" s="7">
        <f>DATEDIF(L1269,S1269,"M")</f>
        <v>62</v>
      </c>
      <c r="J1269" s="7">
        <f>DATEDIF(L1269,S1269,"D")</f>
        <v>1904</v>
      </c>
      <c r="K1269" t="s">
        <v>64</v>
      </c>
      <c r="L1269" s="1">
        <v>43302</v>
      </c>
      <c r="M1269" s="17" t="s">
        <v>45</v>
      </c>
      <c r="N1269" t="s">
        <v>83</v>
      </c>
      <c r="O1269" t="s">
        <v>52</v>
      </c>
      <c r="P1269" t="s">
        <v>2521</v>
      </c>
      <c r="Q1269">
        <v>0</v>
      </c>
      <c r="R1269" s="1">
        <v>45208</v>
      </c>
      <c r="S1269" s="1">
        <v>45206</v>
      </c>
      <c r="T1269" s="3" t="s">
        <v>54</v>
      </c>
      <c r="U1269" t="s">
        <v>55</v>
      </c>
      <c r="W1269" s="1">
        <v>45209</v>
      </c>
      <c r="Z1269">
        <f>MONTH(S1269)</f>
        <v>10</v>
      </c>
      <c r="AA1269" s="7">
        <f>INT((S1269-DATE(YEAR(S1269-WEEKDAY(S1269-0)+4),1,4)+WEEKDAY(DATE(YEAR(S1269-WEEKDAY(S1269-0)+4),1,4))+6)/7)</f>
        <v>40</v>
      </c>
      <c r="AB1269" t="s">
        <v>3183</v>
      </c>
      <c r="AG1269" s="7">
        <v>2023</v>
      </c>
      <c r="AH1269" t="s">
        <v>482</v>
      </c>
      <c r="AK1269" t="s">
        <v>2466</v>
      </c>
      <c r="AL1269" s="3" t="s">
        <v>59</v>
      </c>
    </row>
    <row r="1270" spans="1:38" ht="30" customHeight="1">
      <c r="A1270" s="3" t="s">
        <v>44</v>
      </c>
      <c r="B1270" s="3" t="s">
        <v>45</v>
      </c>
      <c r="G1270" t="s">
        <v>3184</v>
      </c>
      <c r="H1270" s="4">
        <f>IF(DATEDIF(L1270,S1270,"m")&gt;12,DATEDIF(L1270,S1270,"y"),(DATEDIF(L1270,S1270,"m")/12))</f>
        <v>3</v>
      </c>
      <c r="I1270" s="7">
        <f>DATEDIF(L1270,S1270,"M")</f>
        <v>46</v>
      </c>
      <c r="J1270" s="7">
        <f>DATEDIF(L1270,S1270,"D")</f>
        <v>1400</v>
      </c>
      <c r="K1270" t="s">
        <v>51</v>
      </c>
      <c r="L1270" s="1">
        <v>43806</v>
      </c>
      <c r="M1270" s="17" t="s">
        <v>45</v>
      </c>
      <c r="N1270" t="s">
        <v>83</v>
      </c>
      <c r="O1270" t="s">
        <v>52</v>
      </c>
      <c r="P1270" t="s">
        <v>2472</v>
      </c>
      <c r="Q1270">
        <v>0</v>
      </c>
      <c r="R1270" s="1">
        <v>45208</v>
      </c>
      <c r="S1270" s="1">
        <v>45206</v>
      </c>
      <c r="T1270" s="3" t="s">
        <v>54</v>
      </c>
      <c r="U1270" t="s">
        <v>55</v>
      </c>
      <c r="W1270" s="1">
        <v>45209</v>
      </c>
      <c r="Z1270">
        <f>MONTH(S1270)</f>
        <v>10</v>
      </c>
      <c r="AA1270" s="7">
        <f>INT((S1270-DATE(YEAR(S1270-WEEKDAY(S1270-0)+4),1,4)+WEEKDAY(DATE(YEAR(S1270-WEEKDAY(S1270-0)+4),1,4))+6)/7)</f>
        <v>40</v>
      </c>
      <c r="AB1270" t="s">
        <v>3185</v>
      </c>
      <c r="AG1270" s="7">
        <v>2023</v>
      </c>
      <c r="AH1270" t="s">
        <v>482</v>
      </c>
      <c r="AK1270" t="s">
        <v>2638</v>
      </c>
      <c r="AL1270" s="3" t="s">
        <v>59</v>
      </c>
    </row>
    <row r="1271" spans="1:38" ht="30" customHeight="1">
      <c r="A1271" s="3" t="s">
        <v>44</v>
      </c>
      <c r="B1271" s="3" t="s">
        <v>45</v>
      </c>
      <c r="G1271" t="s">
        <v>3189</v>
      </c>
      <c r="H1271" s="5">
        <f>IF(DATEDIF(L1271,S1271,"m")&gt;12,DATEDIF(L1271,S1271,"y"),(DATEDIF(L1271,S1271,"m")/12))</f>
        <v>0.25</v>
      </c>
      <c r="I1271" s="7">
        <f>DATEDIF(L1271,S1271,"M")</f>
        <v>3</v>
      </c>
      <c r="J1271" s="7">
        <f>DATEDIF(L1271,S1271,"D")</f>
        <v>101</v>
      </c>
      <c r="K1271" t="s">
        <v>64</v>
      </c>
      <c r="L1271" s="1">
        <v>45105</v>
      </c>
      <c r="M1271" s="17" t="s">
        <v>45</v>
      </c>
      <c r="N1271" t="s">
        <v>83</v>
      </c>
      <c r="O1271" t="s">
        <v>52</v>
      </c>
      <c r="P1271" t="s">
        <v>2527</v>
      </c>
      <c r="Q1271">
        <v>0</v>
      </c>
      <c r="R1271" s="1">
        <v>45208</v>
      </c>
      <c r="S1271" s="1">
        <v>45206</v>
      </c>
      <c r="T1271" s="3" t="s">
        <v>54</v>
      </c>
      <c r="U1271" t="s">
        <v>55</v>
      </c>
      <c r="W1271" s="1">
        <v>45209</v>
      </c>
      <c r="Z1271">
        <f>MONTH(S1271)</f>
        <v>10</v>
      </c>
      <c r="AA1271" s="7">
        <f>INT((S1271-DATE(YEAR(S1271-WEEKDAY(S1271-0)+4),1,4)+WEEKDAY(DATE(YEAR(S1271-WEEKDAY(S1271-0)+4),1,4))+6)/7)</f>
        <v>40</v>
      </c>
      <c r="AB1271" t="s">
        <v>3190</v>
      </c>
      <c r="AG1271" s="7">
        <v>2023</v>
      </c>
      <c r="AH1271" t="s">
        <v>482</v>
      </c>
      <c r="AK1271" t="s">
        <v>140</v>
      </c>
      <c r="AL1271" s="3" t="s">
        <v>59</v>
      </c>
    </row>
    <row r="1272" spans="1:38" ht="30" customHeight="1">
      <c r="A1272" s="3" t="s">
        <v>44</v>
      </c>
      <c r="B1272" s="3" t="s">
        <v>45</v>
      </c>
      <c r="G1272" t="s">
        <v>3191</v>
      </c>
      <c r="H1272" s="4">
        <f>IF(DATEDIF(L1272,S1272,"m")&gt;12,DATEDIF(L1272,S1272,"y"),(DATEDIF(L1272,S1272,"m")/12))</f>
        <v>47</v>
      </c>
      <c r="I1272" s="7">
        <f>DATEDIF(L1272,S1272,"M")</f>
        <v>566</v>
      </c>
      <c r="J1272" s="7">
        <f>DATEDIF(L1272,S1272,"D")</f>
        <v>17238</v>
      </c>
      <c r="K1272" t="s">
        <v>51</v>
      </c>
      <c r="L1272" s="1">
        <v>27968</v>
      </c>
      <c r="M1272" s="17" t="s">
        <v>45</v>
      </c>
      <c r="N1272" t="s">
        <v>83</v>
      </c>
      <c r="O1272" t="s">
        <v>52</v>
      </c>
      <c r="P1272" t="s">
        <v>2518</v>
      </c>
      <c r="Q1272">
        <v>0</v>
      </c>
      <c r="R1272" s="1">
        <v>45208</v>
      </c>
      <c r="S1272" s="1">
        <v>45206</v>
      </c>
      <c r="T1272" s="3" t="s">
        <v>54</v>
      </c>
      <c r="U1272" t="s">
        <v>55</v>
      </c>
      <c r="W1272" s="1">
        <v>45209</v>
      </c>
      <c r="Z1272">
        <f>MONTH(S1272)</f>
        <v>10</v>
      </c>
      <c r="AA1272" s="7">
        <f>INT((S1272-DATE(YEAR(S1272-WEEKDAY(S1272-0)+4),1,4)+WEEKDAY(DATE(YEAR(S1272-WEEKDAY(S1272-0)+4),1,4))+6)/7)</f>
        <v>40</v>
      </c>
      <c r="AB1272" t="s">
        <v>3192</v>
      </c>
      <c r="AG1272" s="7">
        <v>2023</v>
      </c>
      <c r="AH1272" t="s">
        <v>482</v>
      </c>
      <c r="AK1272" t="s">
        <v>2826</v>
      </c>
      <c r="AL1272" s="3" t="s">
        <v>59</v>
      </c>
    </row>
    <row r="1273" spans="1:38" ht="30" customHeight="1">
      <c r="A1273" s="3" t="s">
        <v>44</v>
      </c>
      <c r="B1273" s="3" t="s">
        <v>45</v>
      </c>
      <c r="G1273" t="s">
        <v>3193</v>
      </c>
      <c r="H1273" s="4">
        <f>IF(DATEDIF(L1273,S1273,"m")&gt;12,DATEDIF(L1273,S1273,"y"),(DATEDIF(L1273,S1273,"m")/12))</f>
        <v>3</v>
      </c>
      <c r="I1273" s="7">
        <f>DATEDIF(L1273,S1273,"M")</f>
        <v>46</v>
      </c>
      <c r="J1273" s="7">
        <f>DATEDIF(L1273,S1273,"D")</f>
        <v>1417</v>
      </c>
      <c r="K1273" t="s">
        <v>64</v>
      </c>
      <c r="L1273" s="1">
        <v>43785</v>
      </c>
      <c r="M1273" s="17" t="s">
        <v>45</v>
      </c>
      <c r="N1273" t="s">
        <v>83</v>
      </c>
      <c r="O1273" t="s">
        <v>52</v>
      </c>
      <c r="P1273" t="s">
        <v>2527</v>
      </c>
      <c r="Q1273">
        <v>0</v>
      </c>
      <c r="R1273" s="1">
        <v>45208</v>
      </c>
      <c r="S1273" s="1">
        <v>45202</v>
      </c>
      <c r="T1273" s="3" t="s">
        <v>54</v>
      </c>
      <c r="U1273" t="s">
        <v>55</v>
      </c>
      <c r="W1273" s="1">
        <v>45209</v>
      </c>
      <c r="Z1273">
        <f>MONTH(S1273)</f>
        <v>10</v>
      </c>
      <c r="AA1273" s="7">
        <f>INT((S1273-DATE(YEAR(S1273-WEEKDAY(S1273-0)+4),1,4)+WEEKDAY(DATE(YEAR(S1273-WEEKDAY(S1273-0)+4),1,4))+6)/7)</f>
        <v>40</v>
      </c>
      <c r="AB1273" t="s">
        <v>3194</v>
      </c>
      <c r="AG1273" s="7">
        <v>2023</v>
      </c>
      <c r="AH1273" t="s">
        <v>482</v>
      </c>
      <c r="AK1273" t="s">
        <v>140</v>
      </c>
      <c r="AL1273" s="3" t="s">
        <v>59</v>
      </c>
    </row>
    <row r="1274" spans="1:38" ht="30" customHeight="1">
      <c r="A1274" s="3" t="s">
        <v>44</v>
      </c>
      <c r="B1274" s="3" t="s">
        <v>45</v>
      </c>
      <c r="G1274" t="s">
        <v>3195</v>
      </c>
      <c r="H1274" s="4">
        <f>IF(DATEDIF(L1274,S1274,"m")&gt;12,DATEDIF(L1274,S1274,"y"),(DATEDIF(L1274,S1274,"m")/12))</f>
        <v>47</v>
      </c>
      <c r="I1274" s="7">
        <f>DATEDIF(L1274,S1274,"M")</f>
        <v>572</v>
      </c>
      <c r="J1274" s="7">
        <f>DATEDIF(L1274,S1274,"D")</f>
        <v>17411</v>
      </c>
      <c r="K1274" t="s">
        <v>64</v>
      </c>
      <c r="L1274" s="1">
        <v>27795</v>
      </c>
      <c r="M1274" s="17" t="s">
        <v>45</v>
      </c>
      <c r="N1274" t="s">
        <v>83</v>
      </c>
      <c r="O1274" t="s">
        <v>52</v>
      </c>
      <c r="P1274" t="s">
        <v>2620</v>
      </c>
      <c r="Q1274">
        <v>0</v>
      </c>
      <c r="R1274" s="1">
        <v>45208</v>
      </c>
      <c r="S1274" s="1">
        <v>45206</v>
      </c>
      <c r="T1274" s="3" t="s">
        <v>54</v>
      </c>
      <c r="U1274" t="s">
        <v>55</v>
      </c>
      <c r="W1274" s="1">
        <v>45209</v>
      </c>
      <c r="Z1274">
        <f>MONTH(S1274)</f>
        <v>10</v>
      </c>
      <c r="AA1274" s="7">
        <f>INT((S1274-DATE(YEAR(S1274-WEEKDAY(S1274-0)+4),1,4)+WEEKDAY(DATE(YEAR(S1274-WEEKDAY(S1274-0)+4),1,4))+6)/7)</f>
        <v>40</v>
      </c>
      <c r="AB1274" t="s">
        <v>3196</v>
      </c>
      <c r="AG1274" s="7">
        <v>2023</v>
      </c>
      <c r="AH1274" t="s">
        <v>482</v>
      </c>
      <c r="AK1274" t="s">
        <v>2519</v>
      </c>
      <c r="AL1274" s="3" t="s">
        <v>59</v>
      </c>
    </row>
    <row r="1275" spans="1:38" ht="30" customHeight="1">
      <c r="A1275" s="3" t="s">
        <v>44</v>
      </c>
      <c r="B1275" s="3" t="s">
        <v>45</v>
      </c>
      <c r="G1275" t="s">
        <v>3197</v>
      </c>
      <c r="H1275" s="4">
        <f>IF(DATEDIF(L1275,S1275,"m")&gt;12,DATEDIF(L1275,S1275,"y"),(DATEDIF(L1275,S1275,"m")/12))</f>
        <v>82</v>
      </c>
      <c r="I1275" s="7">
        <f>DATEDIF(L1275,S1275,"M")</f>
        <v>990</v>
      </c>
      <c r="J1275" s="7">
        <f>DATEDIF(L1275,S1275,"D")</f>
        <v>30149</v>
      </c>
      <c r="K1275" t="s">
        <v>51</v>
      </c>
      <c r="L1275" s="1">
        <v>14778</v>
      </c>
      <c r="M1275" s="17" t="s">
        <v>45</v>
      </c>
      <c r="N1275" t="s">
        <v>83</v>
      </c>
      <c r="O1275" t="s">
        <v>52</v>
      </c>
      <c r="P1275" t="s">
        <v>2527</v>
      </c>
      <c r="Q1275">
        <v>0</v>
      </c>
      <c r="R1275" s="1">
        <v>45208</v>
      </c>
      <c r="S1275" s="1">
        <v>44927</v>
      </c>
      <c r="T1275" s="3" t="s">
        <v>54</v>
      </c>
      <c r="U1275" t="s">
        <v>55</v>
      </c>
      <c r="W1275" s="1">
        <v>45209</v>
      </c>
      <c r="Z1275">
        <f>MONTH(S1275)</f>
        <v>1</v>
      </c>
      <c r="AA1275" s="7">
        <f>INT((S1275-DATE(YEAR(S1275-WEEKDAY(S1275-0)+4),1,4)+WEEKDAY(DATE(YEAR(S1275-WEEKDAY(S1275-0)+4),1,4))+6)/7)</f>
        <v>1</v>
      </c>
      <c r="AB1275" t="s">
        <v>3198</v>
      </c>
      <c r="AG1275" s="7">
        <v>2023</v>
      </c>
      <c r="AH1275" t="s">
        <v>482</v>
      </c>
      <c r="AK1275" t="s">
        <v>2638</v>
      </c>
      <c r="AL1275" s="3" t="s">
        <v>59</v>
      </c>
    </row>
    <row r="1276" spans="1:38" ht="30" customHeight="1">
      <c r="A1276" s="3" t="s">
        <v>44</v>
      </c>
      <c r="B1276" s="3" t="s">
        <v>45</v>
      </c>
      <c r="G1276" t="s">
        <v>3199</v>
      </c>
      <c r="H1276" s="4">
        <f>IF(DATEDIF(L1276,S1276,"m")&gt;12,DATEDIF(L1276,S1276,"y"),(DATEDIF(L1276,S1276,"m")/12))</f>
        <v>6</v>
      </c>
      <c r="I1276" s="7">
        <f>DATEDIF(L1276,S1276,"M")</f>
        <v>72</v>
      </c>
      <c r="J1276" s="7">
        <f>DATEDIF(L1276,S1276,"D")</f>
        <v>2214</v>
      </c>
      <c r="K1276" t="s">
        <v>51</v>
      </c>
      <c r="L1276" s="1">
        <v>42987</v>
      </c>
      <c r="M1276" s="17" t="s">
        <v>45</v>
      </c>
      <c r="N1276" t="s">
        <v>83</v>
      </c>
      <c r="O1276" t="s">
        <v>52</v>
      </c>
      <c r="P1276" t="s">
        <v>2598</v>
      </c>
      <c r="Q1276">
        <v>0</v>
      </c>
      <c r="R1276" s="1">
        <v>45208</v>
      </c>
      <c r="S1276" s="1">
        <v>45201</v>
      </c>
      <c r="T1276" s="3" t="s">
        <v>54</v>
      </c>
      <c r="U1276" t="s">
        <v>55</v>
      </c>
      <c r="W1276" s="1">
        <v>45209</v>
      </c>
      <c r="Z1276">
        <f>MONTH(S1276)</f>
        <v>10</v>
      </c>
      <c r="AA1276" s="7">
        <f>INT((S1276-DATE(YEAR(S1276-WEEKDAY(S1276-0)+4),1,4)+WEEKDAY(DATE(YEAR(S1276-WEEKDAY(S1276-0)+4),1,4))+6)/7)</f>
        <v>40</v>
      </c>
      <c r="AB1276" t="s">
        <v>3200</v>
      </c>
      <c r="AG1276" s="7">
        <v>2023</v>
      </c>
      <c r="AH1276" t="s">
        <v>482</v>
      </c>
      <c r="AK1276" t="s">
        <v>140</v>
      </c>
      <c r="AL1276" s="3" t="s">
        <v>59</v>
      </c>
    </row>
    <row r="1277" spans="1:38" ht="30" customHeight="1">
      <c r="A1277" s="3" t="s">
        <v>44</v>
      </c>
      <c r="B1277" s="3" t="s">
        <v>45</v>
      </c>
      <c r="G1277" t="s">
        <v>3201</v>
      </c>
      <c r="H1277" s="5">
        <f>IF(DATEDIF(L1277,S1277,"m")&gt;12,DATEDIF(L1277,S1277,"y"),(DATEDIF(L1277,S1277,"m")/12))</f>
        <v>0.66666666666666663</v>
      </c>
      <c r="I1277" s="7">
        <f>DATEDIF(L1277,S1277,"M")</f>
        <v>8</v>
      </c>
      <c r="J1277" s="7">
        <f>DATEDIF(L1277,S1277,"D")</f>
        <v>264</v>
      </c>
      <c r="K1277" t="s">
        <v>51</v>
      </c>
      <c r="L1277" s="1">
        <v>44938</v>
      </c>
      <c r="M1277" s="17" t="s">
        <v>45</v>
      </c>
      <c r="N1277" t="s">
        <v>83</v>
      </c>
      <c r="O1277" t="s">
        <v>52</v>
      </c>
      <c r="P1277" t="s">
        <v>2598</v>
      </c>
      <c r="Q1277">
        <v>0</v>
      </c>
      <c r="R1277" s="1">
        <v>45208</v>
      </c>
      <c r="S1277" s="1">
        <v>45202</v>
      </c>
      <c r="T1277" s="3" t="s">
        <v>54</v>
      </c>
      <c r="U1277" t="s">
        <v>55</v>
      </c>
      <c r="W1277" s="1">
        <v>45209</v>
      </c>
      <c r="Z1277">
        <f>MONTH(S1277)</f>
        <v>10</v>
      </c>
      <c r="AA1277" s="7">
        <f>INT((S1277-DATE(YEAR(S1277-WEEKDAY(S1277-0)+4),1,4)+WEEKDAY(DATE(YEAR(S1277-WEEKDAY(S1277-0)+4),1,4))+6)/7)</f>
        <v>40</v>
      </c>
      <c r="AB1277" t="s">
        <v>3202</v>
      </c>
      <c r="AG1277" s="7">
        <v>2023</v>
      </c>
      <c r="AH1277" t="s">
        <v>482</v>
      </c>
      <c r="AK1277" t="s">
        <v>140</v>
      </c>
      <c r="AL1277" s="3" t="s">
        <v>59</v>
      </c>
    </row>
    <row r="1278" spans="1:38" ht="30" customHeight="1">
      <c r="A1278" s="3" t="s">
        <v>44</v>
      </c>
      <c r="B1278" s="3" t="s">
        <v>45</v>
      </c>
      <c r="G1278" t="s">
        <v>3205</v>
      </c>
      <c r="H1278" s="4">
        <f>IF(DATEDIF(L1278,S1278,"m")&gt;12,DATEDIF(L1278,S1278,"y"),(DATEDIF(L1278,S1278,"m")/12))</f>
        <v>8</v>
      </c>
      <c r="I1278" s="7">
        <f>DATEDIF(L1278,S1278,"M")</f>
        <v>97</v>
      </c>
      <c r="J1278" s="7">
        <f>DATEDIF(L1278,S1278,"D")</f>
        <v>2977</v>
      </c>
      <c r="K1278" t="s">
        <v>51</v>
      </c>
      <c r="L1278" s="1">
        <v>42227</v>
      </c>
      <c r="M1278" s="17" t="s">
        <v>45</v>
      </c>
      <c r="N1278" t="s">
        <v>83</v>
      </c>
      <c r="O1278" t="s">
        <v>52</v>
      </c>
      <c r="P1278" t="s">
        <v>2527</v>
      </c>
      <c r="Q1278">
        <v>0</v>
      </c>
      <c r="R1278" s="1">
        <v>45208</v>
      </c>
      <c r="S1278" s="1">
        <v>45204</v>
      </c>
      <c r="T1278" s="3" t="s">
        <v>54</v>
      </c>
      <c r="U1278" t="s">
        <v>55</v>
      </c>
      <c r="W1278" s="1">
        <v>45209</v>
      </c>
      <c r="Z1278">
        <f>MONTH(S1278)</f>
        <v>10</v>
      </c>
      <c r="AA1278" s="7">
        <f>INT((S1278-DATE(YEAR(S1278-WEEKDAY(S1278-0)+4),1,4)+WEEKDAY(DATE(YEAR(S1278-WEEKDAY(S1278-0)+4),1,4))+6)/7)</f>
        <v>40</v>
      </c>
      <c r="AB1278" t="s">
        <v>3206</v>
      </c>
      <c r="AG1278" s="7">
        <v>2023</v>
      </c>
      <c r="AH1278" t="s">
        <v>482</v>
      </c>
      <c r="AK1278" t="s">
        <v>3003</v>
      </c>
      <c r="AL1278" s="3" t="s">
        <v>59</v>
      </c>
    </row>
    <row r="1279" spans="1:38" ht="30" customHeight="1">
      <c r="A1279" s="3" t="s">
        <v>44</v>
      </c>
      <c r="B1279" s="3" t="s">
        <v>45</v>
      </c>
      <c r="G1279" t="s">
        <v>3207</v>
      </c>
      <c r="H1279" s="4">
        <f>IF(DATEDIF(L1279,S1279,"m")&gt;12,DATEDIF(L1279,S1279,"y"),(DATEDIF(L1279,S1279,"m")/12))</f>
        <v>1</v>
      </c>
      <c r="I1279" s="7">
        <f>DATEDIF(L1279,S1279,"M")</f>
        <v>21</v>
      </c>
      <c r="J1279" s="7">
        <f>DATEDIF(L1279,S1279,"D")</f>
        <v>650</v>
      </c>
      <c r="K1279" t="s">
        <v>64</v>
      </c>
      <c r="L1279" s="1">
        <v>44556</v>
      </c>
      <c r="M1279" s="17" t="s">
        <v>45</v>
      </c>
      <c r="N1279" t="s">
        <v>83</v>
      </c>
      <c r="O1279" t="s">
        <v>52</v>
      </c>
      <c r="P1279" t="s">
        <v>2620</v>
      </c>
      <c r="Q1279">
        <v>0</v>
      </c>
      <c r="R1279" s="1">
        <v>45208</v>
      </c>
      <c r="S1279" s="1">
        <v>45206</v>
      </c>
      <c r="T1279" s="3" t="s">
        <v>54</v>
      </c>
      <c r="U1279" t="s">
        <v>55</v>
      </c>
      <c r="W1279" s="1">
        <v>45209</v>
      </c>
      <c r="Z1279">
        <f>MONTH(S1279)</f>
        <v>10</v>
      </c>
      <c r="AA1279" s="7">
        <f>INT((S1279-DATE(YEAR(S1279-WEEKDAY(S1279-0)+4),1,4)+WEEKDAY(DATE(YEAR(S1279-WEEKDAY(S1279-0)+4),1,4))+6)/7)</f>
        <v>40</v>
      </c>
      <c r="AB1279" t="s">
        <v>3208</v>
      </c>
      <c r="AG1279" s="7">
        <v>2023</v>
      </c>
      <c r="AH1279" t="s">
        <v>482</v>
      </c>
      <c r="AK1279" t="s">
        <v>2693</v>
      </c>
      <c r="AL1279" s="3" t="s">
        <v>59</v>
      </c>
    </row>
    <row r="1280" spans="1:38" ht="30" customHeight="1">
      <c r="A1280" s="3" t="s">
        <v>44</v>
      </c>
      <c r="B1280" s="3" t="s">
        <v>45</v>
      </c>
      <c r="G1280" t="s">
        <v>3209</v>
      </c>
      <c r="H1280" s="4">
        <f>IF(DATEDIF(L1280,S1280,"m")&gt;12,DATEDIF(L1280,S1280,"y"),(DATEDIF(L1280,S1280,"m")/12))</f>
        <v>1</v>
      </c>
      <c r="I1280" s="7">
        <f>DATEDIF(L1280,S1280,"M")</f>
        <v>16</v>
      </c>
      <c r="J1280" s="7">
        <f>DATEDIF(L1280,S1280,"D")</f>
        <v>514</v>
      </c>
      <c r="K1280" t="s">
        <v>51</v>
      </c>
      <c r="L1280" s="1">
        <v>44690</v>
      </c>
      <c r="M1280" s="17" t="s">
        <v>45</v>
      </c>
      <c r="N1280" t="s">
        <v>83</v>
      </c>
      <c r="O1280" t="s">
        <v>52</v>
      </c>
      <c r="P1280" t="s">
        <v>2527</v>
      </c>
      <c r="Q1280">
        <v>0</v>
      </c>
      <c r="R1280" s="1">
        <v>45208</v>
      </c>
      <c r="S1280" s="1">
        <v>45204</v>
      </c>
      <c r="T1280" s="3" t="s">
        <v>54</v>
      </c>
      <c r="U1280" t="s">
        <v>55</v>
      </c>
      <c r="W1280" s="1">
        <v>45209</v>
      </c>
      <c r="Z1280">
        <f>MONTH(S1280)</f>
        <v>10</v>
      </c>
      <c r="AA1280" s="7">
        <f>INT((S1280-DATE(YEAR(S1280-WEEKDAY(S1280-0)+4),1,4)+WEEKDAY(DATE(YEAR(S1280-WEEKDAY(S1280-0)+4),1,4))+6)/7)</f>
        <v>40</v>
      </c>
      <c r="AB1280" t="s">
        <v>3210</v>
      </c>
      <c r="AG1280" s="7">
        <v>2023</v>
      </c>
      <c r="AH1280" t="s">
        <v>482</v>
      </c>
      <c r="AK1280" t="s">
        <v>2847</v>
      </c>
      <c r="AL1280" s="3" t="s">
        <v>59</v>
      </c>
    </row>
    <row r="1281" spans="1:44" ht="30" customHeight="1">
      <c r="A1281" s="3" t="s">
        <v>44</v>
      </c>
      <c r="B1281" s="3" t="s">
        <v>45</v>
      </c>
      <c r="G1281" t="s">
        <v>3215</v>
      </c>
      <c r="H1281" s="4">
        <f>IF(DATEDIF(L1281,S1281,"m")&gt;12,DATEDIF(L1281,S1281,"y"),(DATEDIF(L1281,S1281,"m")/12))</f>
        <v>10</v>
      </c>
      <c r="I1281" s="7">
        <f>DATEDIF(L1281,S1281,"M")</f>
        <v>122</v>
      </c>
      <c r="J1281" s="7">
        <f>DATEDIF(L1281,S1281,"D")</f>
        <v>3736</v>
      </c>
      <c r="K1281" t="s">
        <v>51</v>
      </c>
      <c r="L1281" s="1">
        <v>41468</v>
      </c>
      <c r="M1281" s="17" t="s">
        <v>45</v>
      </c>
      <c r="N1281" t="s">
        <v>83</v>
      </c>
      <c r="O1281" t="s">
        <v>52</v>
      </c>
      <c r="P1281" t="s">
        <v>2527</v>
      </c>
      <c r="Q1281">
        <v>0</v>
      </c>
      <c r="R1281" s="1">
        <v>45208</v>
      </c>
      <c r="S1281" s="1">
        <v>45204</v>
      </c>
      <c r="T1281" s="3" t="s">
        <v>54</v>
      </c>
      <c r="U1281" t="s">
        <v>55</v>
      </c>
      <c r="W1281" s="1">
        <v>45209</v>
      </c>
      <c r="Z1281">
        <f>MONTH(S1281)</f>
        <v>10</v>
      </c>
      <c r="AA1281" s="7">
        <f>INT((S1281-DATE(YEAR(S1281-WEEKDAY(S1281-0)+4),1,4)+WEEKDAY(DATE(YEAR(S1281-WEEKDAY(S1281-0)+4),1,4))+6)/7)</f>
        <v>40</v>
      </c>
      <c r="AB1281" t="s">
        <v>3216</v>
      </c>
      <c r="AG1281" s="7">
        <v>2023</v>
      </c>
      <c r="AH1281" t="s">
        <v>482</v>
      </c>
      <c r="AK1281" t="s">
        <v>3003</v>
      </c>
      <c r="AL1281" s="3" t="s">
        <v>59</v>
      </c>
    </row>
    <row r="1282" spans="1:44" ht="30" customHeight="1">
      <c r="A1282" s="3" t="s">
        <v>44</v>
      </c>
      <c r="B1282" s="3" t="s">
        <v>45</v>
      </c>
      <c r="G1282" t="s">
        <v>3217</v>
      </c>
      <c r="H1282" s="4">
        <f>IF(DATEDIF(L1282,S1282,"m")&gt;12,DATEDIF(L1282,S1282,"y"),(DATEDIF(L1282,S1282,"m")/12))</f>
        <v>4</v>
      </c>
      <c r="I1282" s="7">
        <f>DATEDIF(L1282,S1282,"M")</f>
        <v>53</v>
      </c>
      <c r="J1282" s="7">
        <f>DATEDIF(L1282,S1282,"D")</f>
        <v>1633</v>
      </c>
      <c r="K1282" t="s">
        <v>64</v>
      </c>
      <c r="L1282" s="1">
        <v>43572</v>
      </c>
      <c r="M1282" s="17" t="s">
        <v>45</v>
      </c>
      <c r="N1282" t="s">
        <v>83</v>
      </c>
      <c r="O1282" t="s">
        <v>52</v>
      </c>
      <c r="P1282" t="s">
        <v>2527</v>
      </c>
      <c r="Q1282">
        <v>0</v>
      </c>
      <c r="R1282" s="1">
        <v>45208</v>
      </c>
      <c r="S1282" s="1">
        <v>45205</v>
      </c>
      <c r="T1282" s="3" t="s">
        <v>54</v>
      </c>
      <c r="U1282" t="s">
        <v>55</v>
      </c>
      <c r="W1282" s="1">
        <v>45209</v>
      </c>
      <c r="Z1282">
        <f>MONTH(S1282)</f>
        <v>10</v>
      </c>
      <c r="AA1282" s="7">
        <f>INT((S1282-DATE(YEAR(S1282-WEEKDAY(S1282-0)+4),1,4)+WEEKDAY(DATE(YEAR(S1282-WEEKDAY(S1282-0)+4),1,4))+6)/7)</f>
        <v>40</v>
      </c>
      <c r="AB1282" t="s">
        <v>3218</v>
      </c>
      <c r="AG1282" s="7">
        <v>2023</v>
      </c>
      <c r="AH1282" t="s">
        <v>482</v>
      </c>
      <c r="AK1282" t="s">
        <v>140</v>
      </c>
      <c r="AL1282" s="3" t="s">
        <v>59</v>
      </c>
    </row>
    <row r="1283" spans="1:44" ht="30" customHeight="1">
      <c r="A1283" s="3" t="s">
        <v>44</v>
      </c>
      <c r="B1283" s="3" t="s">
        <v>45</v>
      </c>
      <c r="G1283" t="s">
        <v>3219</v>
      </c>
      <c r="H1283" s="4">
        <f>IF(DATEDIF(L1283,S1283,"m")&gt;12,DATEDIF(L1283,S1283,"y"),(DATEDIF(L1283,S1283,"m")/12))</f>
        <v>12</v>
      </c>
      <c r="I1283" s="7">
        <f>DATEDIF(L1283,S1283,"M")</f>
        <v>146</v>
      </c>
      <c r="J1283" s="7">
        <f>DATEDIF(L1283,S1283,"D")</f>
        <v>4446</v>
      </c>
      <c r="K1283" t="s">
        <v>64</v>
      </c>
      <c r="L1283" s="1">
        <v>40758</v>
      </c>
      <c r="M1283" s="17" t="s">
        <v>45</v>
      </c>
      <c r="N1283" t="s">
        <v>83</v>
      </c>
      <c r="O1283" t="s">
        <v>52</v>
      </c>
      <c r="P1283" t="s">
        <v>2472</v>
      </c>
      <c r="Q1283">
        <v>0</v>
      </c>
      <c r="R1283" s="1">
        <v>45208</v>
      </c>
      <c r="S1283" s="1">
        <v>45204</v>
      </c>
      <c r="T1283" s="3" t="s">
        <v>54</v>
      </c>
      <c r="U1283" t="s">
        <v>55</v>
      </c>
      <c r="W1283" s="1">
        <v>45209</v>
      </c>
      <c r="Z1283">
        <f>MONTH(S1283)</f>
        <v>10</v>
      </c>
      <c r="AA1283" s="7">
        <f>INT((S1283-DATE(YEAR(S1283-WEEKDAY(S1283-0)+4),1,4)+WEEKDAY(DATE(YEAR(S1283-WEEKDAY(S1283-0)+4),1,4))+6)/7)</f>
        <v>40</v>
      </c>
      <c r="AB1283" t="s">
        <v>3220</v>
      </c>
      <c r="AG1283" s="7">
        <v>2023</v>
      </c>
      <c r="AH1283" t="s">
        <v>482</v>
      </c>
      <c r="AK1283" t="s">
        <v>2519</v>
      </c>
      <c r="AL1283" s="3" t="s">
        <v>59</v>
      </c>
    </row>
    <row r="1284" spans="1:44" ht="30" customHeight="1">
      <c r="A1284" s="3" t="s">
        <v>44</v>
      </c>
      <c r="B1284" s="3" t="s">
        <v>45</v>
      </c>
      <c r="G1284" t="s">
        <v>3221</v>
      </c>
      <c r="H1284" s="4">
        <f>IF(DATEDIF(L1284,S1284,"m")&gt;12,DATEDIF(L1284,S1284,"y"),(DATEDIF(L1284,S1284,"m")/12))</f>
        <v>44</v>
      </c>
      <c r="I1284" s="7">
        <f>DATEDIF(L1284,S1284,"M")</f>
        <v>529</v>
      </c>
      <c r="J1284" s="7">
        <f>DATEDIF(L1284,S1284,"D")</f>
        <v>16118</v>
      </c>
      <c r="K1284" t="s">
        <v>64</v>
      </c>
      <c r="L1284" s="1">
        <v>29086</v>
      </c>
      <c r="M1284" s="17" t="s">
        <v>45</v>
      </c>
      <c r="N1284" t="s">
        <v>83</v>
      </c>
      <c r="O1284" t="s">
        <v>52</v>
      </c>
      <c r="P1284" t="s">
        <v>2472</v>
      </c>
      <c r="Q1284">
        <v>0</v>
      </c>
      <c r="R1284" s="1">
        <v>45208</v>
      </c>
      <c r="S1284" s="1">
        <v>45204</v>
      </c>
      <c r="T1284" s="3" t="s">
        <v>54</v>
      </c>
      <c r="U1284" t="s">
        <v>55</v>
      </c>
      <c r="W1284" s="1">
        <v>45209</v>
      </c>
      <c r="Z1284">
        <f>MONTH(S1284)</f>
        <v>10</v>
      </c>
      <c r="AA1284" s="7">
        <f>INT((S1284-DATE(YEAR(S1284-WEEKDAY(S1284-0)+4),1,4)+WEEKDAY(DATE(YEAR(S1284-WEEKDAY(S1284-0)+4),1,4))+6)/7)</f>
        <v>40</v>
      </c>
      <c r="AB1284" t="s">
        <v>3222</v>
      </c>
      <c r="AG1284" s="7">
        <v>2023</v>
      </c>
      <c r="AH1284" t="s">
        <v>482</v>
      </c>
      <c r="AK1284" t="s">
        <v>2519</v>
      </c>
      <c r="AL1284" s="3" t="s">
        <v>59</v>
      </c>
    </row>
    <row r="1285" spans="1:44" ht="30" customHeight="1">
      <c r="A1285" s="3" t="s">
        <v>44</v>
      </c>
      <c r="B1285" s="3" t="s">
        <v>45</v>
      </c>
      <c r="G1285" t="s">
        <v>3223</v>
      </c>
      <c r="H1285" s="4">
        <f>IF(DATEDIF(L1285,S1285,"m")&gt;12,DATEDIF(L1285,S1285,"y"),(DATEDIF(L1285,S1285,"m")/12))</f>
        <v>40</v>
      </c>
      <c r="I1285" s="7">
        <f>DATEDIF(L1285,S1285,"M")</f>
        <v>483</v>
      </c>
      <c r="J1285" s="7">
        <f>DATEDIF(L1285,S1285,"D")</f>
        <v>14702</v>
      </c>
      <c r="K1285" t="s">
        <v>51</v>
      </c>
      <c r="L1285" s="1">
        <v>30504</v>
      </c>
      <c r="M1285" s="17" t="s">
        <v>45</v>
      </c>
      <c r="N1285" t="s">
        <v>83</v>
      </c>
      <c r="O1285" t="s">
        <v>52</v>
      </c>
      <c r="P1285" t="s">
        <v>2598</v>
      </c>
      <c r="Q1285">
        <v>0</v>
      </c>
      <c r="R1285" s="1">
        <v>45208</v>
      </c>
      <c r="S1285" s="1">
        <v>45206</v>
      </c>
      <c r="T1285" s="3" t="s">
        <v>54</v>
      </c>
      <c r="U1285" t="s">
        <v>55</v>
      </c>
      <c r="W1285" s="1">
        <v>45209</v>
      </c>
      <c r="Z1285">
        <f>MONTH(S1285)</f>
        <v>10</v>
      </c>
      <c r="AA1285" s="7">
        <f>INT((S1285-DATE(YEAR(S1285-WEEKDAY(S1285-0)+4),1,4)+WEEKDAY(DATE(YEAR(S1285-WEEKDAY(S1285-0)+4),1,4))+6)/7)</f>
        <v>40</v>
      </c>
      <c r="AB1285" t="s">
        <v>3224</v>
      </c>
      <c r="AG1285" s="7">
        <v>2023</v>
      </c>
      <c r="AH1285" t="s">
        <v>482</v>
      </c>
      <c r="AK1285" t="s">
        <v>2684</v>
      </c>
      <c r="AL1285" s="3" t="s">
        <v>59</v>
      </c>
    </row>
    <row r="1286" spans="1:44" ht="30" customHeight="1">
      <c r="A1286" s="3" t="s">
        <v>44</v>
      </c>
      <c r="B1286" s="3" t="s">
        <v>45</v>
      </c>
      <c r="G1286" t="s">
        <v>3225</v>
      </c>
      <c r="H1286" s="4">
        <f>IF(DATEDIF(L1286,S1286,"m")&gt;12,DATEDIF(L1286,S1286,"y"),(DATEDIF(L1286,S1286,"m")/12))</f>
        <v>1</v>
      </c>
      <c r="I1286" s="7">
        <f>DATEDIF(L1286,S1286,"M")</f>
        <v>23</v>
      </c>
      <c r="J1286" s="7">
        <f>DATEDIF(L1286,S1286,"D")</f>
        <v>708</v>
      </c>
      <c r="K1286" t="s">
        <v>64</v>
      </c>
      <c r="L1286" s="1">
        <v>44492</v>
      </c>
      <c r="M1286" s="17" t="s">
        <v>45</v>
      </c>
      <c r="N1286" t="s">
        <v>83</v>
      </c>
      <c r="O1286" t="s">
        <v>52</v>
      </c>
      <c r="P1286" t="s">
        <v>2518</v>
      </c>
      <c r="Q1286">
        <v>0</v>
      </c>
      <c r="R1286" s="1">
        <v>45208</v>
      </c>
      <c r="S1286" s="1">
        <v>45200</v>
      </c>
      <c r="T1286" s="3" t="s">
        <v>54</v>
      </c>
      <c r="U1286" t="s">
        <v>55</v>
      </c>
      <c r="W1286" s="1">
        <v>45209</v>
      </c>
      <c r="Z1286">
        <f>MONTH(S1286)</f>
        <v>10</v>
      </c>
      <c r="AA1286" s="7">
        <f>INT((S1286-DATE(YEAR(S1286-WEEKDAY(S1286-0)+4),1,4)+WEEKDAY(DATE(YEAR(S1286-WEEKDAY(S1286-0)+4),1,4))+6)/7)</f>
        <v>40</v>
      </c>
      <c r="AB1286" t="s">
        <v>3226</v>
      </c>
      <c r="AG1286" s="7">
        <v>2023</v>
      </c>
      <c r="AH1286" t="s">
        <v>482</v>
      </c>
      <c r="AK1286" t="s">
        <v>140</v>
      </c>
      <c r="AL1286" s="3" t="s">
        <v>59</v>
      </c>
    </row>
    <row r="1287" spans="1:44" ht="30" customHeight="1">
      <c r="A1287" s="3" t="s">
        <v>44</v>
      </c>
      <c r="B1287" s="3" t="s">
        <v>45</v>
      </c>
      <c r="G1287" t="s">
        <v>3227</v>
      </c>
      <c r="H1287" s="4">
        <f>IF(DATEDIF(L1287,S1287,"m")&gt;12,DATEDIF(L1287,S1287,"y"),(DATEDIF(L1287,S1287,"m")/12))</f>
        <v>8</v>
      </c>
      <c r="I1287" s="7">
        <f>DATEDIF(L1287,S1287,"M")</f>
        <v>96</v>
      </c>
      <c r="J1287" s="7">
        <f>DATEDIF(L1287,S1287,"D")</f>
        <v>2926</v>
      </c>
      <c r="K1287" t="s">
        <v>64</v>
      </c>
      <c r="L1287" s="1">
        <v>42280</v>
      </c>
      <c r="M1287" s="17" t="s">
        <v>45</v>
      </c>
      <c r="N1287" t="s">
        <v>83</v>
      </c>
      <c r="O1287" t="s">
        <v>52</v>
      </c>
      <c r="P1287" t="s">
        <v>2598</v>
      </c>
      <c r="Q1287">
        <v>0</v>
      </c>
      <c r="R1287" s="1">
        <v>45208</v>
      </c>
      <c r="S1287" s="1">
        <v>45206</v>
      </c>
      <c r="T1287" s="3" t="s">
        <v>54</v>
      </c>
      <c r="U1287" t="s">
        <v>55</v>
      </c>
      <c r="W1287" s="1">
        <v>45209</v>
      </c>
      <c r="Z1287">
        <f>MONTH(S1287)</f>
        <v>10</v>
      </c>
      <c r="AA1287" s="7">
        <f>INT((S1287-DATE(YEAR(S1287-WEEKDAY(S1287-0)+4),1,4)+WEEKDAY(DATE(YEAR(S1287-WEEKDAY(S1287-0)+4),1,4))+6)/7)</f>
        <v>40</v>
      </c>
      <c r="AB1287" t="s">
        <v>3228</v>
      </c>
      <c r="AG1287" s="7">
        <v>2023</v>
      </c>
      <c r="AH1287" t="s">
        <v>482</v>
      </c>
      <c r="AK1287" t="s">
        <v>2519</v>
      </c>
      <c r="AL1287" s="3" t="s">
        <v>59</v>
      </c>
    </row>
    <row r="1288" spans="1:44" ht="30" customHeight="1">
      <c r="A1288" s="3" t="s">
        <v>44</v>
      </c>
      <c r="B1288" s="3" t="s">
        <v>45</v>
      </c>
      <c r="G1288" t="s">
        <v>3229</v>
      </c>
      <c r="H1288" s="4">
        <f>IF(DATEDIF(L1288,S1288,"m")&gt;12,DATEDIF(L1288,S1288,"y"),(DATEDIF(L1288,S1288,"m")/12))</f>
        <v>1</v>
      </c>
      <c r="I1288" s="7">
        <f>DATEDIF(L1288,S1288,"M")</f>
        <v>14</v>
      </c>
      <c r="J1288" s="7">
        <f>DATEDIF(L1288,S1288,"D")</f>
        <v>446</v>
      </c>
      <c r="K1288" t="s">
        <v>64</v>
      </c>
      <c r="L1288" s="1">
        <v>44759</v>
      </c>
      <c r="M1288" s="17" t="s">
        <v>45</v>
      </c>
      <c r="N1288" t="s">
        <v>83</v>
      </c>
      <c r="O1288" t="s">
        <v>52</v>
      </c>
      <c r="P1288" t="s">
        <v>2620</v>
      </c>
      <c r="Q1288">
        <v>0</v>
      </c>
      <c r="R1288" s="1">
        <v>45208</v>
      </c>
      <c r="S1288" s="1">
        <v>45205</v>
      </c>
      <c r="T1288" s="3" t="s">
        <v>54</v>
      </c>
      <c r="U1288" t="s">
        <v>55</v>
      </c>
      <c r="W1288" s="1">
        <v>45209</v>
      </c>
      <c r="Z1288">
        <f>MONTH(S1288)</f>
        <v>10</v>
      </c>
      <c r="AA1288" s="7">
        <f>INT((S1288-DATE(YEAR(S1288-WEEKDAY(S1288-0)+4),1,4)+WEEKDAY(DATE(YEAR(S1288-WEEKDAY(S1288-0)+4),1,4))+6)/7)</f>
        <v>40</v>
      </c>
      <c r="AB1288" t="s">
        <v>3230</v>
      </c>
      <c r="AG1288" s="7">
        <v>2023</v>
      </c>
      <c r="AH1288" t="s">
        <v>482</v>
      </c>
      <c r="AK1288" t="s">
        <v>2519</v>
      </c>
      <c r="AL1288" s="3" t="s">
        <v>59</v>
      </c>
    </row>
    <row r="1289" spans="1:44" ht="30" customHeight="1">
      <c r="A1289" s="3" t="s">
        <v>44</v>
      </c>
      <c r="B1289" s="3" t="s">
        <v>45</v>
      </c>
      <c r="G1289" t="s">
        <v>3233</v>
      </c>
      <c r="H1289" s="4">
        <f>IF(DATEDIF(L1289,S1289,"m")&gt;12,DATEDIF(L1289,S1289,"y"),(DATEDIF(L1289,S1289,"m")/12))</f>
        <v>30</v>
      </c>
      <c r="I1289" s="7">
        <f>DATEDIF(L1289,S1289,"M")</f>
        <v>363</v>
      </c>
      <c r="J1289" s="7">
        <f>DATEDIF(L1289,S1289,"D")</f>
        <v>11070</v>
      </c>
      <c r="K1289" t="s">
        <v>64</v>
      </c>
      <c r="L1289" s="1">
        <v>34135</v>
      </c>
      <c r="M1289" s="17" t="s">
        <v>45</v>
      </c>
      <c r="N1289" t="s">
        <v>83</v>
      </c>
      <c r="O1289" t="s">
        <v>52</v>
      </c>
      <c r="P1289" t="s">
        <v>2472</v>
      </c>
      <c r="Q1289">
        <v>0</v>
      </c>
      <c r="R1289" s="1">
        <v>45208</v>
      </c>
      <c r="S1289" s="1">
        <v>45205</v>
      </c>
      <c r="T1289" s="3" t="s">
        <v>54</v>
      </c>
      <c r="U1289" t="s">
        <v>55</v>
      </c>
      <c r="W1289" s="1">
        <v>45209</v>
      </c>
      <c r="Z1289">
        <f>MONTH(S1289)</f>
        <v>10</v>
      </c>
      <c r="AA1289" s="7">
        <f>INT((S1289-DATE(YEAR(S1289-WEEKDAY(S1289-0)+4),1,4)+WEEKDAY(DATE(YEAR(S1289-WEEKDAY(S1289-0)+4),1,4))+6)/7)</f>
        <v>40</v>
      </c>
      <c r="AB1289" t="s">
        <v>3234</v>
      </c>
      <c r="AG1289" s="7">
        <v>2023</v>
      </c>
      <c r="AH1289" t="s">
        <v>482</v>
      </c>
      <c r="AK1289" t="s">
        <v>2519</v>
      </c>
      <c r="AL1289" s="3" t="s">
        <v>59</v>
      </c>
    </row>
    <row r="1290" spans="1:44" ht="30" customHeight="1">
      <c r="A1290" s="3" t="s">
        <v>44</v>
      </c>
      <c r="B1290" s="3" t="s">
        <v>45</v>
      </c>
      <c r="G1290" t="s">
        <v>3235</v>
      </c>
      <c r="H1290" s="5">
        <f>IF(DATEDIF(L1290,S1290,"m")&gt;12,DATEDIF(L1290,S1290,"y"),(DATEDIF(L1290,S1290,"m")/12))</f>
        <v>0.91666666666666663</v>
      </c>
      <c r="I1290" s="7">
        <f>DATEDIF(L1290,S1290,"M")</f>
        <v>11</v>
      </c>
      <c r="J1290" s="7">
        <f>DATEDIF(L1290,S1290,"D")</f>
        <v>352</v>
      </c>
      <c r="K1290" t="s">
        <v>51</v>
      </c>
      <c r="L1290" s="1">
        <v>44854</v>
      </c>
      <c r="M1290" s="17" t="s">
        <v>45</v>
      </c>
      <c r="N1290" t="s">
        <v>83</v>
      </c>
      <c r="O1290" t="s">
        <v>52</v>
      </c>
      <c r="P1290" t="s">
        <v>2521</v>
      </c>
      <c r="Q1290">
        <v>0</v>
      </c>
      <c r="R1290" s="1">
        <v>45208</v>
      </c>
      <c r="S1290" s="1">
        <v>45206</v>
      </c>
      <c r="T1290" s="3" t="s">
        <v>54</v>
      </c>
      <c r="U1290" t="s">
        <v>55</v>
      </c>
      <c r="W1290" s="1">
        <v>45209</v>
      </c>
      <c r="Z1290">
        <f>MONTH(S1290)</f>
        <v>10</v>
      </c>
      <c r="AA1290" s="7">
        <f>INT((S1290-DATE(YEAR(S1290-WEEKDAY(S1290-0)+4),1,4)+WEEKDAY(DATE(YEAR(S1290-WEEKDAY(S1290-0)+4),1,4))+6)/7)</f>
        <v>40</v>
      </c>
      <c r="AB1290" t="s">
        <v>3236</v>
      </c>
      <c r="AG1290" s="7">
        <v>2023</v>
      </c>
      <c r="AH1290" t="s">
        <v>482</v>
      </c>
      <c r="AK1290" t="s">
        <v>2638</v>
      </c>
      <c r="AL1290" s="3" t="s">
        <v>59</v>
      </c>
    </row>
    <row r="1291" spans="1:44" ht="30" customHeight="1">
      <c r="A1291" s="3" t="s">
        <v>44</v>
      </c>
      <c r="B1291" s="3" t="s">
        <v>45</v>
      </c>
      <c r="G1291" t="s">
        <v>3243</v>
      </c>
      <c r="H1291" s="4">
        <f>IF(DATEDIF(L1291,S1291,"m")&gt;12,DATEDIF(L1291,S1291,"y"),(DATEDIF(L1291,S1291,"m")/12))</f>
        <v>68</v>
      </c>
      <c r="I1291" s="7">
        <f>DATEDIF(L1291,S1291,"M")</f>
        <v>816</v>
      </c>
      <c r="J1291" s="7">
        <f>DATEDIF(L1291,S1291,"D")</f>
        <v>24860</v>
      </c>
      <c r="K1291" t="s">
        <v>64</v>
      </c>
      <c r="L1291" s="1">
        <v>20344</v>
      </c>
      <c r="M1291" s="17" t="s">
        <v>45</v>
      </c>
      <c r="N1291" t="s">
        <v>83</v>
      </c>
      <c r="O1291" t="s">
        <v>52</v>
      </c>
      <c r="P1291" t="s">
        <v>2579</v>
      </c>
      <c r="Q1291">
        <v>0</v>
      </c>
      <c r="R1291" s="1">
        <v>45208</v>
      </c>
      <c r="S1291" s="1">
        <v>45204</v>
      </c>
      <c r="T1291" s="3" t="s">
        <v>54</v>
      </c>
      <c r="U1291" t="s">
        <v>55</v>
      </c>
      <c r="W1291" s="1">
        <v>45209</v>
      </c>
      <c r="Z1291">
        <f>MONTH(S1291)</f>
        <v>10</v>
      </c>
      <c r="AA1291" s="7">
        <f>INT((S1291-DATE(YEAR(S1291-WEEKDAY(S1291-0)+4),1,4)+WEEKDAY(DATE(YEAR(S1291-WEEKDAY(S1291-0)+4),1,4))+6)/7)</f>
        <v>40</v>
      </c>
      <c r="AB1291" t="s">
        <v>3244</v>
      </c>
      <c r="AG1291" s="7">
        <v>2023</v>
      </c>
      <c r="AH1291" t="s">
        <v>482</v>
      </c>
      <c r="AK1291" t="s">
        <v>2519</v>
      </c>
      <c r="AL1291" s="3" t="s">
        <v>59</v>
      </c>
    </row>
    <row r="1292" spans="1:44" ht="30" customHeight="1">
      <c r="A1292" s="3" t="s">
        <v>44</v>
      </c>
      <c r="B1292" s="3" t="s">
        <v>45</v>
      </c>
      <c r="G1292" t="s">
        <v>3245</v>
      </c>
      <c r="H1292" s="4">
        <f>IF(DATEDIF(L1292,S1292,"m")&gt;12,DATEDIF(L1292,S1292,"y"),(DATEDIF(L1292,S1292,"m")/12))</f>
        <v>25</v>
      </c>
      <c r="I1292" s="7">
        <f>DATEDIF(L1292,S1292,"M")</f>
        <v>302</v>
      </c>
      <c r="J1292" s="7">
        <f>DATEDIF(L1292,S1292,"D")</f>
        <v>9211</v>
      </c>
      <c r="K1292" t="s">
        <v>64</v>
      </c>
      <c r="L1292" s="1">
        <v>35994</v>
      </c>
      <c r="M1292" s="17" t="s">
        <v>45</v>
      </c>
      <c r="N1292" t="s">
        <v>83</v>
      </c>
      <c r="O1292" t="s">
        <v>52</v>
      </c>
      <c r="P1292" t="s">
        <v>2518</v>
      </c>
      <c r="Q1292">
        <v>0</v>
      </c>
      <c r="R1292" s="1">
        <v>45208</v>
      </c>
      <c r="S1292" s="1">
        <v>45205</v>
      </c>
      <c r="T1292" s="3" t="s">
        <v>54</v>
      </c>
      <c r="U1292" t="s">
        <v>55</v>
      </c>
      <c r="W1292" s="1">
        <v>45209</v>
      </c>
      <c r="Z1292">
        <f>MONTH(S1292)</f>
        <v>10</v>
      </c>
      <c r="AA1292" s="7">
        <f>INT((S1292-DATE(YEAR(S1292-WEEKDAY(S1292-0)+4),1,4)+WEEKDAY(DATE(YEAR(S1292-WEEKDAY(S1292-0)+4),1,4))+6)/7)</f>
        <v>40</v>
      </c>
      <c r="AB1292" t="s">
        <v>3246</v>
      </c>
      <c r="AG1292" s="7">
        <v>2023</v>
      </c>
      <c r="AH1292" t="s">
        <v>482</v>
      </c>
      <c r="AK1292" t="s">
        <v>140</v>
      </c>
      <c r="AL1292" s="3" t="s">
        <v>59</v>
      </c>
    </row>
    <row r="1293" spans="1:44" ht="30" customHeight="1">
      <c r="A1293" s="3" t="s">
        <v>44</v>
      </c>
      <c r="B1293" s="3" t="s">
        <v>45</v>
      </c>
      <c r="G1293" t="s">
        <v>3247</v>
      </c>
      <c r="H1293" s="5">
        <f>IF(DATEDIF(L1293,S1293,"m")&gt;12,DATEDIF(L1293,S1293,"y"),(DATEDIF(L1293,S1293,"m")/12))</f>
        <v>0.91666666666666663</v>
      </c>
      <c r="I1293" s="7">
        <f>DATEDIF(L1293,S1293,"M")</f>
        <v>11</v>
      </c>
      <c r="J1293" s="7">
        <f>DATEDIF(L1293,S1293,"D")</f>
        <v>347</v>
      </c>
      <c r="K1293" t="s">
        <v>51</v>
      </c>
      <c r="L1293" s="1">
        <v>44858</v>
      </c>
      <c r="M1293" s="17" t="s">
        <v>45</v>
      </c>
      <c r="N1293" t="s">
        <v>83</v>
      </c>
      <c r="O1293" t="s">
        <v>52</v>
      </c>
      <c r="P1293" t="s">
        <v>2598</v>
      </c>
      <c r="Q1293">
        <v>0</v>
      </c>
      <c r="R1293" s="1">
        <v>45208</v>
      </c>
      <c r="S1293" s="1">
        <v>45205</v>
      </c>
      <c r="T1293" s="3" t="s">
        <v>54</v>
      </c>
      <c r="U1293" t="s">
        <v>55</v>
      </c>
      <c r="W1293" s="1">
        <v>45209</v>
      </c>
      <c r="Z1293">
        <f>MONTH(S1293)</f>
        <v>10</v>
      </c>
      <c r="AA1293" s="7">
        <f>INT((S1293-DATE(YEAR(S1293-WEEKDAY(S1293-0)+4),1,4)+WEEKDAY(DATE(YEAR(S1293-WEEKDAY(S1293-0)+4),1,4))+6)/7)</f>
        <v>40</v>
      </c>
      <c r="AB1293" t="s">
        <v>3248</v>
      </c>
      <c r="AG1293" s="7">
        <v>2023</v>
      </c>
      <c r="AH1293" t="s">
        <v>482</v>
      </c>
      <c r="AK1293" t="s">
        <v>2684</v>
      </c>
      <c r="AL1293" s="3" t="s">
        <v>59</v>
      </c>
    </row>
    <row r="1294" spans="1:44" ht="30" customHeight="1">
      <c r="A1294" s="3" t="s">
        <v>44</v>
      </c>
      <c r="B1294" s="3" t="s">
        <v>45</v>
      </c>
      <c r="G1294" t="s">
        <v>3249</v>
      </c>
      <c r="H1294" s="4">
        <f>IF(DATEDIF(L1294,S1294,"m")&gt;12,DATEDIF(L1294,S1294,"y"),(DATEDIF(L1294,S1294,"m")/12))</f>
        <v>4</v>
      </c>
      <c r="I1294" s="7">
        <f>DATEDIF(L1294,S1294,"M")</f>
        <v>53</v>
      </c>
      <c r="J1294" s="7">
        <f>DATEDIF(L1294,S1294,"D")</f>
        <v>1630</v>
      </c>
      <c r="K1294" t="s">
        <v>64</v>
      </c>
      <c r="L1294" s="1">
        <v>43574</v>
      </c>
      <c r="M1294" s="17" t="s">
        <v>45</v>
      </c>
      <c r="N1294" t="s">
        <v>83</v>
      </c>
      <c r="O1294" t="s">
        <v>52</v>
      </c>
      <c r="P1294" t="s">
        <v>2598</v>
      </c>
      <c r="Q1294">
        <v>0</v>
      </c>
      <c r="R1294" s="1">
        <v>45208</v>
      </c>
      <c r="S1294" s="1">
        <v>45204</v>
      </c>
      <c r="T1294" s="3" t="s">
        <v>54</v>
      </c>
      <c r="U1294" t="s">
        <v>55</v>
      </c>
      <c r="W1294" s="1">
        <v>45209</v>
      </c>
      <c r="Z1294">
        <f>MONTH(S1294)</f>
        <v>10</v>
      </c>
      <c r="AA1294" s="7">
        <f>INT((S1294-DATE(YEAR(S1294-WEEKDAY(S1294-0)+4),1,4)+WEEKDAY(DATE(YEAR(S1294-WEEKDAY(S1294-0)+4),1,4))+6)/7)</f>
        <v>40</v>
      </c>
      <c r="AB1294" t="s">
        <v>3250</v>
      </c>
      <c r="AG1294" s="7">
        <v>2023</v>
      </c>
      <c r="AH1294" t="s">
        <v>482</v>
      </c>
      <c r="AK1294" t="s">
        <v>2684</v>
      </c>
      <c r="AL1294" s="3" t="s">
        <v>59</v>
      </c>
    </row>
    <row r="1295" spans="1:44" ht="30" customHeight="1">
      <c r="A1295" s="3" t="s">
        <v>44</v>
      </c>
      <c r="B1295" s="3" t="s">
        <v>45</v>
      </c>
      <c r="G1295" t="s">
        <v>3251</v>
      </c>
      <c r="H1295" s="4">
        <f>IF(DATEDIF(L1295,S1295,"m")&gt;12,DATEDIF(L1295,S1295,"y"),(DATEDIF(L1295,S1295,"m")/12))</f>
        <v>6</v>
      </c>
      <c r="I1295" s="7">
        <f>DATEDIF(L1295,S1295,"M")</f>
        <v>77</v>
      </c>
      <c r="J1295" s="7">
        <f>DATEDIF(L1295,S1295,"D")</f>
        <v>2356</v>
      </c>
      <c r="K1295" t="s">
        <v>51</v>
      </c>
      <c r="L1295" s="1">
        <v>42847</v>
      </c>
      <c r="M1295" s="17" t="s">
        <v>45</v>
      </c>
      <c r="N1295" t="s">
        <v>83</v>
      </c>
      <c r="O1295" t="s">
        <v>52</v>
      </c>
      <c r="P1295" t="s">
        <v>2598</v>
      </c>
      <c r="Q1295">
        <v>0</v>
      </c>
      <c r="R1295" s="1">
        <v>45208</v>
      </c>
      <c r="S1295" s="1">
        <v>45203</v>
      </c>
      <c r="T1295" s="3" t="s">
        <v>54</v>
      </c>
      <c r="U1295" t="s">
        <v>55</v>
      </c>
      <c r="W1295" s="1">
        <v>45209</v>
      </c>
      <c r="Z1295">
        <f>MONTH(S1295)</f>
        <v>10</v>
      </c>
      <c r="AA1295" s="7">
        <f>INT((S1295-DATE(YEAR(S1295-WEEKDAY(S1295-0)+4),1,4)+WEEKDAY(DATE(YEAR(S1295-WEEKDAY(S1295-0)+4),1,4))+6)/7)</f>
        <v>40</v>
      </c>
      <c r="AB1295" t="s">
        <v>3252</v>
      </c>
      <c r="AG1295" s="7">
        <v>2023</v>
      </c>
      <c r="AH1295" t="s">
        <v>482</v>
      </c>
      <c r="AK1295" t="s">
        <v>2684</v>
      </c>
      <c r="AL1295" s="3" t="s">
        <v>59</v>
      </c>
    </row>
    <row r="1296" spans="1:44" ht="30" customHeight="1">
      <c r="A1296" s="3" t="s">
        <v>44</v>
      </c>
      <c r="B1296" s="3" t="s">
        <v>45</v>
      </c>
      <c r="C1296" s="26" t="s">
        <v>46</v>
      </c>
      <c r="D1296" s="26" t="s">
        <v>108</v>
      </c>
      <c r="E1296" s="26" t="s">
        <v>48</v>
      </c>
      <c r="F1296" s="26" t="s">
        <v>108</v>
      </c>
      <c r="G1296" s="26" t="s">
        <v>2051</v>
      </c>
      <c r="H1296" s="4">
        <f>IF(DATEDIF(L1296,S1296,"m")&gt;12,DATEDIF(L1296,S1296,"y"),(DATEDIF(L1296,S1296,"m")/12))</f>
        <v>7</v>
      </c>
      <c r="I1296" s="7">
        <f>DATEDIF(L1296,S1296,"M")</f>
        <v>92</v>
      </c>
      <c r="J1296" s="7">
        <f>DATEDIF(L1296,S1296,"D")</f>
        <v>2819</v>
      </c>
      <c r="K1296" s="26" t="s">
        <v>64</v>
      </c>
      <c r="L1296" s="27">
        <v>42213</v>
      </c>
      <c r="M1296" s="26" t="s">
        <v>45</v>
      </c>
      <c r="N1296" s="26" t="s">
        <v>73</v>
      </c>
      <c r="O1296" s="26" t="s">
        <v>52</v>
      </c>
      <c r="P1296" s="26" t="s">
        <v>2052</v>
      </c>
      <c r="Q1296" s="28">
        <v>0</v>
      </c>
      <c r="R1296" s="27">
        <v>45033</v>
      </c>
      <c r="S1296" s="27">
        <v>45032</v>
      </c>
      <c r="T1296" s="3" t="s">
        <v>54</v>
      </c>
      <c r="U1296" s="26" t="s">
        <v>55</v>
      </c>
      <c r="V1296" s="9"/>
      <c r="W1296" s="30">
        <v>45036</v>
      </c>
      <c r="X1296" s="28">
        <v>3</v>
      </c>
      <c r="Y1296" s="28">
        <v>1</v>
      </c>
      <c r="Z1296" s="28">
        <v>4</v>
      </c>
      <c r="AA1296" s="7">
        <f>INT((S1296-DATE(YEAR(S1296-WEEKDAY(S1296-0)+4),1,4)+WEEKDAY(DATE(YEAR(S1296-WEEKDAY(S1296-0)+4),1,4))+6)/7)</f>
        <v>16</v>
      </c>
      <c r="AB1296" s="26" t="s">
        <v>2053</v>
      </c>
      <c r="AC1296" s="28">
        <v>479</v>
      </c>
      <c r="AD1296" s="28">
        <v>0</v>
      </c>
      <c r="AE1296" s="28">
        <v>0</v>
      </c>
      <c r="AF1296" s="26" t="s">
        <v>48</v>
      </c>
      <c r="AG1296" s="7">
        <v>2023</v>
      </c>
      <c r="AH1296" s="26" t="s">
        <v>112</v>
      </c>
      <c r="AI1296" s="26" t="s">
        <v>48</v>
      </c>
      <c r="AJ1296" s="26" t="s">
        <v>48</v>
      </c>
      <c r="AK1296" s="26" t="s">
        <v>235</v>
      </c>
      <c r="AL1296" s="3" t="s">
        <v>59</v>
      </c>
      <c r="AM1296" s="26" t="s">
        <v>115</v>
      </c>
      <c r="AN1296" s="26" t="s">
        <v>61</v>
      </c>
      <c r="AO1296" s="26" t="s">
        <v>62</v>
      </c>
      <c r="AP1296" s="26" t="s">
        <v>61</v>
      </c>
      <c r="AQ1296" s="26" t="s">
        <v>61</v>
      </c>
      <c r="AR1296" s="26" t="s">
        <v>48</v>
      </c>
    </row>
    <row r="1297" spans="1:38" ht="30" customHeight="1">
      <c r="A1297" s="3" t="s">
        <v>44</v>
      </c>
      <c r="B1297" s="3" t="s">
        <v>45</v>
      </c>
      <c r="G1297">
        <v>493672</v>
      </c>
      <c r="H1297" s="4">
        <f>IF(DATEDIF(L1297,S1297,"m")&gt;12,DATEDIF(L1297,S1297,"y"),(DATEDIF(L1297,S1297,"m")/12))</f>
        <v>77</v>
      </c>
      <c r="I1297" s="7">
        <f>DATEDIF(L1297,S1297,"M")</f>
        <v>926</v>
      </c>
      <c r="J1297" s="7">
        <f>DATEDIF(L1297,S1297,"D")</f>
        <v>28206</v>
      </c>
      <c r="K1297" t="s">
        <v>51</v>
      </c>
      <c r="L1297" s="1">
        <v>16997</v>
      </c>
      <c r="M1297" s="17" t="s">
        <v>45</v>
      </c>
      <c r="N1297" t="s">
        <v>203</v>
      </c>
      <c r="O1297" t="s">
        <v>52</v>
      </c>
      <c r="P1297" t="s">
        <v>2579</v>
      </c>
      <c r="Q1297">
        <v>1</v>
      </c>
      <c r="R1297" s="1">
        <v>45207</v>
      </c>
      <c r="S1297" s="1">
        <v>45203</v>
      </c>
      <c r="T1297" s="3" t="s">
        <v>54</v>
      </c>
      <c r="U1297" t="s">
        <v>55</v>
      </c>
      <c r="W1297" s="1">
        <v>45214</v>
      </c>
      <c r="Z1297">
        <f>MONTH(S1297)</f>
        <v>10</v>
      </c>
      <c r="AA1297" s="7">
        <f>INT((S1297-DATE(YEAR(S1297-WEEKDAY(S1297-0)+4),1,4)+WEEKDAY(DATE(YEAR(S1297-WEEKDAY(S1297-0)+4),1,4))+6)/7)</f>
        <v>40</v>
      </c>
      <c r="AB1297" t="s">
        <v>3258</v>
      </c>
      <c r="AG1297" s="7">
        <v>2023</v>
      </c>
      <c r="AH1297" t="s">
        <v>987</v>
      </c>
      <c r="AK1297" t="s">
        <v>2489</v>
      </c>
      <c r="AL1297" s="3" t="s">
        <v>59</v>
      </c>
    </row>
    <row r="1298" spans="1:38" ht="30" customHeight="1">
      <c r="A1298" s="3" t="s">
        <v>44</v>
      </c>
      <c r="B1298" s="3" t="s">
        <v>45</v>
      </c>
      <c r="G1298">
        <v>10838</v>
      </c>
      <c r="H1298" s="4">
        <f>IF(DATEDIF(L1298,S1298,"m")&gt;12,DATEDIF(L1298,S1298,"y"),(DATEDIF(L1298,S1298,"m")/12))</f>
        <v>1</v>
      </c>
      <c r="I1298" s="7">
        <f>DATEDIF(L1298,S1298,"M")</f>
        <v>15</v>
      </c>
      <c r="J1298" s="7">
        <f>DATEDIF(L1298,S1298,"D")</f>
        <v>474</v>
      </c>
      <c r="K1298" t="s">
        <v>64</v>
      </c>
      <c r="L1298" s="1">
        <v>44740</v>
      </c>
      <c r="M1298" s="17" t="s">
        <v>45</v>
      </c>
      <c r="N1298" t="s">
        <v>101</v>
      </c>
      <c r="O1298" t="s">
        <v>52</v>
      </c>
      <c r="P1298" t="s">
        <v>2518</v>
      </c>
      <c r="Q1298">
        <v>1</v>
      </c>
      <c r="R1298" s="1">
        <v>45215</v>
      </c>
      <c r="S1298" s="1">
        <v>45214</v>
      </c>
      <c r="T1298" s="3" t="s">
        <v>54</v>
      </c>
      <c r="U1298" t="s">
        <v>55</v>
      </c>
      <c r="W1298" s="1">
        <v>45215</v>
      </c>
      <c r="Z1298">
        <f>MONTH(S1298)</f>
        <v>10</v>
      </c>
      <c r="AA1298" s="7">
        <f>INT((S1298-DATE(YEAR(S1298-WEEKDAY(S1298-0)+4),1,4)+WEEKDAY(DATE(YEAR(S1298-WEEKDAY(S1298-0)+4),1,4))+6)/7)</f>
        <v>42</v>
      </c>
      <c r="AB1298" t="s">
        <v>3259</v>
      </c>
      <c r="AG1298" s="7">
        <v>2023</v>
      </c>
      <c r="AH1298" t="s">
        <v>223</v>
      </c>
      <c r="AK1298" t="s">
        <v>3008</v>
      </c>
      <c r="AL1298" s="3" t="s">
        <v>59</v>
      </c>
    </row>
    <row r="1299" spans="1:38" ht="30" customHeight="1">
      <c r="A1299" s="3" t="s">
        <v>44</v>
      </c>
      <c r="B1299" s="3" t="s">
        <v>45</v>
      </c>
      <c r="G1299">
        <v>31464</v>
      </c>
      <c r="H1299" s="4">
        <f>IF(DATEDIF(L1299,S1299,"m")&gt;12,DATEDIF(L1299,S1299,"y"),(DATEDIF(L1299,S1299,"m")/12))</f>
        <v>26</v>
      </c>
      <c r="I1299" s="7">
        <f>DATEDIF(L1299,S1299,"M")</f>
        <v>315</v>
      </c>
      <c r="J1299" s="7">
        <f>DATEDIF(L1299,S1299,"D")</f>
        <v>9597</v>
      </c>
      <c r="K1299" t="s">
        <v>51</v>
      </c>
      <c r="L1299" s="1">
        <v>35619</v>
      </c>
      <c r="M1299" s="17" t="s">
        <v>45</v>
      </c>
      <c r="N1299" t="s">
        <v>101</v>
      </c>
      <c r="O1299" t="s">
        <v>52</v>
      </c>
      <c r="P1299" t="s">
        <v>2670</v>
      </c>
      <c r="Q1299">
        <v>1</v>
      </c>
      <c r="R1299" s="1">
        <v>45216</v>
      </c>
      <c r="S1299" s="1">
        <v>45216</v>
      </c>
      <c r="T1299" s="3" t="s">
        <v>54</v>
      </c>
      <c r="U1299" t="s">
        <v>55</v>
      </c>
      <c r="W1299" s="1">
        <v>45217</v>
      </c>
      <c r="Z1299">
        <f>MONTH(S1299)</f>
        <v>10</v>
      </c>
      <c r="AA1299" s="7">
        <f>INT((S1299-DATE(YEAR(S1299-WEEKDAY(S1299-0)+4),1,4)+WEEKDAY(DATE(YEAR(S1299-WEEKDAY(S1299-0)+4),1,4))+6)/7)</f>
        <v>42</v>
      </c>
      <c r="AB1299" t="s">
        <v>3267</v>
      </c>
      <c r="AG1299" s="7">
        <v>2023</v>
      </c>
      <c r="AH1299" t="s">
        <v>223</v>
      </c>
      <c r="AK1299" t="s">
        <v>2481</v>
      </c>
      <c r="AL1299" s="3" t="s">
        <v>59</v>
      </c>
    </row>
    <row r="1300" spans="1:38" ht="30" customHeight="1">
      <c r="A1300" s="3" t="s">
        <v>44</v>
      </c>
      <c r="B1300" s="3" t="s">
        <v>45</v>
      </c>
      <c r="G1300" t="s">
        <v>1040</v>
      </c>
      <c r="H1300" s="4">
        <f>IF(DATEDIF(L1300,S1300,"m")&gt;12,DATEDIF(L1300,S1300,"y"),(DATEDIF(L1300,S1300,"m")/12))</f>
        <v>36</v>
      </c>
      <c r="I1300" s="7">
        <f>DATEDIF(L1300,S1300,"M")</f>
        <v>433</v>
      </c>
      <c r="J1300" s="7">
        <f>DATEDIF(L1300,S1300,"D")</f>
        <v>13201</v>
      </c>
      <c r="K1300" t="s">
        <v>64</v>
      </c>
      <c r="L1300" s="1">
        <v>32005</v>
      </c>
      <c r="M1300" s="17" t="s">
        <v>45</v>
      </c>
      <c r="N1300" t="s">
        <v>187</v>
      </c>
      <c r="O1300" t="s">
        <v>52</v>
      </c>
      <c r="P1300" t="s">
        <v>1041</v>
      </c>
      <c r="Q1300">
        <v>0</v>
      </c>
      <c r="R1300" s="1">
        <v>45210</v>
      </c>
      <c r="S1300" s="1">
        <v>45206</v>
      </c>
      <c r="T1300" s="3" t="s">
        <v>54</v>
      </c>
      <c r="U1300" t="s">
        <v>55</v>
      </c>
      <c r="W1300" s="1">
        <v>45218</v>
      </c>
      <c r="Z1300">
        <f>MONTH(S1300)</f>
        <v>10</v>
      </c>
      <c r="AA1300" s="7">
        <f>INT((S1300-DATE(YEAR(S1300-WEEKDAY(S1300-0)+4),1,4)+WEEKDAY(DATE(YEAR(S1300-WEEKDAY(S1300-0)+4),1,4))+6)/7)</f>
        <v>40</v>
      </c>
      <c r="AB1300" t="s">
        <v>1042</v>
      </c>
      <c r="AG1300" s="7">
        <v>2023</v>
      </c>
      <c r="AH1300" t="s">
        <v>1043</v>
      </c>
      <c r="AK1300" t="s">
        <v>1044</v>
      </c>
      <c r="AL1300" s="3" t="s">
        <v>59</v>
      </c>
    </row>
    <row r="1301" spans="1:38" ht="30" customHeight="1">
      <c r="A1301" s="3" t="s">
        <v>44</v>
      </c>
      <c r="B1301" s="3" t="s">
        <v>45</v>
      </c>
      <c r="G1301">
        <v>2108356</v>
      </c>
      <c r="H1301" s="4">
        <f>IF(DATEDIF(L1301,S1301,"m")&gt;12,DATEDIF(L1301,S1301,"y"),(DATEDIF(L1301,S1301,"m")/12))</f>
        <v>25</v>
      </c>
      <c r="I1301" s="7">
        <f>DATEDIF(L1301,S1301,"M")</f>
        <v>311</v>
      </c>
      <c r="J1301" s="7">
        <f>DATEDIF(L1301,S1301,"D")</f>
        <v>9490</v>
      </c>
      <c r="K1301" t="s">
        <v>64</v>
      </c>
      <c r="L1301" s="1">
        <v>35725</v>
      </c>
      <c r="M1301" s="17" t="s">
        <v>45</v>
      </c>
      <c r="N1301" t="s">
        <v>65</v>
      </c>
      <c r="O1301" t="s">
        <v>52</v>
      </c>
      <c r="P1301" t="s">
        <v>2527</v>
      </c>
      <c r="Q1301">
        <v>1</v>
      </c>
      <c r="R1301" s="1">
        <v>45217</v>
      </c>
      <c r="S1301" s="1">
        <v>45215</v>
      </c>
      <c r="T1301" s="3" t="s">
        <v>54</v>
      </c>
      <c r="U1301" t="s">
        <v>55</v>
      </c>
      <c r="W1301" s="1">
        <v>45218</v>
      </c>
      <c r="Z1301">
        <f>MONTH(S1301)</f>
        <v>10</v>
      </c>
      <c r="AA1301" s="7">
        <f>INT((S1301-DATE(YEAR(S1301-WEEKDAY(S1301-0)+4),1,4)+WEEKDAY(DATE(YEAR(S1301-WEEKDAY(S1301-0)+4),1,4))+6)/7)</f>
        <v>42</v>
      </c>
      <c r="AB1301" t="s">
        <v>3270</v>
      </c>
      <c r="AG1301" s="7">
        <v>2023</v>
      </c>
      <c r="AH1301" t="s">
        <v>3271</v>
      </c>
      <c r="AK1301" t="s">
        <v>2582</v>
      </c>
      <c r="AL1301" s="3" t="s">
        <v>59</v>
      </c>
    </row>
    <row r="1302" spans="1:38" ht="30" customHeight="1">
      <c r="A1302" s="3" t="s">
        <v>44</v>
      </c>
      <c r="B1302" s="3" t="s">
        <v>45</v>
      </c>
      <c r="G1302" t="s">
        <v>3265</v>
      </c>
      <c r="H1302" s="4">
        <f>IF(DATEDIF(L1302,S1302,"m")&gt;12,DATEDIF(L1302,S1302,"y"),(DATEDIF(L1302,S1302,"m")/12))</f>
        <v>4</v>
      </c>
      <c r="I1302" s="7">
        <f>DATEDIF(L1302,S1302,"M")</f>
        <v>51</v>
      </c>
      <c r="J1302" s="7">
        <f>DATEDIF(L1302,S1302,"D")</f>
        <v>1555</v>
      </c>
      <c r="K1302" t="s">
        <v>51</v>
      </c>
      <c r="L1302" s="1">
        <v>43660</v>
      </c>
      <c r="M1302" s="17" t="s">
        <v>45</v>
      </c>
      <c r="N1302" t="s">
        <v>329</v>
      </c>
      <c r="O1302" t="s">
        <v>52</v>
      </c>
      <c r="Q1302">
        <v>0</v>
      </c>
      <c r="R1302" s="1">
        <v>45219</v>
      </c>
      <c r="S1302" s="1">
        <v>45215</v>
      </c>
      <c r="T1302" s="3" t="s">
        <v>54</v>
      </c>
      <c r="U1302" t="s">
        <v>55</v>
      </c>
      <c r="W1302" s="1">
        <v>45220</v>
      </c>
      <c r="Z1302">
        <f>MONTH(S1302)</f>
        <v>10</v>
      </c>
      <c r="AA1302" s="7">
        <f>INT((S1302-DATE(YEAR(S1302-WEEKDAY(S1302-0)+4),1,4)+WEEKDAY(DATE(YEAR(S1302-WEEKDAY(S1302-0)+4),1,4))+6)/7)</f>
        <v>42</v>
      </c>
      <c r="AB1302" t="s">
        <v>3266</v>
      </c>
      <c r="AG1302" s="7">
        <v>2023</v>
      </c>
      <c r="AH1302" t="s">
        <v>3263</v>
      </c>
      <c r="AK1302" t="s">
        <v>2481</v>
      </c>
      <c r="AL1302" s="3" t="s">
        <v>59</v>
      </c>
    </row>
    <row r="1303" spans="1:38" ht="30" customHeight="1">
      <c r="A1303" s="3" t="s">
        <v>44</v>
      </c>
      <c r="B1303" s="3" t="s">
        <v>45</v>
      </c>
      <c r="G1303" t="s">
        <v>3260</v>
      </c>
      <c r="H1303" s="5">
        <f>IF(DATEDIF(L1303,S1303,"m")&gt;12,DATEDIF(L1303,S1303,"y"),(DATEDIF(L1303,S1303,"m")/12))</f>
        <v>0.66666666666666663</v>
      </c>
      <c r="I1303" s="7">
        <f>DATEDIF(L1303,S1303,"M")</f>
        <v>8</v>
      </c>
      <c r="J1303" s="7">
        <f>DATEDIF(L1303,S1303,"D")</f>
        <v>272</v>
      </c>
      <c r="K1303" t="s">
        <v>64</v>
      </c>
      <c r="L1303" s="1">
        <v>44947</v>
      </c>
      <c r="M1303" s="17" t="s">
        <v>45</v>
      </c>
      <c r="N1303" t="s">
        <v>329</v>
      </c>
      <c r="O1303" t="s">
        <v>52</v>
      </c>
      <c r="P1303" t="s">
        <v>3261</v>
      </c>
      <c r="Q1303">
        <v>0</v>
      </c>
      <c r="R1303" s="1">
        <v>45222</v>
      </c>
      <c r="S1303" s="1">
        <v>45219</v>
      </c>
      <c r="T1303" s="3" t="s">
        <v>54</v>
      </c>
      <c r="U1303" t="s">
        <v>55</v>
      </c>
      <c r="W1303" s="1">
        <v>45223</v>
      </c>
      <c r="Z1303">
        <f>MONTH(S1303)</f>
        <v>10</v>
      </c>
      <c r="AA1303" s="7">
        <f>INT((S1303-DATE(YEAR(S1303-WEEKDAY(S1303-0)+4),1,4)+WEEKDAY(DATE(YEAR(S1303-WEEKDAY(S1303-0)+4),1,4))+6)/7)</f>
        <v>42</v>
      </c>
      <c r="AB1303" t="s">
        <v>3262</v>
      </c>
      <c r="AG1303" s="7">
        <v>2023</v>
      </c>
      <c r="AH1303" t="s">
        <v>3263</v>
      </c>
      <c r="AK1303" t="s">
        <v>3264</v>
      </c>
      <c r="AL1303" s="3" t="s">
        <v>59</v>
      </c>
    </row>
    <row r="1304" spans="1:38" ht="30" customHeight="1">
      <c r="A1304" s="3" t="s">
        <v>44</v>
      </c>
      <c r="B1304" s="3" t="s">
        <v>45</v>
      </c>
      <c r="G1304" t="s">
        <v>3268</v>
      </c>
      <c r="H1304" s="4">
        <f>IF(DATEDIF(L1304,S1304,"m")&gt;12,DATEDIF(L1304,S1304,"y"),(DATEDIF(L1304,S1304,"m")/12))</f>
        <v>13</v>
      </c>
      <c r="I1304" s="7">
        <f>DATEDIF(L1304,S1304,"M")</f>
        <v>158</v>
      </c>
      <c r="J1304" s="7">
        <f>DATEDIF(L1304,S1304,"D")</f>
        <v>4838</v>
      </c>
      <c r="K1304" t="s">
        <v>51</v>
      </c>
      <c r="L1304" s="1">
        <v>40377</v>
      </c>
      <c r="M1304" s="17" t="s">
        <v>45</v>
      </c>
      <c r="N1304" t="s">
        <v>329</v>
      </c>
      <c r="O1304" t="s">
        <v>52</v>
      </c>
      <c r="Q1304">
        <v>0</v>
      </c>
      <c r="R1304" s="1">
        <v>45222</v>
      </c>
      <c r="S1304" s="1">
        <v>45215</v>
      </c>
      <c r="T1304" s="3" t="s">
        <v>54</v>
      </c>
      <c r="U1304" t="s">
        <v>55</v>
      </c>
      <c r="W1304" s="1">
        <v>45223</v>
      </c>
      <c r="Z1304">
        <f>MONTH(S1304)</f>
        <v>10</v>
      </c>
      <c r="AA1304" s="7">
        <f>INT((S1304-DATE(YEAR(S1304-WEEKDAY(S1304-0)+4),1,4)+WEEKDAY(DATE(YEAR(S1304-WEEKDAY(S1304-0)+4),1,4))+6)/7)</f>
        <v>42</v>
      </c>
      <c r="AB1304" t="s">
        <v>3269</v>
      </c>
      <c r="AG1304" s="7">
        <v>2023</v>
      </c>
      <c r="AH1304" t="s">
        <v>3263</v>
      </c>
      <c r="AK1304" t="s">
        <v>2481</v>
      </c>
      <c r="AL1304" s="3" t="s">
        <v>59</v>
      </c>
    </row>
    <row r="1305" spans="1:38" ht="30" customHeight="1">
      <c r="A1305" s="3" t="s">
        <v>44</v>
      </c>
      <c r="B1305" s="3" t="s">
        <v>45</v>
      </c>
      <c r="G1305" t="s">
        <v>3260</v>
      </c>
      <c r="H1305" s="5">
        <f>IF(DATEDIF(L1305,S1305,"m")&gt;12,DATEDIF(L1305,S1305,"y"),(DATEDIF(L1305,S1305,"m")/12))</f>
        <v>0.83333333333333337</v>
      </c>
      <c r="I1305" s="7">
        <f>DATEDIF(L1305,S1305,"M")</f>
        <v>10</v>
      </c>
      <c r="J1305" s="7">
        <f>DATEDIF(L1305,S1305,"D")</f>
        <v>329</v>
      </c>
      <c r="K1305" t="s">
        <v>64</v>
      </c>
      <c r="L1305" s="1">
        <v>44890</v>
      </c>
      <c r="M1305" s="17" t="s">
        <v>45</v>
      </c>
      <c r="N1305" t="s">
        <v>329</v>
      </c>
      <c r="O1305" t="s">
        <v>52</v>
      </c>
      <c r="P1305" t="s">
        <v>2661</v>
      </c>
      <c r="Q1305">
        <v>0</v>
      </c>
      <c r="R1305" s="1">
        <v>45222</v>
      </c>
      <c r="S1305" s="1">
        <v>45219</v>
      </c>
      <c r="T1305" s="3" t="s">
        <v>54</v>
      </c>
      <c r="U1305" t="s">
        <v>55</v>
      </c>
      <c r="W1305" s="1">
        <v>45223</v>
      </c>
      <c r="Z1305">
        <f>MONTH(S1305)</f>
        <v>10</v>
      </c>
      <c r="AA1305" s="7">
        <f>INT((S1305-DATE(YEAR(S1305-WEEKDAY(S1305-0)+4),1,4)+WEEKDAY(DATE(YEAR(S1305-WEEKDAY(S1305-0)+4),1,4))+6)/7)</f>
        <v>42</v>
      </c>
      <c r="AB1305" t="s">
        <v>3262</v>
      </c>
      <c r="AG1305" s="7">
        <v>2023</v>
      </c>
      <c r="AH1305" t="s">
        <v>3263</v>
      </c>
      <c r="AK1305" t="s">
        <v>2481</v>
      </c>
      <c r="AL1305" s="3" t="s">
        <v>59</v>
      </c>
    </row>
    <row r="1306" spans="1:38" ht="30" customHeight="1">
      <c r="A1306" s="3" t="s">
        <v>44</v>
      </c>
      <c r="B1306" s="3" t="s">
        <v>45</v>
      </c>
      <c r="G1306">
        <v>1329</v>
      </c>
      <c r="H1306" s="4">
        <f>IF(DATEDIF(L1306,S1306,"m")&gt;12,DATEDIF(L1306,S1306,"y"),(DATEDIF(L1306,S1306,"m")/12))</f>
        <v>5</v>
      </c>
      <c r="I1306" s="7">
        <f>DATEDIF(L1306,S1306,"M")</f>
        <v>68</v>
      </c>
      <c r="J1306" s="7">
        <f>DATEDIF(L1306,S1306,"D")</f>
        <v>2093</v>
      </c>
      <c r="K1306" t="s">
        <v>51</v>
      </c>
      <c r="L1306" s="1">
        <v>43133</v>
      </c>
      <c r="M1306" s="17" t="s">
        <v>45</v>
      </c>
      <c r="N1306" t="s">
        <v>65</v>
      </c>
      <c r="O1306" t="s">
        <v>52</v>
      </c>
      <c r="P1306" t="s">
        <v>2518</v>
      </c>
      <c r="Q1306">
        <v>1</v>
      </c>
      <c r="R1306" s="1">
        <v>45227</v>
      </c>
      <c r="S1306" s="1">
        <v>45226</v>
      </c>
      <c r="T1306" s="3" t="s">
        <v>54</v>
      </c>
      <c r="U1306" t="s">
        <v>55</v>
      </c>
      <c r="W1306" s="1">
        <v>45229</v>
      </c>
      <c r="Z1306">
        <f>MONTH(S1306)</f>
        <v>10</v>
      </c>
      <c r="AA1306" s="7">
        <f>INT((S1306-DATE(YEAR(S1306-WEEKDAY(S1306-0)+4),1,4)+WEEKDAY(DATE(YEAR(S1306-WEEKDAY(S1306-0)+4),1,4))+6)/7)</f>
        <v>43</v>
      </c>
      <c r="AB1306" t="s">
        <v>3273</v>
      </c>
      <c r="AG1306" s="7">
        <v>2023</v>
      </c>
      <c r="AH1306" t="s">
        <v>223</v>
      </c>
      <c r="AK1306" t="s">
        <v>2551</v>
      </c>
      <c r="AL1306" s="3" t="s">
        <v>59</v>
      </c>
    </row>
    <row r="1307" spans="1:38" ht="30" customHeight="1">
      <c r="A1307" s="3" t="s">
        <v>44</v>
      </c>
      <c r="B1307" s="3" t="s">
        <v>45</v>
      </c>
      <c r="G1307" t="s">
        <v>3268</v>
      </c>
      <c r="H1307" s="4">
        <v>0</v>
      </c>
      <c r="I1307" s="7">
        <v>0</v>
      </c>
      <c r="J1307" s="7">
        <v>0</v>
      </c>
      <c r="K1307" t="s">
        <v>51</v>
      </c>
      <c r="L1307" s="15">
        <v>45249</v>
      </c>
      <c r="M1307" s="17" t="s">
        <v>45</v>
      </c>
      <c r="N1307" t="s">
        <v>329</v>
      </c>
      <c r="O1307" t="s">
        <v>52</v>
      </c>
      <c r="Q1307">
        <v>0</v>
      </c>
      <c r="R1307" s="1">
        <v>45225</v>
      </c>
      <c r="S1307" s="1">
        <v>45217</v>
      </c>
      <c r="T1307" s="3" t="s">
        <v>54</v>
      </c>
      <c r="U1307" t="s">
        <v>55</v>
      </c>
      <c r="W1307" s="1">
        <v>45230</v>
      </c>
      <c r="Z1307">
        <f>MONTH(S1307)</f>
        <v>10</v>
      </c>
      <c r="AA1307" s="7">
        <f>INT((S1307-DATE(YEAR(S1307-WEEKDAY(S1307-0)+4),1,4)+WEEKDAY(DATE(YEAR(S1307-WEEKDAY(S1307-0)+4),1,4))+6)/7)</f>
        <v>42</v>
      </c>
      <c r="AB1307" t="s">
        <v>3272</v>
      </c>
      <c r="AG1307" s="7">
        <v>2023</v>
      </c>
      <c r="AH1307" t="s">
        <v>3263</v>
      </c>
      <c r="AK1307" t="s">
        <v>2481</v>
      </c>
      <c r="AL1307" s="3" t="s">
        <v>59</v>
      </c>
    </row>
    <row r="1308" spans="1:38" ht="30" customHeight="1">
      <c r="A1308" s="3" t="s">
        <v>44</v>
      </c>
      <c r="B1308" s="3" t="s">
        <v>45</v>
      </c>
      <c r="G1308" t="s">
        <v>3274</v>
      </c>
      <c r="H1308" s="12">
        <v>4</v>
      </c>
      <c r="I1308" s="7">
        <f>DATEDIF(L1308,S1308,"M")</f>
        <v>54</v>
      </c>
      <c r="J1308" s="7">
        <f>DATEDIF(L1308,S1308,"D")</f>
        <v>1672</v>
      </c>
      <c r="K1308" t="s">
        <v>51</v>
      </c>
      <c r="L1308" s="1">
        <v>43540</v>
      </c>
      <c r="M1308" s="17" t="s">
        <v>45</v>
      </c>
      <c r="N1308" t="s">
        <v>329</v>
      </c>
      <c r="O1308" t="s">
        <v>52</v>
      </c>
      <c r="Q1308">
        <v>0</v>
      </c>
      <c r="R1308" s="1">
        <v>45226</v>
      </c>
      <c r="S1308" s="1">
        <v>45212</v>
      </c>
      <c r="T1308" s="3" t="s">
        <v>54</v>
      </c>
      <c r="U1308" t="s">
        <v>55</v>
      </c>
      <c r="W1308" s="1">
        <v>45233</v>
      </c>
      <c r="Z1308">
        <f>MONTH(S1308)</f>
        <v>10</v>
      </c>
      <c r="AA1308" s="7">
        <f>INT((S1308-DATE(YEAR(S1308-WEEKDAY(S1308-0)+4),1,4)+WEEKDAY(DATE(YEAR(S1308-WEEKDAY(S1308-0)+4),1,4))+6)/7)</f>
        <v>41</v>
      </c>
      <c r="AB1308" t="s">
        <v>3275</v>
      </c>
      <c r="AG1308" s="7">
        <v>2023</v>
      </c>
      <c r="AH1308" t="s">
        <v>3263</v>
      </c>
      <c r="AK1308" t="s">
        <v>2481</v>
      </c>
      <c r="AL1308" s="3" t="s">
        <v>59</v>
      </c>
    </row>
    <row r="1309" spans="1:38" ht="30" customHeight="1">
      <c r="A1309" s="3" t="s">
        <v>44</v>
      </c>
      <c r="B1309" s="3" t="s">
        <v>45</v>
      </c>
      <c r="G1309" t="s">
        <v>3276</v>
      </c>
      <c r="H1309" s="12">
        <v>1</v>
      </c>
      <c r="I1309" s="7">
        <f>DATEDIF(L1309,S1309,"M")</f>
        <v>12</v>
      </c>
      <c r="J1309" s="7">
        <f>DATEDIF(L1309,S1309,"D")</f>
        <v>387</v>
      </c>
      <c r="K1309" t="s">
        <v>51</v>
      </c>
      <c r="L1309" s="1">
        <v>44825</v>
      </c>
      <c r="M1309" s="17" t="s">
        <v>45</v>
      </c>
      <c r="N1309" t="s">
        <v>329</v>
      </c>
      <c r="O1309" t="s">
        <v>52</v>
      </c>
      <c r="Q1309">
        <v>0</v>
      </c>
      <c r="R1309" s="1">
        <v>45226</v>
      </c>
      <c r="S1309" s="1">
        <v>45212</v>
      </c>
      <c r="T1309" s="3" t="s">
        <v>54</v>
      </c>
      <c r="U1309" t="s">
        <v>55</v>
      </c>
      <c r="W1309" s="1">
        <v>45233</v>
      </c>
      <c r="Z1309">
        <f>MONTH(S1309)</f>
        <v>10</v>
      </c>
      <c r="AA1309" s="7">
        <f>INT((S1309-DATE(YEAR(S1309-WEEKDAY(S1309-0)+4),1,4)+WEEKDAY(DATE(YEAR(S1309-WEEKDAY(S1309-0)+4),1,4))+6)/7)</f>
        <v>41</v>
      </c>
      <c r="AB1309" t="s">
        <v>3277</v>
      </c>
      <c r="AG1309" s="7">
        <v>2023</v>
      </c>
      <c r="AH1309" t="s">
        <v>3263</v>
      </c>
      <c r="AK1309" t="s">
        <v>2606</v>
      </c>
      <c r="AL1309" s="3" t="s">
        <v>59</v>
      </c>
    </row>
    <row r="1310" spans="1:38" ht="30" customHeight="1">
      <c r="A1310" s="3" t="s">
        <v>44</v>
      </c>
      <c r="B1310" s="3" t="s">
        <v>45</v>
      </c>
      <c r="G1310" t="s">
        <v>3268</v>
      </c>
      <c r="H1310" s="12">
        <v>19</v>
      </c>
      <c r="I1310" s="7">
        <f>DATEDIF(L1310,S1310,"M")</f>
        <v>234</v>
      </c>
      <c r="J1310" s="7">
        <f>DATEDIF(L1310,S1310,"D")</f>
        <v>7129</v>
      </c>
      <c r="K1310" t="s">
        <v>51</v>
      </c>
      <c r="L1310" s="1">
        <v>38089</v>
      </c>
      <c r="M1310" s="17" t="s">
        <v>45</v>
      </c>
      <c r="N1310" t="s">
        <v>329</v>
      </c>
      <c r="O1310" t="s">
        <v>52</v>
      </c>
      <c r="Q1310">
        <v>0</v>
      </c>
      <c r="R1310" s="1">
        <v>45225</v>
      </c>
      <c r="S1310" s="1">
        <v>45218</v>
      </c>
      <c r="T1310" s="3" t="s">
        <v>54</v>
      </c>
      <c r="U1310" t="s">
        <v>55</v>
      </c>
      <c r="W1310" s="1">
        <v>45233</v>
      </c>
      <c r="Z1310">
        <f>MONTH(S1310)</f>
        <v>10</v>
      </c>
      <c r="AA1310" s="7">
        <f>INT((S1310-DATE(YEAR(S1310-WEEKDAY(S1310-0)+4),1,4)+WEEKDAY(DATE(YEAR(S1310-WEEKDAY(S1310-0)+4),1,4))+6)/7)</f>
        <v>42</v>
      </c>
      <c r="AB1310" t="s">
        <v>3278</v>
      </c>
      <c r="AG1310" s="7">
        <v>2023</v>
      </c>
      <c r="AH1310" t="s">
        <v>3279</v>
      </c>
      <c r="AK1310" t="s">
        <v>3280</v>
      </c>
      <c r="AL1310" s="3" t="s">
        <v>59</v>
      </c>
    </row>
    <row r="1311" spans="1:38" ht="30" customHeight="1">
      <c r="A1311" s="3" t="s">
        <v>44</v>
      </c>
      <c r="B1311" s="3" t="s">
        <v>45</v>
      </c>
      <c r="G1311">
        <v>31976</v>
      </c>
      <c r="H1311" s="12">
        <v>2</v>
      </c>
      <c r="I1311" s="7">
        <f>DATEDIF(L1311,S1311,"M")</f>
        <v>23</v>
      </c>
      <c r="J1311" s="7">
        <f>DATEDIF(L1311,S1311,"D")</f>
        <v>728</v>
      </c>
      <c r="K1311" t="s">
        <v>64</v>
      </c>
      <c r="L1311" s="1">
        <v>44506</v>
      </c>
      <c r="M1311" s="17" t="s">
        <v>45</v>
      </c>
      <c r="N1311" t="s">
        <v>65</v>
      </c>
      <c r="O1311" t="s">
        <v>52</v>
      </c>
      <c r="Q1311">
        <v>0</v>
      </c>
      <c r="R1311" s="1">
        <v>45236</v>
      </c>
      <c r="S1311" s="1">
        <v>45234</v>
      </c>
      <c r="T1311" s="3" t="s">
        <v>54</v>
      </c>
      <c r="U1311" t="s">
        <v>55</v>
      </c>
      <c r="W1311" s="1">
        <v>45238</v>
      </c>
      <c r="Z1311">
        <f>MONTH(S1311)</f>
        <v>11</v>
      </c>
      <c r="AA1311" s="7">
        <f>INT((S1311-DATE(YEAR(S1311-WEEKDAY(S1311-0)+4),1,4)+WEEKDAY(DATE(YEAR(S1311-WEEKDAY(S1311-0)+4),1,4))+6)/7)</f>
        <v>44</v>
      </c>
      <c r="AB1311" t="s">
        <v>3284</v>
      </c>
      <c r="AG1311" s="7">
        <v>2023</v>
      </c>
      <c r="AH1311" t="s">
        <v>223</v>
      </c>
      <c r="AK1311" t="s">
        <v>3285</v>
      </c>
      <c r="AL1311" s="3" t="s">
        <v>59</v>
      </c>
    </row>
    <row r="1312" spans="1:38" ht="30" customHeight="1">
      <c r="A1312" s="3" t="s">
        <v>44</v>
      </c>
      <c r="B1312" s="3" t="s">
        <v>45</v>
      </c>
      <c r="G1312">
        <v>30997</v>
      </c>
      <c r="H1312" s="12">
        <v>4</v>
      </c>
      <c r="I1312" s="7">
        <f>DATEDIF(L1312,S1312,"M")</f>
        <v>49</v>
      </c>
      <c r="J1312" s="7">
        <f>DATEDIF(L1312,S1312,"D")</f>
        <v>1521</v>
      </c>
      <c r="K1312" t="s">
        <v>51</v>
      </c>
      <c r="L1312" s="1">
        <v>43714</v>
      </c>
      <c r="M1312" s="17" t="s">
        <v>45</v>
      </c>
      <c r="N1312" t="s">
        <v>2853</v>
      </c>
      <c r="O1312" t="s">
        <v>52</v>
      </c>
      <c r="P1312" t="s">
        <v>3281</v>
      </c>
      <c r="Q1312">
        <v>1</v>
      </c>
      <c r="R1312" s="1">
        <v>45241</v>
      </c>
      <c r="S1312" s="1">
        <v>45235</v>
      </c>
      <c r="T1312" s="3" t="s">
        <v>54</v>
      </c>
      <c r="U1312" t="s">
        <v>55</v>
      </c>
      <c r="W1312" s="1">
        <v>45244</v>
      </c>
      <c r="Z1312">
        <f>MONTH(S1312)</f>
        <v>11</v>
      </c>
      <c r="AA1312" s="7">
        <f>INT((S1312-DATE(YEAR(S1312-WEEKDAY(S1312-0)+4),1,4)+WEEKDAY(DATE(YEAR(S1312-WEEKDAY(S1312-0)+4),1,4))+6)/7)</f>
        <v>45</v>
      </c>
      <c r="AB1312" t="s">
        <v>3282</v>
      </c>
      <c r="AG1312" s="7">
        <v>2023</v>
      </c>
      <c r="AH1312" t="s">
        <v>3283</v>
      </c>
      <c r="AK1312" t="s">
        <v>2470</v>
      </c>
      <c r="AL1312" s="3" t="s">
        <v>59</v>
      </c>
    </row>
    <row r="1313" spans="1:38" ht="30" customHeight="1">
      <c r="A1313" s="3" t="s">
        <v>44</v>
      </c>
      <c r="B1313" s="3" t="s">
        <v>45</v>
      </c>
      <c r="G1313">
        <v>13575</v>
      </c>
      <c r="H1313" s="12">
        <v>0.17</v>
      </c>
      <c r="I1313" s="7">
        <f>DATEDIF(L1313,S1313,"M")</f>
        <v>2</v>
      </c>
      <c r="J1313" s="7">
        <f>DATEDIF(L1313,S1313,"D")</f>
        <v>72</v>
      </c>
      <c r="K1313" t="s">
        <v>64</v>
      </c>
      <c r="L1313" s="1">
        <v>45174</v>
      </c>
      <c r="M1313" s="17" t="s">
        <v>45</v>
      </c>
      <c r="N1313" t="s">
        <v>2853</v>
      </c>
      <c r="O1313" t="s">
        <v>52</v>
      </c>
      <c r="P1313" t="s">
        <v>2527</v>
      </c>
      <c r="Q1313">
        <v>1</v>
      </c>
      <c r="R1313" s="1">
        <v>45248</v>
      </c>
      <c r="S1313" s="1">
        <v>45246</v>
      </c>
      <c r="T1313" s="3" t="s">
        <v>54</v>
      </c>
      <c r="U1313" t="s">
        <v>55</v>
      </c>
      <c r="W1313" s="1">
        <v>45250</v>
      </c>
      <c r="Z1313">
        <f>MONTH(S1313)</f>
        <v>11</v>
      </c>
      <c r="AA1313" s="7">
        <f>INT((S1313-DATE(YEAR(S1313-WEEKDAY(S1313-0)+4),1,4)+WEEKDAY(DATE(YEAR(S1313-WEEKDAY(S1313-0)+4),1,4))+6)/7)</f>
        <v>46</v>
      </c>
      <c r="AB1313" t="s">
        <v>3288</v>
      </c>
      <c r="AG1313" s="7">
        <v>2023</v>
      </c>
      <c r="AH1313" t="s">
        <v>223</v>
      </c>
      <c r="AK1313" t="s">
        <v>2926</v>
      </c>
      <c r="AL1313" s="3" t="s">
        <v>59</v>
      </c>
    </row>
    <row r="1314" spans="1:38" ht="30" customHeight="1">
      <c r="A1314" s="3" t="s">
        <v>44</v>
      </c>
      <c r="B1314" s="3" t="s">
        <v>45</v>
      </c>
      <c r="G1314">
        <v>32331</v>
      </c>
      <c r="H1314" s="12">
        <v>15</v>
      </c>
      <c r="I1314" s="7">
        <f>DATEDIF(L1314,S1314,"M")</f>
        <v>186</v>
      </c>
      <c r="J1314" s="7">
        <f>DATEDIF(L1314,S1314,"D")</f>
        <v>5671</v>
      </c>
      <c r="K1314" t="s">
        <v>51</v>
      </c>
      <c r="L1314" s="1">
        <v>39576</v>
      </c>
      <c r="M1314" s="17" t="s">
        <v>45</v>
      </c>
      <c r="N1314" t="s">
        <v>101</v>
      </c>
      <c r="O1314" t="s">
        <v>52</v>
      </c>
      <c r="P1314" t="s">
        <v>3286</v>
      </c>
      <c r="Q1314">
        <v>1</v>
      </c>
      <c r="R1314" s="1">
        <v>45250</v>
      </c>
      <c r="S1314" s="1">
        <v>45247</v>
      </c>
      <c r="T1314" s="3" t="s">
        <v>54</v>
      </c>
      <c r="U1314" t="s">
        <v>55</v>
      </c>
      <c r="W1314" s="1">
        <v>45251</v>
      </c>
      <c r="Z1314">
        <f>MONTH(S1314)</f>
        <v>11</v>
      </c>
      <c r="AA1314" s="7">
        <f>INT((S1314-DATE(YEAR(S1314-WEEKDAY(S1314-0)+4),1,4)+WEEKDAY(DATE(YEAR(S1314-WEEKDAY(S1314-0)+4),1,4))+6)/7)</f>
        <v>46</v>
      </c>
      <c r="AB1314" t="s">
        <v>3287</v>
      </c>
      <c r="AG1314" s="7">
        <v>2023</v>
      </c>
      <c r="AH1314" t="s">
        <v>223</v>
      </c>
      <c r="AK1314" t="s">
        <v>2481</v>
      </c>
      <c r="AL1314" s="3" t="s">
        <v>59</v>
      </c>
    </row>
    <row r="1315" spans="1:38" ht="30" customHeight="1">
      <c r="A1315" s="3" t="s">
        <v>44</v>
      </c>
      <c r="B1315" s="3" t="s">
        <v>45</v>
      </c>
      <c r="G1315">
        <v>32535</v>
      </c>
      <c r="H1315" s="12">
        <v>25</v>
      </c>
      <c r="I1315" s="7">
        <f>DATEDIF(L1315,S1315,"M")</f>
        <v>302</v>
      </c>
      <c r="J1315" s="7">
        <f>DATEDIF(L1315,S1315,"D")</f>
        <v>9216</v>
      </c>
      <c r="K1315" t="s">
        <v>64</v>
      </c>
      <c r="L1315" s="1">
        <v>36039</v>
      </c>
      <c r="M1315" s="17" t="s">
        <v>45</v>
      </c>
      <c r="N1315" t="s">
        <v>101</v>
      </c>
      <c r="O1315" t="s">
        <v>52</v>
      </c>
      <c r="P1315" t="s">
        <v>3286</v>
      </c>
      <c r="Q1315">
        <v>1</v>
      </c>
      <c r="R1315" s="1">
        <v>45257</v>
      </c>
      <c r="S1315" s="1">
        <v>45255</v>
      </c>
      <c r="T1315" s="3" t="s">
        <v>54</v>
      </c>
      <c r="U1315" t="s">
        <v>55</v>
      </c>
      <c r="W1315" s="1">
        <v>45258</v>
      </c>
      <c r="Z1315">
        <f>MONTH(S1315)</f>
        <v>11</v>
      </c>
      <c r="AA1315" s="7">
        <f>INT((S1315-DATE(YEAR(S1315-WEEKDAY(S1315-0)+4),1,4)+WEEKDAY(DATE(YEAR(S1315-WEEKDAY(S1315-0)+4),1,4))+6)/7)</f>
        <v>47</v>
      </c>
      <c r="AB1315" t="s">
        <v>3289</v>
      </c>
      <c r="AG1315" s="7">
        <v>2023</v>
      </c>
      <c r="AH1315" t="s">
        <v>223</v>
      </c>
      <c r="AK1315" t="s">
        <v>2481</v>
      </c>
      <c r="AL1315" s="3" t="s">
        <v>59</v>
      </c>
    </row>
    <row r="1316" spans="1:38" ht="30" customHeight="1">
      <c r="A1316" s="3" t="s">
        <v>44</v>
      </c>
      <c r="B1316" s="3" t="s">
        <v>45</v>
      </c>
      <c r="G1316">
        <v>32480</v>
      </c>
      <c r="H1316" s="12">
        <v>9</v>
      </c>
      <c r="I1316" s="7">
        <f>DATEDIF(L1316,S1316,"M")</f>
        <v>109</v>
      </c>
      <c r="J1316" s="7">
        <f>DATEDIF(L1316,S1316,"D")</f>
        <v>3330</v>
      </c>
      <c r="K1316" t="s">
        <v>51</v>
      </c>
      <c r="L1316" s="1">
        <v>41925</v>
      </c>
      <c r="M1316" s="17" t="s">
        <v>45</v>
      </c>
      <c r="N1316" t="s">
        <v>65</v>
      </c>
      <c r="O1316" t="s">
        <v>52</v>
      </c>
      <c r="Q1316">
        <v>1</v>
      </c>
      <c r="R1316" s="1">
        <v>45256</v>
      </c>
      <c r="S1316" s="1">
        <v>45255</v>
      </c>
      <c r="T1316" s="3" t="s">
        <v>54</v>
      </c>
      <c r="U1316" t="s">
        <v>55</v>
      </c>
      <c r="W1316" s="1">
        <v>45258</v>
      </c>
      <c r="Z1316">
        <f>MONTH(S1316)</f>
        <v>11</v>
      </c>
      <c r="AA1316" s="7">
        <f>INT((S1316-DATE(YEAR(S1316-WEEKDAY(S1316-0)+4),1,4)+WEEKDAY(DATE(YEAR(S1316-WEEKDAY(S1316-0)+4),1,4))+6)/7)</f>
        <v>47</v>
      </c>
      <c r="AB1316" t="s">
        <v>3290</v>
      </c>
      <c r="AG1316" s="7">
        <v>2023</v>
      </c>
      <c r="AH1316" t="s">
        <v>223</v>
      </c>
      <c r="AK1316" t="s">
        <v>2545</v>
      </c>
      <c r="AL1316" s="3" t="s">
        <v>59</v>
      </c>
    </row>
    <row r="1317" spans="1:38" ht="30" customHeight="1">
      <c r="A1317" s="3" t="s">
        <v>44</v>
      </c>
      <c r="B1317" s="3" t="s">
        <v>45</v>
      </c>
      <c r="G1317">
        <v>12553</v>
      </c>
      <c r="H1317" s="12">
        <v>0.67</v>
      </c>
      <c r="I1317" s="7">
        <f>DATEDIF(L1317,S1317,"M")</f>
        <v>8</v>
      </c>
      <c r="J1317" s="7">
        <f>DATEDIF(L1317,S1317,"D")</f>
        <v>260</v>
      </c>
      <c r="K1317" t="s">
        <v>51</v>
      </c>
      <c r="L1317" s="1">
        <v>44993</v>
      </c>
      <c r="M1317" s="17" t="s">
        <v>45</v>
      </c>
      <c r="N1317" t="s">
        <v>65</v>
      </c>
      <c r="O1317" t="s">
        <v>52</v>
      </c>
      <c r="P1317" t="s">
        <v>2518</v>
      </c>
      <c r="Q1317">
        <v>1</v>
      </c>
      <c r="R1317" s="1">
        <v>45255</v>
      </c>
      <c r="S1317" s="1">
        <v>45253</v>
      </c>
      <c r="T1317" s="3" t="s">
        <v>54</v>
      </c>
      <c r="U1317" t="s">
        <v>55</v>
      </c>
      <c r="W1317" s="1">
        <v>45258</v>
      </c>
      <c r="Z1317">
        <f>MONTH(S1317)</f>
        <v>11</v>
      </c>
      <c r="AA1317" s="7">
        <f>INT((S1317-DATE(YEAR(S1317-WEEKDAY(S1317-0)+4),1,4)+WEEKDAY(DATE(YEAR(S1317-WEEKDAY(S1317-0)+4),1,4))+6)/7)</f>
        <v>47</v>
      </c>
      <c r="AB1317" t="s">
        <v>3291</v>
      </c>
      <c r="AG1317" s="7">
        <v>2023</v>
      </c>
      <c r="AH1317" t="s">
        <v>223</v>
      </c>
      <c r="AK1317" t="s">
        <v>2551</v>
      </c>
      <c r="AL1317" s="3" t="s">
        <v>59</v>
      </c>
    </row>
    <row r="1318" spans="1:38" ht="30" customHeight="1">
      <c r="A1318" s="3" t="s">
        <v>44</v>
      </c>
      <c r="B1318" s="3" t="s">
        <v>45</v>
      </c>
      <c r="G1318" t="s">
        <v>3292</v>
      </c>
      <c r="H1318" s="12">
        <v>6</v>
      </c>
      <c r="I1318" s="7">
        <f>DATEDIF(L1318,S1318,"M")</f>
        <v>74</v>
      </c>
      <c r="J1318" s="7">
        <f>DATEDIF(L1318,S1318,"D")</f>
        <v>2266</v>
      </c>
      <c r="K1318" t="s">
        <v>51</v>
      </c>
      <c r="L1318" s="1">
        <v>42990</v>
      </c>
      <c r="M1318" s="17" t="s">
        <v>45</v>
      </c>
      <c r="N1318" t="s">
        <v>187</v>
      </c>
      <c r="O1318" t="s">
        <v>52</v>
      </c>
      <c r="P1318" t="s">
        <v>3293</v>
      </c>
      <c r="Q1318">
        <v>0</v>
      </c>
      <c r="R1318" s="1">
        <v>45259</v>
      </c>
      <c r="S1318" s="1">
        <v>45256</v>
      </c>
      <c r="T1318" s="3" t="s">
        <v>54</v>
      </c>
      <c r="U1318" t="s">
        <v>55</v>
      </c>
      <c r="W1318" s="1">
        <v>45261</v>
      </c>
      <c r="Z1318">
        <f>MONTH(S1318)</f>
        <v>11</v>
      </c>
      <c r="AA1318" s="7">
        <f>INT((S1318-DATE(YEAR(S1318-WEEKDAY(S1318-0)+4),1,4)+WEEKDAY(DATE(YEAR(S1318-WEEKDAY(S1318-0)+4),1,4))+6)/7)</f>
        <v>48</v>
      </c>
      <c r="AB1318" t="s">
        <v>3294</v>
      </c>
      <c r="AG1318" s="7">
        <v>2023</v>
      </c>
      <c r="AH1318" t="s">
        <v>3295</v>
      </c>
      <c r="AK1318" t="s">
        <v>3296</v>
      </c>
      <c r="AL1318" s="3" t="s">
        <v>59</v>
      </c>
    </row>
    <row r="1319" spans="1:38" ht="30" customHeight="1">
      <c r="A1319" s="3" t="s">
        <v>44</v>
      </c>
      <c r="B1319" s="3" t="s">
        <v>45</v>
      </c>
      <c r="G1319" t="s">
        <v>3297</v>
      </c>
      <c r="H1319" s="12">
        <v>14</v>
      </c>
      <c r="I1319" s="7">
        <f>DATEDIF(L1319,S1319,"M")</f>
        <v>172</v>
      </c>
      <c r="J1319" s="7">
        <f>DATEDIF(L1319,S1319,"D")</f>
        <v>5252</v>
      </c>
      <c r="K1319" t="s">
        <v>64</v>
      </c>
      <c r="L1319" s="1">
        <v>40005</v>
      </c>
      <c r="M1319" s="17" t="s">
        <v>45</v>
      </c>
      <c r="N1319" t="s">
        <v>187</v>
      </c>
      <c r="O1319" t="s">
        <v>52</v>
      </c>
      <c r="P1319" t="s">
        <v>3298</v>
      </c>
      <c r="Q1319">
        <v>0</v>
      </c>
      <c r="R1319" s="1">
        <v>45259</v>
      </c>
      <c r="S1319" s="1">
        <v>45257</v>
      </c>
      <c r="T1319" s="3" t="s">
        <v>54</v>
      </c>
      <c r="U1319" t="s">
        <v>55</v>
      </c>
      <c r="W1319" s="1">
        <v>45261</v>
      </c>
      <c r="Z1319">
        <f>MONTH(S1319)</f>
        <v>11</v>
      </c>
      <c r="AA1319" s="7">
        <f>INT((S1319-DATE(YEAR(S1319-WEEKDAY(S1319-0)+4),1,4)+WEEKDAY(DATE(YEAR(S1319-WEEKDAY(S1319-0)+4),1,4))+6)/7)</f>
        <v>48</v>
      </c>
      <c r="AB1319" t="s">
        <v>3299</v>
      </c>
      <c r="AG1319" s="7">
        <v>2023</v>
      </c>
      <c r="AH1319" t="s">
        <v>1043</v>
      </c>
      <c r="AK1319" t="s">
        <v>1044</v>
      </c>
      <c r="AL1319" s="3" t="s">
        <v>59</v>
      </c>
    </row>
    <row r="1320" spans="1:38" ht="30" customHeight="1">
      <c r="A1320" s="3" t="s">
        <v>44</v>
      </c>
      <c r="B1320" s="3" t="s">
        <v>45</v>
      </c>
      <c r="G1320" t="s">
        <v>3300</v>
      </c>
      <c r="H1320" s="12">
        <v>3</v>
      </c>
      <c r="I1320" s="7">
        <f>DATEDIF(L1320,S1320,"M")</f>
        <v>38</v>
      </c>
      <c r="J1320" s="7">
        <f>DATEDIF(L1320,S1320,"D")</f>
        <v>1162</v>
      </c>
      <c r="K1320" t="s">
        <v>51</v>
      </c>
      <c r="L1320" s="1">
        <v>44095</v>
      </c>
      <c r="M1320" s="17" t="s">
        <v>45</v>
      </c>
      <c r="N1320" t="s">
        <v>187</v>
      </c>
      <c r="O1320" t="s">
        <v>52</v>
      </c>
      <c r="P1320" t="s">
        <v>3301</v>
      </c>
      <c r="Q1320">
        <v>0</v>
      </c>
      <c r="R1320" s="1">
        <v>45259</v>
      </c>
      <c r="S1320" s="1">
        <v>45257</v>
      </c>
      <c r="T1320" s="3" t="s">
        <v>54</v>
      </c>
      <c r="U1320" t="s">
        <v>55</v>
      </c>
      <c r="W1320" s="1">
        <v>45261</v>
      </c>
      <c r="Z1320">
        <f>MONTH(S1320)</f>
        <v>11</v>
      </c>
      <c r="AA1320" s="7">
        <f>INT((S1320-DATE(YEAR(S1320-WEEKDAY(S1320-0)+4),1,4)+WEEKDAY(DATE(YEAR(S1320-WEEKDAY(S1320-0)+4),1,4))+6)/7)</f>
        <v>48</v>
      </c>
      <c r="AB1320" t="s">
        <v>3302</v>
      </c>
      <c r="AG1320" s="7">
        <v>2023</v>
      </c>
      <c r="AH1320" t="s">
        <v>1043</v>
      </c>
      <c r="AK1320" t="s">
        <v>1044</v>
      </c>
      <c r="AL1320" s="3" t="s">
        <v>59</v>
      </c>
    </row>
    <row r="1321" spans="1:38" ht="30" customHeight="1">
      <c r="A1321" s="3" t="s">
        <v>44</v>
      </c>
      <c r="B1321" s="3" t="s">
        <v>45</v>
      </c>
      <c r="G1321" t="s">
        <v>3320</v>
      </c>
      <c r="H1321" s="12">
        <v>67</v>
      </c>
      <c r="I1321" s="7">
        <f>DATEDIF(L1321,S1321,"M")</f>
        <v>814</v>
      </c>
      <c r="J1321" s="7">
        <f>DATEDIF(L1321,S1321,"D")</f>
        <v>24802</v>
      </c>
      <c r="K1321" t="s">
        <v>64</v>
      </c>
      <c r="L1321" s="1">
        <v>20455</v>
      </c>
      <c r="M1321" s="17" t="s">
        <v>45</v>
      </c>
      <c r="N1321" t="s">
        <v>187</v>
      </c>
      <c r="O1321" t="s">
        <v>52</v>
      </c>
      <c r="P1321" t="s">
        <v>3321</v>
      </c>
      <c r="Q1321">
        <v>0</v>
      </c>
      <c r="R1321" s="1">
        <v>45259</v>
      </c>
      <c r="S1321" s="1">
        <v>45257</v>
      </c>
      <c r="T1321" s="3" t="s">
        <v>54</v>
      </c>
      <c r="U1321" t="s">
        <v>55</v>
      </c>
      <c r="W1321" s="1">
        <v>45261</v>
      </c>
      <c r="Z1321">
        <f>MONTH(S1321)</f>
        <v>11</v>
      </c>
      <c r="AA1321" s="7">
        <f>INT((S1321-DATE(YEAR(S1321-WEEKDAY(S1321-0)+4),1,4)+WEEKDAY(DATE(YEAR(S1321-WEEKDAY(S1321-0)+4),1,4))+6)/7)</f>
        <v>48</v>
      </c>
      <c r="AB1321" t="s">
        <v>3322</v>
      </c>
      <c r="AG1321" s="7">
        <v>2023</v>
      </c>
      <c r="AH1321" t="s">
        <v>3319</v>
      </c>
      <c r="AK1321" t="s">
        <v>1044</v>
      </c>
      <c r="AL1321" s="3" t="s">
        <v>59</v>
      </c>
    </row>
    <row r="1322" spans="1:38" ht="30" customHeight="1">
      <c r="A1322" s="3" t="s">
        <v>44</v>
      </c>
      <c r="B1322" s="3" t="s">
        <v>45</v>
      </c>
      <c r="G1322" t="s">
        <v>3303</v>
      </c>
      <c r="H1322" s="12">
        <v>41</v>
      </c>
      <c r="I1322" s="7">
        <f>DATEDIF(L1322,S1322,"M")</f>
        <v>500</v>
      </c>
      <c r="J1322" s="7">
        <f>DATEDIF(L1322,S1322,"D")</f>
        <v>15245</v>
      </c>
      <c r="K1322" t="s">
        <v>64</v>
      </c>
      <c r="L1322" s="1">
        <v>30010</v>
      </c>
      <c r="M1322" s="17" t="s">
        <v>45</v>
      </c>
      <c r="N1322" t="s">
        <v>187</v>
      </c>
      <c r="O1322" t="s">
        <v>52</v>
      </c>
      <c r="P1322" t="s">
        <v>3304</v>
      </c>
      <c r="Q1322">
        <v>0</v>
      </c>
      <c r="R1322" s="1">
        <v>45260</v>
      </c>
      <c r="S1322" s="1">
        <v>45255</v>
      </c>
      <c r="T1322" s="3" t="s">
        <v>54</v>
      </c>
      <c r="U1322" t="s">
        <v>55</v>
      </c>
      <c r="W1322" s="1">
        <v>45265</v>
      </c>
      <c r="Z1322">
        <f>MONTH(S1322)</f>
        <v>11</v>
      </c>
      <c r="AA1322" s="7">
        <f>INT((S1322-DATE(YEAR(S1322-WEEKDAY(S1322-0)+4),1,4)+WEEKDAY(DATE(YEAR(S1322-WEEKDAY(S1322-0)+4),1,4))+6)/7)</f>
        <v>47</v>
      </c>
      <c r="AB1322" t="s">
        <v>3305</v>
      </c>
      <c r="AG1322" s="7">
        <v>2023</v>
      </c>
      <c r="AH1322" t="s">
        <v>3306</v>
      </c>
      <c r="AK1322" t="s">
        <v>3307</v>
      </c>
      <c r="AL1322" s="3" t="s">
        <v>59</v>
      </c>
    </row>
    <row r="1323" spans="1:38" ht="30" customHeight="1">
      <c r="A1323" s="3" t="s">
        <v>44</v>
      </c>
      <c r="B1323" s="3" t="s">
        <v>45</v>
      </c>
      <c r="G1323" t="s">
        <v>3308</v>
      </c>
      <c r="H1323" s="12">
        <v>43</v>
      </c>
      <c r="I1323" s="7">
        <f>DATEDIF(L1323,S1323,"M")</f>
        <v>522</v>
      </c>
      <c r="J1323" s="7">
        <f>DATEDIF(L1323,S1323,"D")</f>
        <v>15913</v>
      </c>
      <c r="K1323" t="s">
        <v>64</v>
      </c>
      <c r="L1323" s="1">
        <v>29344</v>
      </c>
      <c r="M1323" s="17" t="s">
        <v>45</v>
      </c>
      <c r="N1323" t="s">
        <v>187</v>
      </c>
      <c r="O1323" t="s">
        <v>52</v>
      </c>
      <c r="P1323" t="s">
        <v>3309</v>
      </c>
      <c r="Q1323">
        <v>0</v>
      </c>
      <c r="R1323" s="1">
        <v>45260</v>
      </c>
      <c r="S1323" s="1">
        <v>45257</v>
      </c>
      <c r="T1323" s="3" t="s">
        <v>54</v>
      </c>
      <c r="U1323" t="s">
        <v>55</v>
      </c>
      <c r="W1323" s="1">
        <v>45265</v>
      </c>
      <c r="Z1323">
        <f>MONTH(S1323)</f>
        <v>11</v>
      </c>
      <c r="AA1323" s="7">
        <f>INT((S1323-DATE(YEAR(S1323-WEEKDAY(S1323-0)+4),1,4)+WEEKDAY(DATE(YEAR(S1323-WEEKDAY(S1323-0)+4),1,4))+6)/7)</f>
        <v>48</v>
      </c>
      <c r="AB1323" t="s">
        <v>3310</v>
      </c>
      <c r="AG1323" s="7">
        <v>2023</v>
      </c>
      <c r="AH1323" t="s">
        <v>3311</v>
      </c>
      <c r="AK1323" t="s">
        <v>3312</v>
      </c>
      <c r="AL1323" s="3" t="s">
        <v>59</v>
      </c>
    </row>
    <row r="1324" spans="1:38" ht="30" customHeight="1">
      <c r="A1324" s="3" t="s">
        <v>44</v>
      </c>
      <c r="B1324" s="3" t="s">
        <v>45</v>
      </c>
      <c r="G1324" t="s">
        <v>3313</v>
      </c>
      <c r="H1324" s="12">
        <v>41</v>
      </c>
      <c r="I1324" s="7">
        <f>DATEDIF(L1324,S1324,"M")</f>
        <v>496</v>
      </c>
      <c r="J1324" s="7">
        <f>DATEDIF(L1324,S1324,"D")</f>
        <v>15121</v>
      </c>
      <c r="K1324" t="s">
        <v>51</v>
      </c>
      <c r="L1324" s="1">
        <v>30134</v>
      </c>
      <c r="M1324" s="17" t="s">
        <v>45</v>
      </c>
      <c r="N1324" t="s">
        <v>187</v>
      </c>
      <c r="O1324" t="s">
        <v>52</v>
      </c>
      <c r="P1324" t="s">
        <v>3314</v>
      </c>
      <c r="Q1324">
        <v>0</v>
      </c>
      <c r="R1324" s="1">
        <v>45261</v>
      </c>
      <c r="S1324" s="1">
        <v>45255</v>
      </c>
      <c r="T1324" s="3" t="s">
        <v>54</v>
      </c>
      <c r="U1324" t="s">
        <v>55</v>
      </c>
      <c r="W1324" s="1">
        <v>45265</v>
      </c>
      <c r="Z1324">
        <f>MONTH(S1324)</f>
        <v>11</v>
      </c>
      <c r="AA1324" s="7">
        <f>INT((S1324-DATE(YEAR(S1324-WEEKDAY(S1324-0)+4),1,4)+WEEKDAY(DATE(YEAR(S1324-WEEKDAY(S1324-0)+4),1,4))+6)/7)</f>
        <v>47</v>
      </c>
      <c r="AB1324" t="s">
        <v>3315</v>
      </c>
      <c r="AG1324" s="7">
        <v>2023</v>
      </c>
      <c r="AH1324" t="s">
        <v>3306</v>
      </c>
      <c r="AK1324" t="s">
        <v>3307</v>
      </c>
      <c r="AL1324" s="3" t="s">
        <v>59</v>
      </c>
    </row>
    <row r="1325" spans="1:38" ht="30" customHeight="1">
      <c r="A1325" s="3" t="s">
        <v>44</v>
      </c>
      <c r="B1325" s="3" t="s">
        <v>45</v>
      </c>
      <c r="G1325" t="s">
        <v>3316</v>
      </c>
      <c r="H1325" s="12">
        <v>32</v>
      </c>
      <c r="I1325" s="7">
        <f>DATEDIF(L1325,S1325,"M")</f>
        <v>391</v>
      </c>
      <c r="J1325" s="7">
        <f>DATEDIF(L1325,S1325,"D")</f>
        <v>11904</v>
      </c>
      <c r="K1325" t="s">
        <v>64</v>
      </c>
      <c r="L1325" s="1">
        <v>33352</v>
      </c>
      <c r="M1325" s="17" t="s">
        <v>45</v>
      </c>
      <c r="N1325" t="s">
        <v>187</v>
      </c>
      <c r="O1325" t="s">
        <v>52</v>
      </c>
      <c r="P1325" t="s">
        <v>3317</v>
      </c>
      <c r="Q1325">
        <v>0</v>
      </c>
      <c r="R1325" s="1">
        <v>45260</v>
      </c>
      <c r="S1325" s="1">
        <v>45256</v>
      </c>
      <c r="T1325" s="3" t="s">
        <v>54</v>
      </c>
      <c r="U1325" t="s">
        <v>55</v>
      </c>
      <c r="W1325" s="1">
        <v>45265</v>
      </c>
      <c r="Z1325">
        <f>MONTH(S1325)</f>
        <v>11</v>
      </c>
      <c r="AA1325" s="7">
        <f>INT((S1325-DATE(YEAR(S1325-WEEKDAY(S1325-0)+4),1,4)+WEEKDAY(DATE(YEAR(S1325-WEEKDAY(S1325-0)+4),1,4))+6)/7)</f>
        <v>48</v>
      </c>
      <c r="AB1325" t="s">
        <v>3318</v>
      </c>
      <c r="AG1325" s="7">
        <v>2023</v>
      </c>
      <c r="AH1325" t="s">
        <v>3319</v>
      </c>
      <c r="AK1325" t="s">
        <v>1044</v>
      </c>
      <c r="AL1325" s="3" t="s">
        <v>59</v>
      </c>
    </row>
    <row r="1326" spans="1:38" ht="30" customHeight="1">
      <c r="A1326" s="3" t="s">
        <v>44</v>
      </c>
      <c r="B1326" s="3" t="s">
        <v>45</v>
      </c>
      <c r="G1326" t="s">
        <v>3323</v>
      </c>
      <c r="H1326" s="12">
        <v>27</v>
      </c>
      <c r="I1326" s="7">
        <f>DATEDIF(L1326,S1326,"M")</f>
        <v>329</v>
      </c>
      <c r="J1326" s="7">
        <f>DATEDIF(L1326,S1326,"D")</f>
        <v>10017</v>
      </c>
      <c r="K1326" t="s">
        <v>64</v>
      </c>
      <c r="L1326" s="1">
        <v>35251</v>
      </c>
      <c r="M1326" s="17" t="s">
        <v>45</v>
      </c>
      <c r="N1326" t="s">
        <v>101</v>
      </c>
      <c r="O1326" t="s">
        <v>52</v>
      </c>
      <c r="P1326" t="s">
        <v>2598</v>
      </c>
      <c r="Q1326">
        <v>1</v>
      </c>
      <c r="R1326" s="1">
        <v>45269</v>
      </c>
      <c r="S1326" s="1">
        <v>45268</v>
      </c>
      <c r="T1326" s="3" t="s">
        <v>54</v>
      </c>
      <c r="U1326" t="s">
        <v>55</v>
      </c>
      <c r="W1326" s="1">
        <v>45271</v>
      </c>
      <c r="Z1326">
        <f>MONTH(S1326)</f>
        <v>12</v>
      </c>
      <c r="AA1326" s="7">
        <f>INT((S1326-DATE(YEAR(S1326-WEEKDAY(S1326-0)+4),1,4)+WEEKDAY(DATE(YEAR(S1326-WEEKDAY(S1326-0)+4),1,4))+6)/7)</f>
        <v>49</v>
      </c>
      <c r="AB1326" t="s">
        <v>3324</v>
      </c>
      <c r="AG1326" s="7">
        <v>2023</v>
      </c>
      <c r="AH1326" t="s">
        <v>223</v>
      </c>
      <c r="AK1326" t="s">
        <v>2541</v>
      </c>
      <c r="AL1326" s="3" t="s">
        <v>59</v>
      </c>
    </row>
    <row r="1327" spans="1:38" ht="30" customHeight="1">
      <c r="A1327" s="3" t="s">
        <v>44</v>
      </c>
      <c r="B1327" s="3" t="s">
        <v>45</v>
      </c>
      <c r="G1327" t="s">
        <v>3325</v>
      </c>
      <c r="H1327" s="12">
        <v>6</v>
      </c>
      <c r="I1327" s="7">
        <f>DATEDIF(L1327,S1327,"M")</f>
        <v>81</v>
      </c>
      <c r="J1327" s="7">
        <f>DATEDIF(L1327,S1327,"D")</f>
        <v>2473</v>
      </c>
      <c r="K1327" t="s">
        <v>64</v>
      </c>
      <c r="L1327" s="1">
        <v>42790</v>
      </c>
      <c r="M1327" s="17" t="s">
        <v>45</v>
      </c>
      <c r="N1327" t="s">
        <v>187</v>
      </c>
      <c r="O1327" t="s">
        <v>52</v>
      </c>
      <c r="P1327" t="s">
        <v>3326</v>
      </c>
      <c r="Q1327">
        <v>0</v>
      </c>
      <c r="R1327" s="1">
        <v>45266</v>
      </c>
      <c r="S1327" s="1">
        <v>45263</v>
      </c>
      <c r="T1327" s="3" t="s">
        <v>54</v>
      </c>
      <c r="U1327" t="s">
        <v>55</v>
      </c>
      <c r="W1327" s="1">
        <v>45275</v>
      </c>
      <c r="Z1327">
        <f>MONTH(S1327)</f>
        <v>12</v>
      </c>
      <c r="AA1327" s="7">
        <f>INT((S1327-DATE(YEAR(S1327-WEEKDAY(S1327-0)+4),1,4)+WEEKDAY(DATE(YEAR(S1327-WEEKDAY(S1327-0)+4),1,4))+6)/7)</f>
        <v>49</v>
      </c>
      <c r="AB1327" t="s">
        <v>3327</v>
      </c>
      <c r="AG1327" s="7">
        <v>2023</v>
      </c>
      <c r="AH1327" t="s">
        <v>3328</v>
      </c>
      <c r="AK1327" t="s">
        <v>3326</v>
      </c>
      <c r="AL1327" s="3" t="s">
        <v>59</v>
      </c>
    </row>
    <row r="1328" spans="1:38" ht="30" customHeight="1">
      <c r="A1328" s="3" t="s">
        <v>44</v>
      </c>
      <c r="B1328" s="3" t="s">
        <v>45</v>
      </c>
      <c r="G1328" t="s">
        <v>3329</v>
      </c>
      <c r="H1328" s="12">
        <v>5</v>
      </c>
      <c r="I1328" s="7">
        <f>DATEDIF(L1328,S1328,"M")</f>
        <v>62</v>
      </c>
      <c r="J1328" s="7">
        <f>DATEDIF(L1328,S1328,"D")</f>
        <v>1895</v>
      </c>
      <c r="K1328" t="s">
        <v>51</v>
      </c>
      <c r="L1328" s="1">
        <v>43368</v>
      </c>
      <c r="M1328" s="17" t="s">
        <v>45</v>
      </c>
      <c r="N1328" t="s">
        <v>187</v>
      </c>
      <c r="O1328" t="s">
        <v>52</v>
      </c>
      <c r="P1328" t="s">
        <v>1044</v>
      </c>
      <c r="Q1328">
        <v>0</v>
      </c>
      <c r="R1328" s="1">
        <v>45266</v>
      </c>
      <c r="S1328" s="1">
        <v>45263</v>
      </c>
      <c r="T1328" s="3" t="s">
        <v>54</v>
      </c>
      <c r="U1328" t="s">
        <v>55</v>
      </c>
      <c r="W1328" s="1">
        <v>45275</v>
      </c>
      <c r="Z1328">
        <f>MONTH(S1328)</f>
        <v>12</v>
      </c>
      <c r="AA1328" s="7">
        <f>INT((S1328-DATE(YEAR(S1328-WEEKDAY(S1328-0)+4),1,4)+WEEKDAY(DATE(YEAR(S1328-WEEKDAY(S1328-0)+4),1,4))+6)/7)</f>
        <v>49</v>
      </c>
      <c r="AB1328" t="s">
        <v>3330</v>
      </c>
      <c r="AG1328" s="7">
        <v>2023</v>
      </c>
      <c r="AH1328" t="s">
        <v>3319</v>
      </c>
      <c r="AK1328" t="s">
        <v>1044</v>
      </c>
      <c r="AL1328" s="3" t="s">
        <v>59</v>
      </c>
    </row>
    <row r="1329" spans="1:43" ht="30" customHeight="1">
      <c r="A1329" s="3" t="s">
        <v>44</v>
      </c>
      <c r="B1329" s="3" t="s">
        <v>45</v>
      </c>
      <c r="G1329" t="s">
        <v>2441</v>
      </c>
      <c r="H1329" s="5">
        <f>IF(DATEDIF(L1329,S1329,"m")&gt;12,DATEDIF(L1329,S1329,"y"),(DATEDIF(L1329,S1329,"m")/12))</f>
        <v>0.25</v>
      </c>
      <c r="I1329" s="7">
        <f>DATEDIF(L1329,S1329,"M")</f>
        <v>3</v>
      </c>
      <c r="J1329" s="7">
        <f>DATEDIF(L1329,S1329,"D")</f>
        <v>108</v>
      </c>
      <c r="K1329" t="s">
        <v>51</v>
      </c>
      <c r="L1329" s="21">
        <v>44909</v>
      </c>
      <c r="M1329" s="18" t="s">
        <v>45</v>
      </c>
      <c r="N1329" t="s">
        <v>187</v>
      </c>
      <c r="O1329" t="s">
        <v>52</v>
      </c>
      <c r="P1329" t="s">
        <v>2442</v>
      </c>
      <c r="R1329" s="21">
        <v>45036</v>
      </c>
      <c r="S1329" s="21">
        <v>45017</v>
      </c>
      <c r="T1329" s="3" t="s">
        <v>54</v>
      </c>
      <c r="U1329" s="18" t="s">
        <v>55</v>
      </c>
      <c r="Z1329">
        <v>4</v>
      </c>
      <c r="AA1329" s="7">
        <f>INT((S1329-DATE(YEAR(S1329-WEEKDAY(S1329-0)+4),1,4)+WEEKDAY(DATE(YEAR(S1329-WEEKDAY(S1329-0)+4),1,4))+6)/7)</f>
        <v>13</v>
      </c>
      <c r="AB1329" t="s">
        <v>2443</v>
      </c>
      <c r="AG1329" s="7">
        <v>2023</v>
      </c>
      <c r="AH1329" t="s">
        <v>2444</v>
      </c>
      <c r="AK1329" t="s">
        <v>2445</v>
      </c>
      <c r="AL1329" s="3" t="s">
        <v>59</v>
      </c>
      <c r="AQ1329" s="18" t="s">
        <v>61</v>
      </c>
    </row>
    <row r="1330" spans="1:43" ht="30" customHeight="1">
      <c r="A1330" s="3" t="s">
        <v>44</v>
      </c>
      <c r="B1330" s="3" t="s">
        <v>45</v>
      </c>
      <c r="G1330" t="s">
        <v>2446</v>
      </c>
      <c r="H1330" s="4">
        <f>IF(DATEDIF(L1330,S1330,"m")&gt;12,DATEDIF(L1330,S1330,"y"),(DATEDIF(L1330,S1330,"m")/12))</f>
        <v>2</v>
      </c>
      <c r="I1330" s="7">
        <f>DATEDIF(L1330,S1330,"M")</f>
        <v>29</v>
      </c>
      <c r="J1330" s="7">
        <f>DATEDIF(L1330,S1330,"D")</f>
        <v>903</v>
      </c>
      <c r="K1330" t="s">
        <v>51</v>
      </c>
      <c r="L1330" s="21">
        <v>44130</v>
      </c>
      <c r="M1330" s="18" t="s">
        <v>45</v>
      </c>
      <c r="N1330" t="s">
        <v>187</v>
      </c>
      <c r="O1330" t="s">
        <v>52</v>
      </c>
      <c r="P1330" t="s">
        <v>2447</v>
      </c>
      <c r="R1330" s="21">
        <v>45036</v>
      </c>
      <c r="S1330" s="21">
        <v>45033</v>
      </c>
      <c r="T1330" s="3" t="s">
        <v>54</v>
      </c>
      <c r="U1330" s="18" t="s">
        <v>55</v>
      </c>
      <c r="Z1330">
        <v>4</v>
      </c>
      <c r="AA1330" s="7">
        <f>INT((S1330-DATE(YEAR(S1330-WEEKDAY(S1330-0)+4),1,4)+WEEKDAY(DATE(YEAR(S1330-WEEKDAY(S1330-0)+4),1,4))+6)/7)</f>
        <v>16</v>
      </c>
      <c r="AB1330" t="s">
        <v>2448</v>
      </c>
      <c r="AG1330" s="7">
        <v>2023</v>
      </c>
      <c r="AH1330" t="s">
        <v>2444</v>
      </c>
      <c r="AK1330" t="s">
        <v>2445</v>
      </c>
      <c r="AL1330" s="3" t="s">
        <v>59</v>
      </c>
      <c r="AQ1330" s="18" t="s">
        <v>61</v>
      </c>
    </row>
    <row r="1331" spans="1:43" ht="30" customHeight="1">
      <c r="A1331" s="3" t="s">
        <v>44</v>
      </c>
      <c r="B1331" s="3" t="s">
        <v>45</v>
      </c>
      <c r="G1331" t="s">
        <v>2449</v>
      </c>
      <c r="H1331" s="5">
        <f>IF(DATEDIF(L1331,S1331,"m")&gt;12,DATEDIF(L1331,S1331,"y"),(DATEDIF(L1331,S1331,"m")/12))</f>
        <v>0.41666666666666669</v>
      </c>
      <c r="I1331" s="7">
        <f>DATEDIF(L1331,S1331,"M")</f>
        <v>5</v>
      </c>
      <c r="J1331" s="7">
        <f>DATEDIF(L1331,S1331,"D")</f>
        <v>174</v>
      </c>
      <c r="K1331" t="s">
        <v>51</v>
      </c>
      <c r="L1331" s="21">
        <v>44866</v>
      </c>
      <c r="M1331" s="18" t="s">
        <v>45</v>
      </c>
      <c r="N1331" t="s">
        <v>101</v>
      </c>
      <c r="O1331" t="s">
        <v>52</v>
      </c>
      <c r="P1331" t="s">
        <v>137</v>
      </c>
      <c r="R1331" s="21">
        <v>45043</v>
      </c>
      <c r="S1331" s="21">
        <v>45040</v>
      </c>
      <c r="T1331" s="3" t="s">
        <v>54</v>
      </c>
      <c r="U1331" s="18" t="s">
        <v>55</v>
      </c>
      <c r="Z1331">
        <v>4</v>
      </c>
      <c r="AA1331" s="7">
        <f>INT((S1331-DATE(YEAR(S1331-WEEKDAY(S1331-0)+4),1,4)+WEEKDAY(DATE(YEAR(S1331-WEEKDAY(S1331-0)+4),1,4))+6)/7)</f>
        <v>17</v>
      </c>
      <c r="AB1331" t="s">
        <v>2450</v>
      </c>
      <c r="AG1331" s="7">
        <v>2023</v>
      </c>
      <c r="AH1331" t="s">
        <v>452</v>
      </c>
      <c r="AK1331" t="s">
        <v>2451</v>
      </c>
      <c r="AL1331" s="3" t="s">
        <v>59</v>
      </c>
      <c r="AQ1331" s="18" t="s">
        <v>61</v>
      </c>
    </row>
    <row r="1332" spans="1:43" ht="30" customHeight="1">
      <c r="A1332" s="3" t="s">
        <v>44</v>
      </c>
      <c r="B1332" s="3" t="s">
        <v>45</v>
      </c>
      <c r="G1332" t="s">
        <v>2452</v>
      </c>
      <c r="H1332" s="4">
        <f>IF(DATEDIF(L1332,S1332,"m")&gt;12,DATEDIF(L1332,S1332,"y"),(DATEDIF(L1332,S1332,"m")/12))</f>
        <v>15</v>
      </c>
      <c r="I1332" s="7">
        <f>DATEDIF(L1332,S1332,"M")</f>
        <v>190</v>
      </c>
      <c r="J1332" s="7">
        <f>DATEDIF(L1332,S1332,"D")</f>
        <v>5791</v>
      </c>
      <c r="K1332" t="s">
        <v>51</v>
      </c>
      <c r="L1332" s="21">
        <v>39245</v>
      </c>
      <c r="M1332" s="18" t="s">
        <v>45</v>
      </c>
      <c r="N1332" t="s">
        <v>90</v>
      </c>
      <c r="O1332" t="s">
        <v>52</v>
      </c>
      <c r="P1332" t="s">
        <v>176</v>
      </c>
      <c r="R1332" s="21">
        <v>45043</v>
      </c>
      <c r="S1332" s="21">
        <v>45036</v>
      </c>
      <c r="T1332" s="3" t="s">
        <v>54</v>
      </c>
      <c r="U1332" s="18" t="s">
        <v>55</v>
      </c>
      <c r="Z1332">
        <v>4</v>
      </c>
      <c r="AA1332" s="7">
        <f>INT((S1332-DATE(YEAR(S1332-WEEKDAY(S1332-0)+4),1,4)+WEEKDAY(DATE(YEAR(S1332-WEEKDAY(S1332-0)+4),1,4))+6)/7)</f>
        <v>16</v>
      </c>
      <c r="AB1332" t="s">
        <v>2453</v>
      </c>
      <c r="AG1332" s="7">
        <v>2023</v>
      </c>
      <c r="AH1332" t="s">
        <v>452</v>
      </c>
      <c r="AK1332" t="s">
        <v>2454</v>
      </c>
      <c r="AL1332" s="3" t="s">
        <v>59</v>
      </c>
      <c r="AQ1332" s="18" t="s">
        <v>61</v>
      </c>
    </row>
    <row r="1333" spans="1:43" ht="30" customHeight="1">
      <c r="A1333" s="3" t="s">
        <v>44</v>
      </c>
      <c r="B1333" s="3" t="s">
        <v>45</v>
      </c>
      <c r="G1333" t="s">
        <v>2455</v>
      </c>
      <c r="H1333" s="4">
        <f>IF(DATEDIF(L1333,S1333,"m")&gt;12,DATEDIF(L1333,S1333,"y"),(DATEDIF(L1333,S1333,"m")/12))</f>
        <v>16</v>
      </c>
      <c r="I1333" s="7">
        <f>DATEDIF(L1333,S1333,"M")</f>
        <v>197</v>
      </c>
      <c r="J1333" s="7">
        <f>DATEDIF(L1333,S1333,"D")</f>
        <v>6000</v>
      </c>
      <c r="K1333" t="s">
        <v>64</v>
      </c>
      <c r="L1333" s="21">
        <v>39034</v>
      </c>
      <c r="M1333" s="18" t="s">
        <v>45</v>
      </c>
      <c r="N1333" t="s">
        <v>164</v>
      </c>
      <c r="O1333" t="s">
        <v>52</v>
      </c>
      <c r="P1333" t="s">
        <v>91</v>
      </c>
      <c r="R1333" s="21">
        <v>45035</v>
      </c>
      <c r="S1333" s="21">
        <v>45034</v>
      </c>
      <c r="T1333" s="3" t="s">
        <v>54</v>
      </c>
      <c r="U1333" s="18" t="s">
        <v>55</v>
      </c>
      <c r="Z1333">
        <v>4</v>
      </c>
      <c r="AA1333" s="7">
        <f>INT((S1333-DATE(YEAR(S1333-WEEKDAY(S1333-0)+4),1,4)+WEEKDAY(DATE(YEAR(S1333-WEEKDAY(S1333-0)+4),1,4))+6)/7)</f>
        <v>16</v>
      </c>
      <c r="AB1333" t="s">
        <v>2456</v>
      </c>
      <c r="AG1333" s="7">
        <v>2023</v>
      </c>
      <c r="AH1333" t="s">
        <v>2457</v>
      </c>
      <c r="AK1333" t="s">
        <v>2458</v>
      </c>
      <c r="AL1333" s="3" t="s">
        <v>59</v>
      </c>
      <c r="AQ1333" s="18" t="s">
        <v>61</v>
      </c>
    </row>
    <row r="1334" spans="1:43" ht="30" customHeight="1">
      <c r="A1334" s="3" t="s">
        <v>44</v>
      </c>
      <c r="B1334" s="3" t="s">
        <v>45</v>
      </c>
      <c r="G1334" t="s">
        <v>2459</v>
      </c>
      <c r="H1334" s="4">
        <f>IF(DATEDIF(L1334,S1334,"m")&gt;12,DATEDIF(L1334,S1334,"y"),(DATEDIF(L1334,S1334,"m")/12))</f>
        <v>2</v>
      </c>
      <c r="I1334" s="7">
        <f>DATEDIF(L1334,S1334,"M")</f>
        <v>28</v>
      </c>
      <c r="J1334" s="7">
        <f>DATEDIF(L1334,S1334,"D")</f>
        <v>851</v>
      </c>
      <c r="K1334" t="s">
        <v>51</v>
      </c>
      <c r="L1334" s="21">
        <v>44180</v>
      </c>
      <c r="M1334" s="18" t="s">
        <v>45</v>
      </c>
      <c r="N1334" t="s">
        <v>83</v>
      </c>
      <c r="O1334" t="s">
        <v>52</v>
      </c>
      <c r="P1334" t="s">
        <v>84</v>
      </c>
      <c r="R1334" s="21">
        <v>45032</v>
      </c>
      <c r="S1334" s="21">
        <v>45031</v>
      </c>
      <c r="T1334" s="3" t="s">
        <v>54</v>
      </c>
      <c r="U1334" s="18" t="s">
        <v>55</v>
      </c>
      <c r="Z1334">
        <v>4</v>
      </c>
      <c r="AA1334" s="7">
        <f>INT((S1334-DATE(YEAR(S1334-WEEKDAY(S1334-0)+4),1,4)+WEEKDAY(DATE(YEAR(S1334-WEEKDAY(S1334-0)+4),1,4))+6)/7)</f>
        <v>15</v>
      </c>
      <c r="AB1334" t="s">
        <v>2460</v>
      </c>
      <c r="AG1334" s="7">
        <v>2023</v>
      </c>
      <c r="AH1334" t="s">
        <v>2457</v>
      </c>
      <c r="AK1334" t="s">
        <v>2461</v>
      </c>
      <c r="AL1334" s="3" t="s">
        <v>59</v>
      </c>
      <c r="AQ1334" s="18" t="s">
        <v>61</v>
      </c>
    </row>
    <row r="1335" spans="1:43" ht="30" customHeight="1">
      <c r="A1335" s="3" t="s">
        <v>44</v>
      </c>
      <c r="B1335" s="3" t="s">
        <v>45</v>
      </c>
      <c r="G1335" t="s">
        <v>2462</v>
      </c>
      <c r="H1335" s="4">
        <f>IF(DATEDIF(L1335,S1335,"m")&gt;12,DATEDIF(L1335,S1335,"y"),(DATEDIF(L1335,S1335,"m")/12))</f>
        <v>2</v>
      </c>
      <c r="I1335" s="7">
        <f>DATEDIF(L1335,S1335,"M")</f>
        <v>28</v>
      </c>
      <c r="J1335" s="7">
        <f>DATEDIF(L1335,S1335,"D")</f>
        <v>879</v>
      </c>
      <c r="K1335" t="s">
        <v>51</v>
      </c>
      <c r="L1335" s="21">
        <v>44156</v>
      </c>
      <c r="M1335" s="18" t="s">
        <v>45</v>
      </c>
      <c r="N1335" t="s">
        <v>83</v>
      </c>
      <c r="O1335" t="s">
        <v>52</v>
      </c>
      <c r="P1335" t="s">
        <v>2463</v>
      </c>
      <c r="R1335" s="21">
        <v>45036</v>
      </c>
      <c r="S1335" s="21">
        <v>45035</v>
      </c>
      <c r="T1335" s="3" t="s">
        <v>54</v>
      </c>
      <c r="U1335" s="18" t="s">
        <v>55</v>
      </c>
      <c r="Z1335">
        <v>4</v>
      </c>
      <c r="AA1335" s="7">
        <f>INT((S1335-DATE(YEAR(S1335-WEEKDAY(S1335-0)+4),1,4)+WEEKDAY(DATE(YEAR(S1335-WEEKDAY(S1335-0)+4),1,4))+6)/7)</f>
        <v>16</v>
      </c>
      <c r="AB1335" t="s">
        <v>2464</v>
      </c>
      <c r="AG1335" s="7">
        <v>2023</v>
      </c>
      <c r="AH1335" t="s">
        <v>2465</v>
      </c>
      <c r="AK1335" t="s">
        <v>2466</v>
      </c>
      <c r="AL1335" s="3" t="s">
        <v>59</v>
      </c>
      <c r="AQ1335" s="18" t="s">
        <v>61</v>
      </c>
    </row>
    <row r="1336" spans="1:43" ht="30" customHeight="1">
      <c r="A1336" s="3" t="s">
        <v>44</v>
      </c>
      <c r="B1336" s="3" t="s">
        <v>45</v>
      </c>
      <c r="G1336" t="s">
        <v>2467</v>
      </c>
      <c r="H1336" s="4">
        <f>IF(DATEDIF(L1336,S1336,"m")&gt;12,DATEDIF(L1336,S1336,"y"),(DATEDIF(L1336,S1336,"m")/12))</f>
        <v>70</v>
      </c>
      <c r="I1336" s="7">
        <f>DATEDIF(L1336,S1336,"M")</f>
        <v>850</v>
      </c>
      <c r="J1336" s="7">
        <f>DATEDIF(L1336,S1336,"D")</f>
        <v>25876</v>
      </c>
      <c r="K1336" t="s">
        <v>51</v>
      </c>
      <c r="L1336" s="21">
        <v>19161</v>
      </c>
      <c r="M1336" s="18" t="s">
        <v>45</v>
      </c>
      <c r="N1336" t="s">
        <v>65</v>
      </c>
      <c r="O1336" t="s">
        <v>52</v>
      </c>
      <c r="P1336" t="s">
        <v>2468</v>
      </c>
      <c r="R1336" s="21">
        <v>45037</v>
      </c>
      <c r="S1336" s="21">
        <v>45037</v>
      </c>
      <c r="T1336" s="3" t="s">
        <v>54</v>
      </c>
      <c r="U1336" s="18" t="s">
        <v>55</v>
      </c>
      <c r="Z1336">
        <v>4</v>
      </c>
      <c r="AA1336" s="7">
        <f>INT((S1336-DATE(YEAR(S1336-WEEKDAY(S1336-0)+4),1,4)+WEEKDAY(DATE(YEAR(S1336-WEEKDAY(S1336-0)+4),1,4))+6)/7)</f>
        <v>16</v>
      </c>
      <c r="AB1336" t="s">
        <v>2469</v>
      </c>
      <c r="AG1336" s="7">
        <v>2023</v>
      </c>
      <c r="AH1336" t="s">
        <v>2457</v>
      </c>
      <c r="AK1336" t="s">
        <v>2470</v>
      </c>
      <c r="AL1336" s="3" t="s">
        <v>59</v>
      </c>
      <c r="AQ1336" s="18" t="s">
        <v>61</v>
      </c>
    </row>
    <row r="1337" spans="1:43" ht="30" customHeight="1">
      <c r="A1337" s="3" t="s">
        <v>44</v>
      </c>
      <c r="B1337" s="3" t="s">
        <v>45</v>
      </c>
      <c r="G1337" t="s">
        <v>2471</v>
      </c>
      <c r="H1337" s="4">
        <f>IF(DATEDIF(L1337,S1337,"m")&gt;12,DATEDIF(L1337,S1337,"y"),(DATEDIF(L1337,S1337,"m")/12))</f>
        <v>6</v>
      </c>
      <c r="I1337" s="7">
        <f>DATEDIF(L1337,S1337,"M")</f>
        <v>83</v>
      </c>
      <c r="J1337" s="7">
        <f>DATEDIF(L1337,S1337,"D")</f>
        <v>2554</v>
      </c>
      <c r="K1337" t="s">
        <v>51</v>
      </c>
      <c r="L1337" s="21">
        <v>42476</v>
      </c>
      <c r="M1337" s="18" t="s">
        <v>45</v>
      </c>
      <c r="N1337" t="s">
        <v>83</v>
      </c>
      <c r="O1337" t="s">
        <v>52</v>
      </c>
      <c r="P1337" t="s">
        <v>2472</v>
      </c>
      <c r="R1337" s="21">
        <v>45033</v>
      </c>
      <c r="S1337" s="21">
        <v>45030</v>
      </c>
      <c r="T1337" s="3" t="s">
        <v>54</v>
      </c>
      <c r="U1337" s="18" t="s">
        <v>55</v>
      </c>
      <c r="Z1337">
        <v>4</v>
      </c>
      <c r="AA1337" s="7">
        <f>INT((S1337-DATE(YEAR(S1337-WEEKDAY(S1337-0)+4),1,4)+WEEKDAY(DATE(YEAR(S1337-WEEKDAY(S1337-0)+4),1,4))+6)/7)</f>
        <v>15</v>
      </c>
      <c r="AB1337" t="s">
        <v>2473</v>
      </c>
      <c r="AG1337" s="7">
        <v>2023</v>
      </c>
      <c r="AH1337" t="s">
        <v>2465</v>
      </c>
      <c r="AK1337" t="s">
        <v>2474</v>
      </c>
      <c r="AL1337" s="3" t="s">
        <v>59</v>
      </c>
      <c r="AQ1337" s="18" t="s">
        <v>61</v>
      </c>
    </row>
    <row r="1338" spans="1:43" ht="30" customHeight="1">
      <c r="A1338" s="3" t="s">
        <v>44</v>
      </c>
      <c r="B1338" s="3" t="s">
        <v>45</v>
      </c>
      <c r="G1338" t="s">
        <v>2475</v>
      </c>
      <c r="H1338" s="4">
        <f>IF(DATEDIF(L1338,S1338,"m")&gt;12,DATEDIF(L1338,S1338,"y"),(DATEDIF(L1338,S1338,"m")/12))</f>
        <v>70</v>
      </c>
      <c r="I1338" s="7">
        <f>DATEDIF(L1338,S1338,"M")</f>
        <v>844</v>
      </c>
      <c r="J1338" s="7">
        <f>DATEDIF(L1338,S1338,"D")</f>
        <v>25701</v>
      </c>
      <c r="K1338" t="s">
        <v>51</v>
      </c>
      <c r="L1338" s="21">
        <v>19335</v>
      </c>
      <c r="M1338" s="18" t="s">
        <v>45</v>
      </c>
      <c r="N1338" t="s">
        <v>164</v>
      </c>
      <c r="O1338" t="s">
        <v>52</v>
      </c>
      <c r="P1338" t="s">
        <v>2476</v>
      </c>
      <c r="R1338" s="21">
        <v>45037</v>
      </c>
      <c r="S1338" s="21">
        <v>45036</v>
      </c>
      <c r="T1338" s="3" t="s">
        <v>54</v>
      </c>
      <c r="U1338" s="18" t="s">
        <v>55</v>
      </c>
      <c r="Z1338">
        <v>4</v>
      </c>
      <c r="AA1338" s="7">
        <f>INT((S1338-DATE(YEAR(S1338-WEEKDAY(S1338-0)+4),1,4)+WEEKDAY(DATE(YEAR(S1338-WEEKDAY(S1338-0)+4),1,4))+6)/7)</f>
        <v>16</v>
      </c>
      <c r="AB1338" t="s">
        <v>2477</v>
      </c>
      <c r="AG1338" s="7">
        <v>2023</v>
      </c>
      <c r="AH1338" t="s">
        <v>2457</v>
      </c>
      <c r="AK1338" t="s">
        <v>2478</v>
      </c>
      <c r="AL1338" s="3" t="s">
        <v>59</v>
      </c>
      <c r="AQ1338" s="18" t="s">
        <v>61</v>
      </c>
    </row>
    <row r="1339" spans="1:43" ht="30" customHeight="1">
      <c r="A1339" s="3" t="s">
        <v>44</v>
      </c>
      <c r="B1339" s="3" t="s">
        <v>45</v>
      </c>
      <c r="G1339" t="s">
        <v>2479</v>
      </c>
      <c r="H1339" s="4">
        <f>IF(DATEDIF(L1339,S1339,"m")&gt;12,DATEDIF(L1339,S1339,"y"),(DATEDIF(L1339,S1339,"m")/12))</f>
        <v>6</v>
      </c>
      <c r="I1339" s="7">
        <f>DATEDIF(L1339,S1339,"M")</f>
        <v>79</v>
      </c>
      <c r="J1339" s="7">
        <f>DATEDIF(L1339,S1339,"D")</f>
        <v>2417</v>
      </c>
      <c r="K1339" t="s">
        <v>64</v>
      </c>
      <c r="L1339" s="21">
        <v>42619</v>
      </c>
      <c r="M1339" s="18" t="s">
        <v>45</v>
      </c>
      <c r="N1339" t="s">
        <v>329</v>
      </c>
      <c r="O1339" t="s">
        <v>52</v>
      </c>
      <c r="P1339" t="s">
        <v>156</v>
      </c>
      <c r="R1339" s="21">
        <v>45037</v>
      </c>
      <c r="S1339" s="21">
        <v>45036</v>
      </c>
      <c r="T1339" s="3" t="s">
        <v>54</v>
      </c>
      <c r="U1339" s="18" t="s">
        <v>55</v>
      </c>
      <c r="Z1339">
        <v>4</v>
      </c>
      <c r="AA1339" s="7">
        <f>INT((S1339-DATE(YEAR(S1339-WEEKDAY(S1339-0)+4),1,4)+WEEKDAY(DATE(YEAR(S1339-WEEKDAY(S1339-0)+4),1,4))+6)/7)</f>
        <v>16</v>
      </c>
      <c r="AB1339" t="s">
        <v>2480</v>
      </c>
      <c r="AG1339" s="7">
        <v>2023</v>
      </c>
      <c r="AH1339" t="s">
        <v>2457</v>
      </c>
      <c r="AK1339" t="s">
        <v>2481</v>
      </c>
      <c r="AL1339" s="3" t="s">
        <v>59</v>
      </c>
      <c r="AQ1339" s="18" t="s">
        <v>61</v>
      </c>
    </row>
    <row r="1340" spans="1:43" ht="30" customHeight="1">
      <c r="A1340" s="3" t="s">
        <v>44</v>
      </c>
      <c r="B1340" s="3" t="s">
        <v>45</v>
      </c>
      <c r="G1340" t="s">
        <v>2482</v>
      </c>
      <c r="H1340" s="11">
        <f>IF(DATEDIF(L1340,S1340,"m")&gt;12,DATEDIF(L1340,S1340,"y"),(DATEDIF(L1340,S1340,"m")/12))</f>
        <v>0</v>
      </c>
      <c r="I1340" s="7">
        <f>DATEDIF(L1340,S1340,"M")</f>
        <v>0</v>
      </c>
      <c r="J1340" s="7">
        <f>DATEDIF(L1340,S1340,"D")</f>
        <v>20</v>
      </c>
      <c r="K1340" t="s">
        <v>64</v>
      </c>
      <c r="L1340" s="21">
        <v>45016</v>
      </c>
      <c r="M1340" s="18" t="s">
        <v>45</v>
      </c>
      <c r="N1340" t="s">
        <v>90</v>
      </c>
      <c r="O1340" t="s">
        <v>52</v>
      </c>
      <c r="P1340" t="s">
        <v>176</v>
      </c>
      <c r="R1340" s="21">
        <v>45037</v>
      </c>
      <c r="S1340" s="21">
        <v>45036</v>
      </c>
      <c r="T1340" s="3" t="s">
        <v>54</v>
      </c>
      <c r="U1340" s="18" t="s">
        <v>55</v>
      </c>
      <c r="Z1340">
        <v>4</v>
      </c>
      <c r="AA1340" s="7">
        <f>INT((S1340-DATE(YEAR(S1340-WEEKDAY(S1340-0)+4),1,4)+WEEKDAY(DATE(YEAR(S1340-WEEKDAY(S1340-0)+4),1,4))+6)/7)</f>
        <v>16</v>
      </c>
      <c r="AB1340" t="s">
        <v>2483</v>
      </c>
      <c r="AG1340" s="7">
        <v>2023</v>
      </c>
      <c r="AH1340" t="s">
        <v>2457</v>
      </c>
      <c r="AK1340" t="s">
        <v>2481</v>
      </c>
      <c r="AL1340" s="3" t="s">
        <v>59</v>
      </c>
      <c r="AQ1340" s="18" t="s">
        <v>61</v>
      </c>
    </row>
    <row r="1341" spans="1:43" ht="30" customHeight="1">
      <c r="A1341" s="3" t="s">
        <v>44</v>
      </c>
      <c r="B1341" s="3" t="s">
        <v>45</v>
      </c>
      <c r="G1341" t="s">
        <v>2484</v>
      </c>
      <c r="H1341" s="4">
        <f>IF(DATEDIF(L1341,S1341,"m")&gt;12,DATEDIF(L1341,S1341,"y"),(DATEDIF(L1341,S1341,"m")/12))</f>
        <v>8</v>
      </c>
      <c r="I1341" s="7">
        <f>DATEDIF(L1341,S1341,"M")</f>
        <v>102</v>
      </c>
      <c r="J1341" s="7">
        <f>DATEDIF(L1341,S1341,"D")</f>
        <v>3133</v>
      </c>
      <c r="K1341" t="s">
        <v>64</v>
      </c>
      <c r="L1341" s="21">
        <v>41904</v>
      </c>
      <c r="M1341" s="18" t="s">
        <v>45</v>
      </c>
      <c r="N1341" t="s">
        <v>164</v>
      </c>
      <c r="O1341" t="s">
        <v>52</v>
      </c>
      <c r="P1341" t="s">
        <v>169</v>
      </c>
      <c r="R1341" s="21">
        <v>45038</v>
      </c>
      <c r="S1341" s="21">
        <v>45037</v>
      </c>
      <c r="T1341" s="3" t="s">
        <v>54</v>
      </c>
      <c r="U1341" s="18" t="s">
        <v>55</v>
      </c>
      <c r="Z1341">
        <v>4</v>
      </c>
      <c r="AA1341" s="7">
        <f>INT((S1341-DATE(YEAR(S1341-WEEKDAY(S1341-0)+4),1,4)+WEEKDAY(DATE(YEAR(S1341-WEEKDAY(S1341-0)+4),1,4))+6)/7)</f>
        <v>16</v>
      </c>
      <c r="AB1341" t="s">
        <v>2485</v>
      </c>
      <c r="AG1341" s="7">
        <v>2023</v>
      </c>
      <c r="AH1341" t="s">
        <v>2457</v>
      </c>
      <c r="AK1341" t="s">
        <v>2486</v>
      </c>
      <c r="AL1341" s="3" t="s">
        <v>59</v>
      </c>
      <c r="AQ1341" s="18" t="s">
        <v>61</v>
      </c>
    </row>
    <row r="1342" spans="1:43" ht="30" customHeight="1">
      <c r="A1342" s="3" t="s">
        <v>44</v>
      </c>
      <c r="B1342" s="3" t="s">
        <v>45</v>
      </c>
      <c r="G1342" t="s">
        <v>2487</v>
      </c>
      <c r="H1342" s="4">
        <f>IF(DATEDIF(L1342,S1342,"m")&gt;12,DATEDIF(L1342,S1342,"y"),(DATEDIF(L1342,S1342,"m")/12))</f>
        <v>10</v>
      </c>
      <c r="I1342" s="7">
        <f>DATEDIF(L1342,S1342,"M")</f>
        <v>126</v>
      </c>
      <c r="J1342" s="7">
        <f>DATEDIF(L1342,S1342,"D")</f>
        <v>3862</v>
      </c>
      <c r="K1342" t="s">
        <v>64</v>
      </c>
      <c r="L1342" s="21">
        <v>41175</v>
      </c>
      <c r="M1342" s="18" t="s">
        <v>45</v>
      </c>
      <c r="N1342" t="s">
        <v>159</v>
      </c>
      <c r="O1342" t="s">
        <v>52</v>
      </c>
      <c r="P1342" t="s">
        <v>1163</v>
      </c>
      <c r="R1342" s="21">
        <v>45038</v>
      </c>
      <c r="S1342" s="21">
        <v>45037</v>
      </c>
      <c r="T1342" s="3" t="s">
        <v>54</v>
      </c>
      <c r="U1342" s="18" t="s">
        <v>55</v>
      </c>
      <c r="Z1342">
        <v>4</v>
      </c>
      <c r="AA1342" s="7">
        <f>INT((S1342-DATE(YEAR(S1342-WEEKDAY(S1342-0)+4),1,4)+WEEKDAY(DATE(YEAR(S1342-WEEKDAY(S1342-0)+4),1,4))+6)/7)</f>
        <v>16</v>
      </c>
      <c r="AB1342" t="s">
        <v>2488</v>
      </c>
      <c r="AG1342" s="7">
        <v>2023</v>
      </c>
      <c r="AH1342" t="s">
        <v>2457</v>
      </c>
      <c r="AK1342" t="s">
        <v>2489</v>
      </c>
      <c r="AL1342" s="3" t="s">
        <v>59</v>
      </c>
      <c r="AQ1342" s="18" t="s">
        <v>61</v>
      </c>
    </row>
    <row r="1343" spans="1:43" ht="30" customHeight="1">
      <c r="A1343" s="3" t="s">
        <v>44</v>
      </c>
      <c r="B1343" s="3" t="s">
        <v>45</v>
      </c>
      <c r="G1343" t="s">
        <v>2490</v>
      </c>
      <c r="H1343" s="4">
        <f>IF(DATEDIF(L1343,S1343,"m")&gt;12,DATEDIF(L1343,S1343,"y"),(DATEDIF(L1343,S1343,"m")/12))</f>
        <v>28</v>
      </c>
      <c r="I1343" s="7">
        <f>DATEDIF(L1343,S1343,"M")</f>
        <v>343</v>
      </c>
      <c r="J1343" s="7">
        <f>DATEDIF(L1343,S1343,"D")</f>
        <v>10468</v>
      </c>
      <c r="K1343" t="s">
        <v>64</v>
      </c>
      <c r="L1343" s="21">
        <v>34569</v>
      </c>
      <c r="M1343" s="18" t="s">
        <v>45</v>
      </c>
      <c r="N1343" t="s">
        <v>329</v>
      </c>
      <c r="O1343" t="s">
        <v>52</v>
      </c>
      <c r="P1343" t="s">
        <v>2491</v>
      </c>
      <c r="R1343" s="21">
        <v>45038</v>
      </c>
      <c r="S1343" s="21">
        <v>45037</v>
      </c>
      <c r="T1343" s="3" t="s">
        <v>54</v>
      </c>
      <c r="U1343" s="18" t="s">
        <v>55</v>
      </c>
      <c r="Z1343">
        <v>4</v>
      </c>
      <c r="AA1343" s="7">
        <f>INT((S1343-DATE(YEAR(S1343-WEEKDAY(S1343-0)+4),1,4)+WEEKDAY(DATE(YEAR(S1343-WEEKDAY(S1343-0)+4),1,4))+6)/7)</f>
        <v>16</v>
      </c>
      <c r="AB1343" t="s">
        <v>2492</v>
      </c>
      <c r="AG1343" s="7">
        <v>2023</v>
      </c>
      <c r="AH1343" t="s">
        <v>2457</v>
      </c>
      <c r="AK1343" t="s">
        <v>2481</v>
      </c>
      <c r="AL1343" s="3" t="s">
        <v>59</v>
      </c>
      <c r="AQ1343" s="18" t="s">
        <v>61</v>
      </c>
    </row>
    <row r="1344" spans="1:43" ht="30" customHeight="1">
      <c r="A1344" s="3" t="s">
        <v>44</v>
      </c>
      <c r="B1344" s="3" t="s">
        <v>45</v>
      </c>
      <c r="G1344" t="s">
        <v>2493</v>
      </c>
      <c r="H1344" s="4">
        <f>IF(DATEDIF(L1344,S1344,"m")&gt;12,DATEDIF(L1344,S1344,"y"),(DATEDIF(L1344,S1344,"m")/12))</f>
        <v>20</v>
      </c>
      <c r="I1344" s="7">
        <f>DATEDIF(L1344,S1344,"M")</f>
        <v>243</v>
      </c>
      <c r="J1344" s="7">
        <f>DATEDIF(L1344,S1344,"D")</f>
        <v>7401</v>
      </c>
      <c r="K1344" t="s">
        <v>51</v>
      </c>
      <c r="L1344" s="21">
        <v>37636</v>
      </c>
      <c r="M1344" s="18" t="s">
        <v>45</v>
      </c>
      <c r="N1344" t="s">
        <v>329</v>
      </c>
      <c r="O1344" t="s">
        <v>52</v>
      </c>
      <c r="P1344" t="s">
        <v>74</v>
      </c>
      <c r="R1344" s="21">
        <v>45038</v>
      </c>
      <c r="S1344" s="21">
        <v>45037</v>
      </c>
      <c r="T1344" s="3" t="s">
        <v>54</v>
      </c>
      <c r="U1344" s="18" t="s">
        <v>55</v>
      </c>
      <c r="Z1344">
        <v>4</v>
      </c>
      <c r="AA1344" s="7">
        <f>INT((S1344-DATE(YEAR(S1344-WEEKDAY(S1344-0)+4),1,4)+WEEKDAY(DATE(YEAR(S1344-WEEKDAY(S1344-0)+4),1,4))+6)/7)</f>
        <v>16</v>
      </c>
      <c r="AB1344" t="s">
        <v>2494</v>
      </c>
      <c r="AG1344" s="7">
        <v>2023</v>
      </c>
      <c r="AH1344" t="s">
        <v>2457</v>
      </c>
      <c r="AK1344" t="s">
        <v>2481</v>
      </c>
      <c r="AL1344" s="3" t="s">
        <v>59</v>
      </c>
      <c r="AQ1344" s="18" t="s">
        <v>61</v>
      </c>
    </row>
    <row r="1345" spans="1:43" ht="30" customHeight="1">
      <c r="A1345" s="3" t="s">
        <v>44</v>
      </c>
      <c r="B1345" s="3" t="s">
        <v>45</v>
      </c>
      <c r="G1345" t="s">
        <v>2495</v>
      </c>
      <c r="H1345" s="4">
        <f>IF(DATEDIF(L1345,S1345,"m")&gt;12,DATEDIF(L1345,S1345,"y"),(DATEDIF(L1345,S1345,"m")/12))</f>
        <v>4</v>
      </c>
      <c r="I1345" s="7">
        <f>DATEDIF(L1345,S1345,"M")</f>
        <v>50</v>
      </c>
      <c r="J1345" s="7">
        <f>DATEDIF(L1345,S1345,"D")</f>
        <v>1533</v>
      </c>
      <c r="K1345" t="s">
        <v>51</v>
      </c>
      <c r="L1345" s="21">
        <v>43498</v>
      </c>
      <c r="M1345" s="18" t="s">
        <v>45</v>
      </c>
      <c r="N1345" t="s">
        <v>83</v>
      </c>
      <c r="O1345" t="s">
        <v>52</v>
      </c>
      <c r="P1345" t="s">
        <v>2496</v>
      </c>
      <c r="R1345" s="21">
        <v>45034</v>
      </c>
      <c r="S1345" s="21">
        <v>45031</v>
      </c>
      <c r="T1345" s="3" t="s">
        <v>54</v>
      </c>
      <c r="U1345" s="18" t="s">
        <v>55</v>
      </c>
      <c r="Z1345">
        <v>4</v>
      </c>
      <c r="AA1345" s="7">
        <f>INT((S1345-DATE(YEAR(S1345-WEEKDAY(S1345-0)+4),1,4)+WEEKDAY(DATE(YEAR(S1345-WEEKDAY(S1345-0)+4),1,4))+6)/7)</f>
        <v>15</v>
      </c>
      <c r="AB1345" t="s">
        <v>2497</v>
      </c>
      <c r="AG1345" s="7">
        <v>2023</v>
      </c>
      <c r="AH1345" t="s">
        <v>2465</v>
      </c>
      <c r="AK1345" t="s">
        <v>2498</v>
      </c>
      <c r="AL1345" s="3" t="s">
        <v>59</v>
      </c>
      <c r="AQ1345" s="18" t="s">
        <v>61</v>
      </c>
    </row>
    <row r="1346" spans="1:43" ht="30" customHeight="1">
      <c r="A1346" s="3" t="s">
        <v>44</v>
      </c>
      <c r="B1346" s="3" t="s">
        <v>45</v>
      </c>
      <c r="G1346">
        <v>399</v>
      </c>
      <c r="H1346" s="4">
        <f>IF(DATEDIF(L1346,S1346,"m")&gt;12,DATEDIF(L1346,S1346,"y"),(DATEDIF(L1346,S1346,"m")/12))</f>
        <v>3</v>
      </c>
      <c r="I1346" s="7">
        <f>DATEDIF(L1346,S1346,"M")</f>
        <v>38</v>
      </c>
      <c r="J1346" s="7">
        <f>DATEDIF(L1346,S1346,"D")</f>
        <v>1165</v>
      </c>
      <c r="K1346" t="s">
        <v>51</v>
      </c>
      <c r="L1346" s="1">
        <v>43882</v>
      </c>
      <c r="M1346" s="18" t="s">
        <v>45</v>
      </c>
      <c r="N1346" t="s">
        <v>73</v>
      </c>
      <c r="O1346" t="s">
        <v>52</v>
      </c>
      <c r="P1346" t="s">
        <v>2502</v>
      </c>
      <c r="R1346" s="1">
        <v>45051</v>
      </c>
      <c r="S1346" s="1">
        <v>45047</v>
      </c>
      <c r="T1346" s="3" t="s">
        <v>54</v>
      </c>
      <c r="U1346" t="s">
        <v>55</v>
      </c>
      <c r="Z1346">
        <v>5</v>
      </c>
      <c r="AA1346" s="7">
        <f>INT((S1346-DATE(YEAR(S1346-WEEKDAY(S1346-0)+4),1,4)+WEEKDAY(DATE(YEAR(S1346-WEEKDAY(S1346-0)+4),1,4))+6)/7)</f>
        <v>18</v>
      </c>
      <c r="AB1346" t="s">
        <v>2503</v>
      </c>
      <c r="AG1346" s="7">
        <v>2023</v>
      </c>
      <c r="AH1346" t="s">
        <v>2504</v>
      </c>
      <c r="AL1346" s="3" t="s">
        <v>59</v>
      </c>
    </row>
    <row r="1347" spans="1:43" ht="30" customHeight="1">
      <c r="A1347" s="3" t="s">
        <v>44</v>
      </c>
      <c r="B1347" s="3" t="s">
        <v>45</v>
      </c>
      <c r="G1347">
        <v>12413</v>
      </c>
      <c r="H1347" s="4">
        <f>IF(DATEDIF(L1347,S1347,"m")&gt;12,DATEDIF(L1347,S1347,"y"),(DATEDIF(L1347,S1347,"m")/12))</f>
        <v>55</v>
      </c>
      <c r="I1347" s="7">
        <f>DATEDIF(L1347,S1347,"M")</f>
        <v>665</v>
      </c>
      <c r="J1347" s="7">
        <f>DATEDIF(L1347,S1347,"D")</f>
        <v>20257</v>
      </c>
      <c r="K1347" t="s">
        <v>51</v>
      </c>
      <c r="L1347" s="1">
        <v>24788</v>
      </c>
      <c r="M1347" s="18" t="s">
        <v>45</v>
      </c>
      <c r="N1347" t="s">
        <v>101</v>
      </c>
      <c r="O1347" t="s">
        <v>52</v>
      </c>
      <c r="P1347" t="s">
        <v>1739</v>
      </c>
      <c r="R1347" s="1">
        <v>45046</v>
      </c>
      <c r="S1347" s="1">
        <v>45045</v>
      </c>
      <c r="T1347" s="3" t="s">
        <v>54</v>
      </c>
      <c r="U1347" t="s">
        <v>55</v>
      </c>
      <c r="Z1347">
        <v>4</v>
      </c>
      <c r="AA1347" s="7">
        <f>INT((S1347-DATE(YEAR(S1347-WEEKDAY(S1347-0)+4),1,4)+WEEKDAY(DATE(YEAR(S1347-WEEKDAY(S1347-0)+4),1,4))+6)/7)</f>
        <v>17</v>
      </c>
      <c r="AB1347" t="s">
        <v>2505</v>
      </c>
      <c r="AG1347" s="7">
        <v>2023</v>
      </c>
      <c r="AH1347" t="s">
        <v>105</v>
      </c>
      <c r="AL1347" s="3" t="s">
        <v>59</v>
      </c>
    </row>
    <row r="1348" spans="1:43" ht="30" customHeight="1">
      <c r="A1348" s="3" t="s">
        <v>44</v>
      </c>
      <c r="B1348" s="3" t="s">
        <v>45</v>
      </c>
      <c r="G1348" t="s">
        <v>2506</v>
      </c>
      <c r="H1348" s="5">
        <f>IF(DATEDIF(L1348,S1348,"m")&gt;12,DATEDIF(L1348,S1348,"y"),(DATEDIF(L1348,S1348,"m")/12))</f>
        <v>0.58333333333333337</v>
      </c>
      <c r="I1348" s="7">
        <f>DATEDIF(L1348,S1348,"M")</f>
        <v>7</v>
      </c>
      <c r="J1348" s="7">
        <f>DATEDIF(L1348,S1348,"D")</f>
        <v>235</v>
      </c>
      <c r="K1348" t="s">
        <v>51</v>
      </c>
      <c r="L1348" s="1">
        <v>44810</v>
      </c>
      <c r="M1348" s="18" t="s">
        <v>45</v>
      </c>
      <c r="N1348" t="s">
        <v>101</v>
      </c>
      <c r="O1348" t="s">
        <v>52</v>
      </c>
      <c r="P1348" t="s">
        <v>2507</v>
      </c>
      <c r="R1348" s="1">
        <v>45052</v>
      </c>
      <c r="S1348" s="1">
        <v>45045</v>
      </c>
      <c r="T1348" s="3" t="s">
        <v>464</v>
      </c>
      <c r="U1348" t="s">
        <v>55</v>
      </c>
      <c r="Z1348">
        <v>4</v>
      </c>
      <c r="AA1348" s="7">
        <f>INT((S1348-DATE(YEAR(S1348-WEEKDAY(S1348-0)+4),1,4)+WEEKDAY(DATE(YEAR(S1348-WEEKDAY(S1348-0)+4),1,4))+6)/7)</f>
        <v>17</v>
      </c>
      <c r="AB1348" t="s">
        <v>2508</v>
      </c>
      <c r="AG1348" s="7">
        <v>2023</v>
      </c>
      <c r="AH1348" t="s">
        <v>2509</v>
      </c>
      <c r="AL1348" s="3" t="s">
        <v>59</v>
      </c>
    </row>
    <row r="1349" spans="1:43" ht="30" customHeight="1">
      <c r="A1349" s="3" t="s">
        <v>44</v>
      </c>
      <c r="B1349" s="3" t="s">
        <v>45</v>
      </c>
      <c r="G1349">
        <v>10303976</v>
      </c>
      <c r="H1349" s="4">
        <f>IF(DATEDIF(L1349,S1349,"m")&gt;12,DATEDIF(L1349,S1349,"y"),(DATEDIF(L1349,S1349,"m")/12))</f>
        <v>3</v>
      </c>
      <c r="I1349" s="7">
        <f>DATEDIF(L1349,S1349,"M")</f>
        <v>36</v>
      </c>
      <c r="J1349" s="7">
        <f>DATEDIF(L1349,S1349,"D")</f>
        <v>1118</v>
      </c>
      <c r="K1349" t="s">
        <v>64</v>
      </c>
      <c r="L1349" s="1">
        <v>43933</v>
      </c>
      <c r="M1349" s="18" t="s">
        <v>45</v>
      </c>
      <c r="N1349" t="s">
        <v>65</v>
      </c>
      <c r="O1349" t="s">
        <v>52</v>
      </c>
      <c r="P1349" t="s">
        <v>2510</v>
      </c>
      <c r="R1349" s="1">
        <v>45057</v>
      </c>
      <c r="S1349" s="1">
        <v>45051</v>
      </c>
      <c r="T1349" s="3" t="s">
        <v>54</v>
      </c>
      <c r="U1349" t="s">
        <v>55</v>
      </c>
      <c r="Z1349">
        <v>5</v>
      </c>
      <c r="AA1349" s="7">
        <f>INT((S1349-DATE(YEAR(S1349-WEEKDAY(S1349-0)+4),1,4)+WEEKDAY(DATE(YEAR(S1349-WEEKDAY(S1349-0)+4),1,4))+6)/7)</f>
        <v>18</v>
      </c>
      <c r="AB1349" t="s">
        <v>2511</v>
      </c>
      <c r="AG1349" s="7">
        <v>2023</v>
      </c>
      <c r="AH1349" t="s">
        <v>105</v>
      </c>
      <c r="AL1349" s="3" t="s">
        <v>59</v>
      </c>
    </row>
    <row r="1350" spans="1:43" ht="30" customHeight="1">
      <c r="A1350" s="3" t="s">
        <v>44</v>
      </c>
      <c r="B1350" s="3" t="s">
        <v>45</v>
      </c>
      <c r="G1350">
        <v>10304649</v>
      </c>
      <c r="H1350" s="5">
        <f>IF(DATEDIF(L1350,S1350,"m")&gt;12,DATEDIF(L1350,S1350,"y"),(DATEDIF(L1350,S1350,"m")/12))</f>
        <v>0.58333333333333337</v>
      </c>
      <c r="I1350" s="7">
        <f>DATEDIF(L1350,S1350,"M")</f>
        <v>7</v>
      </c>
      <c r="J1350" s="7">
        <f>DATEDIF(L1350,S1350,"D")</f>
        <v>222</v>
      </c>
      <c r="K1350" t="s">
        <v>51</v>
      </c>
      <c r="L1350" s="1">
        <v>44831</v>
      </c>
      <c r="M1350" s="18" t="s">
        <v>45</v>
      </c>
      <c r="N1350" t="s">
        <v>65</v>
      </c>
      <c r="O1350" t="s">
        <v>52</v>
      </c>
      <c r="P1350" t="s">
        <v>2512</v>
      </c>
      <c r="R1350" s="1">
        <v>45056</v>
      </c>
      <c r="S1350" s="1">
        <v>45053</v>
      </c>
      <c r="T1350" s="3" t="s">
        <v>54</v>
      </c>
      <c r="U1350" t="s">
        <v>55</v>
      </c>
      <c r="Z1350">
        <v>5</v>
      </c>
      <c r="AA1350" s="7">
        <f>INT((S1350-DATE(YEAR(S1350-WEEKDAY(S1350-0)+4),1,4)+WEEKDAY(DATE(YEAR(S1350-WEEKDAY(S1350-0)+4),1,4))+6)/7)</f>
        <v>19</v>
      </c>
      <c r="AG1350" s="7">
        <v>2023</v>
      </c>
      <c r="AH1350" t="s">
        <v>105</v>
      </c>
      <c r="AL1350" s="3" t="s">
        <v>59</v>
      </c>
    </row>
    <row r="1351" spans="1:43" ht="30" customHeight="1">
      <c r="A1351" s="3" t="s">
        <v>44</v>
      </c>
      <c r="B1351" s="3" t="s">
        <v>45</v>
      </c>
      <c r="G1351">
        <v>9362</v>
      </c>
      <c r="H1351" s="4">
        <f>IF(DATEDIF(L1351,S1351,"m")&gt;12,DATEDIF(L1351,S1351,"y"),(DATEDIF(L1351,S1351,"m")/12))</f>
        <v>6</v>
      </c>
      <c r="I1351" s="7">
        <f>DATEDIF(L1351,S1351,"M")</f>
        <v>72</v>
      </c>
      <c r="J1351" s="7">
        <f>DATEDIF(L1351,S1351,"D")</f>
        <v>2221</v>
      </c>
      <c r="K1351" t="s">
        <v>51</v>
      </c>
      <c r="L1351" s="1">
        <v>42824</v>
      </c>
      <c r="M1351" s="18" t="s">
        <v>45</v>
      </c>
      <c r="N1351" t="s">
        <v>101</v>
      </c>
      <c r="O1351" t="s">
        <v>52</v>
      </c>
      <c r="P1351" t="s">
        <v>2513</v>
      </c>
      <c r="R1351" s="1">
        <v>45046</v>
      </c>
      <c r="S1351" s="1">
        <v>45045</v>
      </c>
      <c r="T1351" s="3" t="s">
        <v>54</v>
      </c>
      <c r="U1351" t="s">
        <v>55</v>
      </c>
      <c r="Z1351">
        <v>4</v>
      </c>
      <c r="AA1351" s="7">
        <f>INT((S1351-DATE(YEAR(S1351-WEEKDAY(S1351-0)+4),1,4)+WEEKDAY(DATE(YEAR(S1351-WEEKDAY(S1351-0)+4),1,4))+6)/7)</f>
        <v>17</v>
      </c>
      <c r="AG1351" s="7">
        <v>2023</v>
      </c>
      <c r="AH1351" t="s">
        <v>223</v>
      </c>
      <c r="AL1351" s="3" t="s">
        <v>59</v>
      </c>
    </row>
    <row r="1352" spans="1:43" ht="30" customHeight="1">
      <c r="A1352" s="3" t="s">
        <v>44</v>
      </c>
      <c r="B1352" s="3" t="s">
        <v>45</v>
      </c>
      <c r="G1352">
        <v>10304675</v>
      </c>
      <c r="H1352" s="5">
        <f>IF(DATEDIF(L1352,S1352,"m")&gt;12,DATEDIF(L1352,S1352,"y"),(DATEDIF(L1352,S1352,"m")/12))</f>
        <v>0.33333333333333331</v>
      </c>
      <c r="I1352" s="7">
        <f>DATEDIF(L1352,S1352,"M")</f>
        <v>4</v>
      </c>
      <c r="J1352" s="7">
        <f>DATEDIF(L1352,S1352,"D")</f>
        <v>120</v>
      </c>
      <c r="K1352" t="s">
        <v>51</v>
      </c>
      <c r="L1352" s="1">
        <v>44936</v>
      </c>
      <c r="M1352" s="18" t="s">
        <v>45</v>
      </c>
      <c r="N1352" t="s">
        <v>101</v>
      </c>
      <c r="O1352" t="s">
        <v>52</v>
      </c>
      <c r="P1352" t="s">
        <v>1739</v>
      </c>
      <c r="R1352" s="1">
        <v>45058</v>
      </c>
      <c r="S1352" s="1">
        <v>45056</v>
      </c>
      <c r="T1352" s="3" t="s">
        <v>54</v>
      </c>
      <c r="U1352" t="s">
        <v>55</v>
      </c>
      <c r="Z1352">
        <v>5</v>
      </c>
      <c r="AA1352" s="7">
        <f>INT((S1352-DATE(YEAR(S1352-WEEKDAY(S1352-0)+4),1,4)+WEEKDAY(DATE(YEAR(S1352-WEEKDAY(S1352-0)+4),1,4))+6)/7)</f>
        <v>19</v>
      </c>
      <c r="AG1352" s="7">
        <v>2023</v>
      </c>
      <c r="AH1352" t="s">
        <v>105</v>
      </c>
      <c r="AL1352" s="3" t="s">
        <v>59</v>
      </c>
    </row>
    <row r="1353" spans="1:43" ht="30" customHeight="1">
      <c r="A1353" s="3" t="s">
        <v>44</v>
      </c>
      <c r="B1353" s="3" t="s">
        <v>45</v>
      </c>
      <c r="G1353" t="s">
        <v>2514</v>
      </c>
      <c r="H1353" s="4">
        <f>IF(DATEDIF(L1353,S1353,"m")&gt;12,DATEDIF(L1353,S1353,"y"),(DATEDIF(L1353,S1353,"m")/12))</f>
        <v>1</v>
      </c>
      <c r="I1353" s="7">
        <f>DATEDIF(L1353,S1353,"M")</f>
        <v>18</v>
      </c>
      <c r="J1353" s="7">
        <f>DATEDIF(L1353,S1353,"D")</f>
        <v>575</v>
      </c>
      <c r="K1353" t="s">
        <v>51</v>
      </c>
      <c r="L1353" s="1">
        <v>44474</v>
      </c>
      <c r="M1353" s="18" t="s">
        <v>45</v>
      </c>
      <c r="N1353" t="s">
        <v>83</v>
      </c>
      <c r="O1353" t="s">
        <v>52</v>
      </c>
      <c r="P1353" t="s">
        <v>2472</v>
      </c>
      <c r="R1353" s="1">
        <v>45052</v>
      </c>
      <c r="S1353" s="1">
        <v>45049</v>
      </c>
      <c r="T1353" s="3" t="s">
        <v>54</v>
      </c>
      <c r="U1353" t="s">
        <v>55</v>
      </c>
      <c r="Z1353">
        <v>5</v>
      </c>
      <c r="AA1353" s="7">
        <f>INT((S1353-DATE(YEAR(S1353-WEEKDAY(S1353-0)+4),1,4)+WEEKDAY(DATE(YEAR(S1353-WEEKDAY(S1353-0)+4),1,4))+6)/7)</f>
        <v>18</v>
      </c>
      <c r="AG1353" s="7">
        <v>2023</v>
      </c>
      <c r="AH1353" t="s">
        <v>2515</v>
      </c>
      <c r="AL1353" s="3" t="s">
        <v>59</v>
      </c>
    </row>
    <row r="1354" spans="1:43" ht="30" customHeight="1">
      <c r="A1354" s="3" t="s">
        <v>44</v>
      </c>
      <c r="B1354" s="3" t="s">
        <v>45</v>
      </c>
      <c r="G1354">
        <v>396</v>
      </c>
      <c r="H1354" s="4">
        <f>IF(DATEDIF(L1354,S1354,"m")&gt;12,DATEDIF(L1354,S1354,"y"),(DATEDIF(L1354,S1354,"m")/12))</f>
        <v>1</v>
      </c>
      <c r="I1354" s="7">
        <f>DATEDIF(L1354,S1354,"M")</f>
        <v>17</v>
      </c>
      <c r="J1354" s="7">
        <f>DATEDIF(L1354,S1354,"D")</f>
        <v>525</v>
      </c>
      <c r="K1354" t="s">
        <v>64</v>
      </c>
      <c r="L1354" s="1">
        <v>44522</v>
      </c>
      <c r="M1354" s="18" t="s">
        <v>45</v>
      </c>
      <c r="N1354" t="s">
        <v>73</v>
      </c>
      <c r="O1354" t="s">
        <v>52</v>
      </c>
      <c r="P1354" t="s">
        <v>2520</v>
      </c>
      <c r="R1354" s="1">
        <v>45048</v>
      </c>
      <c r="S1354" s="1">
        <v>45047</v>
      </c>
      <c r="T1354" s="3" t="s">
        <v>54</v>
      </c>
      <c r="U1354" t="s">
        <v>55</v>
      </c>
      <c r="Z1354">
        <v>5</v>
      </c>
      <c r="AA1354" s="7">
        <f>INT((S1354-DATE(YEAR(S1354-WEEKDAY(S1354-0)+4),1,4)+WEEKDAY(DATE(YEAR(S1354-WEEKDAY(S1354-0)+4),1,4))+6)/7)</f>
        <v>18</v>
      </c>
      <c r="AG1354" s="7">
        <v>2023</v>
      </c>
      <c r="AH1354" t="s">
        <v>2504</v>
      </c>
      <c r="AL1354" s="3" t="s">
        <v>59</v>
      </c>
    </row>
    <row r="1355" spans="1:43" ht="30" customHeight="1">
      <c r="A1355" s="3" t="s">
        <v>44</v>
      </c>
      <c r="B1355" s="3" t="s">
        <v>45</v>
      </c>
      <c r="G1355">
        <v>27893</v>
      </c>
      <c r="H1355" s="4">
        <f>IF(DATEDIF(L1355,S1355,"m")&gt;12,DATEDIF(L1355,S1355,"y"),(DATEDIF(L1355,S1355,"m")/12))</f>
        <v>3</v>
      </c>
      <c r="I1355" s="7">
        <f>DATEDIF(L1355,S1355,"M")</f>
        <v>38</v>
      </c>
      <c r="J1355" s="7">
        <f>DATEDIF(L1355,S1355,"D")</f>
        <v>1173</v>
      </c>
      <c r="K1355" t="s">
        <v>64</v>
      </c>
      <c r="L1355" s="1">
        <v>43869</v>
      </c>
      <c r="M1355" s="18" t="s">
        <v>45</v>
      </c>
      <c r="N1355" t="s">
        <v>65</v>
      </c>
      <c r="O1355" t="s">
        <v>52</v>
      </c>
      <c r="P1355" t="s">
        <v>2521</v>
      </c>
      <c r="R1355" s="1">
        <v>45046</v>
      </c>
      <c r="S1355" s="1">
        <v>45042</v>
      </c>
      <c r="T1355" s="3" t="s">
        <v>54</v>
      </c>
      <c r="U1355" t="s">
        <v>55</v>
      </c>
      <c r="Z1355">
        <v>4</v>
      </c>
      <c r="AA1355" s="7">
        <f>INT((S1355-DATE(YEAR(S1355-WEEKDAY(S1355-0)+4),1,4)+WEEKDAY(DATE(YEAR(S1355-WEEKDAY(S1355-0)+4),1,4))+6)/7)</f>
        <v>17</v>
      </c>
      <c r="AG1355" s="7">
        <v>2023</v>
      </c>
      <c r="AH1355" t="s">
        <v>223</v>
      </c>
      <c r="AL1355" s="3" t="s">
        <v>59</v>
      </c>
    </row>
    <row r="1356" spans="1:43" ht="30" customHeight="1">
      <c r="A1356" s="3" t="s">
        <v>44</v>
      </c>
      <c r="B1356" s="3" t="s">
        <v>45</v>
      </c>
      <c r="G1356">
        <v>397</v>
      </c>
      <c r="H1356" s="4">
        <f>IF(DATEDIF(L1356,S1356,"m")&gt;12,DATEDIF(L1356,S1356,"y"),(DATEDIF(L1356,S1356,"m")/12))</f>
        <v>49</v>
      </c>
      <c r="I1356" s="7">
        <f>DATEDIF(L1356,S1356,"M")</f>
        <v>596</v>
      </c>
      <c r="J1356" s="7">
        <f>DATEDIF(L1356,S1356,"D")</f>
        <v>18155</v>
      </c>
      <c r="K1356" t="s">
        <v>51</v>
      </c>
      <c r="L1356" s="1">
        <v>26893</v>
      </c>
      <c r="M1356" s="18" t="s">
        <v>45</v>
      </c>
      <c r="N1356" t="s">
        <v>73</v>
      </c>
      <c r="O1356" t="s">
        <v>52</v>
      </c>
      <c r="P1356" t="s">
        <v>2522</v>
      </c>
      <c r="R1356" s="1">
        <v>45049</v>
      </c>
      <c r="S1356" s="1">
        <v>45048</v>
      </c>
      <c r="T1356" s="3" t="s">
        <v>54</v>
      </c>
      <c r="U1356" t="s">
        <v>55</v>
      </c>
      <c r="Z1356">
        <v>5</v>
      </c>
      <c r="AA1356" s="7">
        <f>INT((S1356-DATE(YEAR(S1356-WEEKDAY(S1356-0)+4),1,4)+WEEKDAY(DATE(YEAR(S1356-WEEKDAY(S1356-0)+4),1,4))+6)/7)</f>
        <v>18</v>
      </c>
      <c r="AG1356" s="7">
        <v>2023</v>
      </c>
      <c r="AH1356" t="s">
        <v>2504</v>
      </c>
      <c r="AL1356" s="3" t="s">
        <v>59</v>
      </c>
    </row>
    <row r="1357" spans="1:43" ht="30" customHeight="1">
      <c r="A1357" s="3" t="s">
        <v>44</v>
      </c>
      <c r="B1357" s="3" t="s">
        <v>45</v>
      </c>
      <c r="G1357">
        <v>398</v>
      </c>
      <c r="H1357" s="5">
        <f>IF(DATEDIF(L1357,S1357,"m")&gt;12,DATEDIF(L1357,S1357,"y"),(DATEDIF(L1357,S1357,"m")/12))</f>
        <v>0.75</v>
      </c>
      <c r="I1357" s="7">
        <f>DATEDIF(L1357,S1357,"M")</f>
        <v>9</v>
      </c>
      <c r="J1357" s="7">
        <f>DATEDIF(L1357,S1357,"D")</f>
        <v>278</v>
      </c>
      <c r="K1357" t="s">
        <v>64</v>
      </c>
      <c r="L1357" s="1">
        <v>44769</v>
      </c>
      <c r="M1357" s="18" t="s">
        <v>45</v>
      </c>
      <c r="N1357" t="s">
        <v>73</v>
      </c>
      <c r="O1357" t="s">
        <v>52</v>
      </c>
      <c r="P1357" t="s">
        <v>2523</v>
      </c>
      <c r="R1357" s="1">
        <v>45049</v>
      </c>
      <c r="S1357" s="1">
        <v>45047</v>
      </c>
      <c r="T1357" s="3" t="s">
        <v>54</v>
      </c>
      <c r="U1357" t="s">
        <v>55</v>
      </c>
      <c r="Z1357">
        <v>5</v>
      </c>
      <c r="AA1357" s="7">
        <f>INT((S1357-DATE(YEAR(S1357-WEEKDAY(S1357-0)+4),1,4)+WEEKDAY(DATE(YEAR(S1357-WEEKDAY(S1357-0)+4),1,4))+6)/7)</f>
        <v>18</v>
      </c>
      <c r="AG1357" s="7">
        <v>2023</v>
      </c>
      <c r="AH1357" t="s">
        <v>2504</v>
      </c>
      <c r="AL1357" s="3" t="s">
        <v>59</v>
      </c>
    </row>
    <row r="1358" spans="1:43" ht="30" customHeight="1">
      <c r="A1358" s="3" t="s">
        <v>44</v>
      </c>
      <c r="B1358" s="3" t="s">
        <v>45</v>
      </c>
      <c r="G1358">
        <v>27952</v>
      </c>
      <c r="H1358" s="4">
        <f t="shared" ref="H1329:H1360" si="3">IF(DATEDIF(L1358,S1358,"m")&gt;12,DATEDIF(L1358,S1358,"y"),(DATEDIF(L1358,S1358,"m")/12))</f>
        <v>16</v>
      </c>
      <c r="I1358" s="7">
        <f t="shared" ref="I1340:I1371" si="4">DATEDIF(L1358,S1358,"M")</f>
        <v>201</v>
      </c>
      <c r="J1358" s="7">
        <f t="shared" ref="J1340:J1371" si="5">DATEDIF(L1358,S1358,"D")</f>
        <v>6137</v>
      </c>
      <c r="K1358" t="s">
        <v>51</v>
      </c>
      <c r="L1358" s="1">
        <v>38910</v>
      </c>
      <c r="M1358" s="18" t="s">
        <v>45</v>
      </c>
      <c r="N1358" t="s">
        <v>101</v>
      </c>
      <c r="O1358" t="s">
        <v>52</v>
      </c>
      <c r="P1358" t="s">
        <v>2472</v>
      </c>
      <c r="R1358" s="1">
        <v>45050</v>
      </c>
      <c r="S1358" s="1">
        <v>45047</v>
      </c>
      <c r="T1358" s="3" t="s">
        <v>54</v>
      </c>
      <c r="U1358" t="s">
        <v>55</v>
      </c>
      <c r="Z1358">
        <v>5</v>
      </c>
      <c r="AA1358" s="7">
        <f t="shared" ref="AA1346:AA1409" si="6">INT((S1358-DATE(YEAR(S1358-WEEKDAY(S1358-0)+4),1,4)+WEEKDAY(DATE(YEAR(S1358-WEEKDAY(S1358-0)+4),1,4))+6)/7)</f>
        <v>18</v>
      </c>
      <c r="AG1358" s="7">
        <v>2023</v>
      </c>
      <c r="AH1358" t="s">
        <v>223</v>
      </c>
      <c r="AL1358" s="3" t="s">
        <v>59</v>
      </c>
    </row>
    <row r="1359" spans="1:43" ht="30" customHeight="1">
      <c r="A1359" s="3" t="s">
        <v>44</v>
      </c>
      <c r="B1359" s="3" t="s">
        <v>45</v>
      </c>
      <c r="G1359">
        <v>103050125</v>
      </c>
      <c r="H1359" s="5">
        <f t="shared" si="3"/>
        <v>0.41666666666666669</v>
      </c>
      <c r="I1359" s="7">
        <f t="shared" si="4"/>
        <v>5</v>
      </c>
      <c r="J1359" s="7">
        <f t="shared" si="5"/>
        <v>155</v>
      </c>
      <c r="K1359" t="s">
        <v>64</v>
      </c>
      <c r="L1359" s="1">
        <v>44896</v>
      </c>
      <c r="M1359" s="18" t="s">
        <v>45</v>
      </c>
      <c r="N1359" t="s">
        <v>101</v>
      </c>
      <c r="O1359" t="s">
        <v>52</v>
      </c>
      <c r="P1359" t="s">
        <v>2529</v>
      </c>
      <c r="R1359" s="1">
        <v>45054</v>
      </c>
      <c r="S1359" s="1">
        <v>45051</v>
      </c>
      <c r="T1359" s="3" t="s">
        <v>54</v>
      </c>
      <c r="U1359" t="s">
        <v>55</v>
      </c>
      <c r="Z1359">
        <v>5</v>
      </c>
      <c r="AA1359" s="7">
        <f t="shared" si="6"/>
        <v>18</v>
      </c>
      <c r="AG1359" s="7">
        <v>2023</v>
      </c>
      <c r="AH1359" t="s">
        <v>105</v>
      </c>
      <c r="AL1359" s="3" t="s">
        <v>59</v>
      </c>
    </row>
    <row r="1360" spans="1:43" ht="30" customHeight="1">
      <c r="A1360" s="3" t="s">
        <v>44</v>
      </c>
      <c r="B1360" s="3" t="s">
        <v>45</v>
      </c>
      <c r="G1360">
        <v>17613</v>
      </c>
      <c r="H1360" s="4">
        <f t="shared" si="3"/>
        <v>35</v>
      </c>
      <c r="I1360" s="7">
        <f t="shared" si="4"/>
        <v>427</v>
      </c>
      <c r="J1360" s="7">
        <f t="shared" si="5"/>
        <v>13019</v>
      </c>
      <c r="K1360" t="s">
        <v>64</v>
      </c>
      <c r="L1360" s="1">
        <v>32032</v>
      </c>
      <c r="M1360" s="18" t="s">
        <v>45</v>
      </c>
      <c r="N1360" t="s">
        <v>101</v>
      </c>
      <c r="O1360" t="s">
        <v>52</v>
      </c>
      <c r="P1360" t="s">
        <v>2530</v>
      </c>
      <c r="R1360" s="1">
        <v>45053</v>
      </c>
      <c r="S1360" s="1">
        <v>45051</v>
      </c>
      <c r="T1360" s="3" t="s">
        <v>54</v>
      </c>
      <c r="U1360" t="s">
        <v>55</v>
      </c>
      <c r="Z1360">
        <v>5</v>
      </c>
      <c r="AA1360" s="7">
        <f t="shared" si="6"/>
        <v>18</v>
      </c>
      <c r="AG1360" s="7">
        <v>2023</v>
      </c>
      <c r="AH1360" t="s">
        <v>105</v>
      </c>
      <c r="AL1360" s="3" t="s">
        <v>59</v>
      </c>
    </row>
    <row r="1361" spans="1:38" ht="30" customHeight="1">
      <c r="A1361" s="3" t="s">
        <v>44</v>
      </c>
      <c r="B1361" s="3" t="s">
        <v>45</v>
      </c>
      <c r="G1361">
        <v>10304708</v>
      </c>
      <c r="H1361" s="5">
        <f t="shared" ref="H1361:H1392" si="7">IF(DATEDIF(L1361,S1361,"m")&gt;12,DATEDIF(L1361,S1361,"y"),(DATEDIF(L1361,S1361,"m")/12))</f>
        <v>0.75</v>
      </c>
      <c r="I1361" s="7">
        <f t="shared" si="4"/>
        <v>9</v>
      </c>
      <c r="J1361" s="7">
        <f t="shared" si="5"/>
        <v>281</v>
      </c>
      <c r="K1361" t="s">
        <v>51</v>
      </c>
      <c r="L1361" s="1">
        <v>44781</v>
      </c>
      <c r="M1361" s="17" t="s">
        <v>45</v>
      </c>
      <c r="N1361" t="s">
        <v>101</v>
      </c>
      <c r="O1361" t="s">
        <v>52</v>
      </c>
      <c r="P1361" t="s">
        <v>2531</v>
      </c>
      <c r="Q1361">
        <v>0</v>
      </c>
      <c r="R1361" s="1">
        <v>45064</v>
      </c>
      <c r="S1361" s="1">
        <v>45062</v>
      </c>
      <c r="T1361" s="3" t="s">
        <v>54</v>
      </c>
      <c r="U1361" t="s">
        <v>55</v>
      </c>
      <c r="Z1361">
        <v>5</v>
      </c>
      <c r="AA1361" s="7">
        <f t="shared" si="6"/>
        <v>20</v>
      </c>
      <c r="AG1361" s="7">
        <v>2023</v>
      </c>
      <c r="AH1361" t="s">
        <v>105</v>
      </c>
      <c r="AK1361" t="s">
        <v>2532</v>
      </c>
      <c r="AL1361" s="3" t="s">
        <v>59</v>
      </c>
    </row>
    <row r="1362" spans="1:38" ht="30" customHeight="1">
      <c r="A1362" s="3" t="s">
        <v>44</v>
      </c>
      <c r="B1362" s="3" t="s">
        <v>45</v>
      </c>
      <c r="G1362">
        <v>972993</v>
      </c>
      <c r="H1362" s="4">
        <f t="shared" si="7"/>
        <v>14</v>
      </c>
      <c r="I1362" s="7">
        <f t="shared" si="4"/>
        <v>179</v>
      </c>
      <c r="J1362" s="7">
        <f t="shared" si="5"/>
        <v>5455</v>
      </c>
      <c r="K1362" t="s">
        <v>64</v>
      </c>
      <c r="L1362" s="1">
        <v>39604</v>
      </c>
      <c r="M1362" s="17" t="s">
        <v>45</v>
      </c>
      <c r="N1362" t="s">
        <v>101</v>
      </c>
      <c r="O1362" t="s">
        <v>52</v>
      </c>
      <c r="P1362" t="s">
        <v>2533</v>
      </c>
      <c r="Q1362">
        <v>0</v>
      </c>
      <c r="R1362" s="1">
        <v>45066</v>
      </c>
      <c r="S1362" s="1">
        <v>45059</v>
      </c>
      <c r="T1362" s="3" t="s">
        <v>54</v>
      </c>
      <c r="U1362" t="s">
        <v>55</v>
      </c>
      <c r="Z1362">
        <v>5</v>
      </c>
      <c r="AA1362" s="7">
        <f t="shared" si="6"/>
        <v>19</v>
      </c>
      <c r="AG1362" s="7">
        <v>2023</v>
      </c>
      <c r="AH1362" t="s">
        <v>105</v>
      </c>
      <c r="AK1362" t="s">
        <v>2534</v>
      </c>
      <c r="AL1362" s="3" t="s">
        <v>59</v>
      </c>
    </row>
    <row r="1363" spans="1:38" ht="30" customHeight="1">
      <c r="A1363" s="3" t="s">
        <v>44</v>
      </c>
      <c r="B1363" s="3" t="s">
        <v>45</v>
      </c>
      <c r="G1363">
        <v>28341</v>
      </c>
      <c r="H1363" s="4">
        <f t="shared" si="7"/>
        <v>26</v>
      </c>
      <c r="I1363" s="7">
        <f t="shared" si="4"/>
        <v>317</v>
      </c>
      <c r="J1363" s="7">
        <f t="shared" si="5"/>
        <v>9662</v>
      </c>
      <c r="K1363" t="s">
        <v>51</v>
      </c>
      <c r="L1363" s="1">
        <v>35408</v>
      </c>
      <c r="M1363" s="17" t="s">
        <v>45</v>
      </c>
      <c r="N1363" t="s">
        <v>65</v>
      </c>
      <c r="O1363" t="s">
        <v>52</v>
      </c>
      <c r="Q1363">
        <v>1</v>
      </c>
      <c r="R1363" s="1">
        <v>45072</v>
      </c>
      <c r="S1363" s="1">
        <v>45070</v>
      </c>
      <c r="T1363" s="3" t="s">
        <v>54</v>
      </c>
      <c r="U1363" t="s">
        <v>55</v>
      </c>
      <c r="Z1363">
        <v>5</v>
      </c>
      <c r="AA1363" s="7">
        <f t="shared" si="6"/>
        <v>21</v>
      </c>
      <c r="AG1363" s="7">
        <v>2023</v>
      </c>
      <c r="AH1363" t="s">
        <v>223</v>
      </c>
      <c r="AK1363" t="s">
        <v>2535</v>
      </c>
      <c r="AL1363" s="3" t="s">
        <v>59</v>
      </c>
    </row>
    <row r="1364" spans="1:38" ht="30" customHeight="1">
      <c r="A1364" s="3" t="s">
        <v>44</v>
      </c>
      <c r="B1364" s="3" t="s">
        <v>45</v>
      </c>
      <c r="G1364" s="1">
        <v>13162</v>
      </c>
      <c r="H1364" s="4">
        <f t="shared" si="7"/>
        <v>3</v>
      </c>
      <c r="I1364" s="7">
        <f t="shared" si="4"/>
        <v>36</v>
      </c>
      <c r="J1364" s="7">
        <f t="shared" si="5"/>
        <v>1097</v>
      </c>
      <c r="K1364" t="s">
        <v>51</v>
      </c>
      <c r="L1364" s="1">
        <v>43971</v>
      </c>
      <c r="M1364" s="17" t="s">
        <v>45</v>
      </c>
      <c r="N1364" t="s">
        <v>101</v>
      </c>
      <c r="O1364" t="s">
        <v>52</v>
      </c>
      <c r="P1364" t="s">
        <v>2518</v>
      </c>
      <c r="Q1364">
        <v>1</v>
      </c>
      <c r="R1364" s="1">
        <v>45072</v>
      </c>
      <c r="S1364" s="1">
        <v>45068</v>
      </c>
      <c r="T1364" s="3" t="s">
        <v>54</v>
      </c>
      <c r="U1364" t="s">
        <v>55</v>
      </c>
      <c r="Z1364">
        <v>5</v>
      </c>
      <c r="AA1364" s="7">
        <f t="shared" si="6"/>
        <v>21</v>
      </c>
      <c r="AG1364" s="7">
        <v>2023</v>
      </c>
      <c r="AH1364" t="s">
        <v>223</v>
      </c>
      <c r="AK1364" t="s">
        <v>2532</v>
      </c>
      <c r="AL1364" s="3" t="s">
        <v>59</v>
      </c>
    </row>
    <row r="1365" spans="1:38" ht="30" customHeight="1">
      <c r="A1365" s="3" t="s">
        <v>44</v>
      </c>
      <c r="B1365" s="3" t="s">
        <v>45</v>
      </c>
      <c r="G1365" s="1">
        <v>32148</v>
      </c>
      <c r="H1365" s="4">
        <f t="shared" si="7"/>
        <v>2</v>
      </c>
      <c r="I1365" s="7">
        <f t="shared" si="4"/>
        <v>33</v>
      </c>
      <c r="J1365" s="7">
        <f t="shared" si="5"/>
        <v>1015</v>
      </c>
      <c r="K1365" t="s">
        <v>64</v>
      </c>
      <c r="L1365" s="1">
        <v>44055</v>
      </c>
      <c r="M1365" s="17" t="s">
        <v>45</v>
      </c>
      <c r="N1365" t="s">
        <v>101</v>
      </c>
      <c r="O1365" t="s">
        <v>52</v>
      </c>
      <c r="P1365" t="s">
        <v>2463</v>
      </c>
      <c r="Q1365">
        <v>1</v>
      </c>
      <c r="R1365" s="1">
        <v>45072</v>
      </c>
      <c r="S1365" s="1">
        <v>45070</v>
      </c>
      <c r="T1365" s="3" t="s">
        <v>54</v>
      </c>
      <c r="U1365" t="s">
        <v>55</v>
      </c>
      <c r="Z1365">
        <v>5</v>
      </c>
      <c r="AA1365" s="7">
        <f t="shared" si="6"/>
        <v>21</v>
      </c>
      <c r="AG1365" s="7">
        <v>2023</v>
      </c>
      <c r="AH1365" t="s">
        <v>223</v>
      </c>
      <c r="AK1365" t="s">
        <v>2536</v>
      </c>
      <c r="AL1365" s="3" t="s">
        <v>59</v>
      </c>
    </row>
    <row r="1366" spans="1:38" ht="30" customHeight="1">
      <c r="A1366" s="3" t="s">
        <v>44</v>
      </c>
      <c r="B1366" s="3" t="s">
        <v>45</v>
      </c>
      <c r="G1366">
        <v>28338</v>
      </c>
      <c r="H1366" s="4">
        <f t="shared" si="7"/>
        <v>31</v>
      </c>
      <c r="I1366" s="7">
        <f t="shared" si="4"/>
        <v>378</v>
      </c>
      <c r="J1366" s="7">
        <f t="shared" si="5"/>
        <v>11533</v>
      </c>
      <c r="K1366" t="s">
        <v>51</v>
      </c>
      <c r="L1366" s="1">
        <v>33538</v>
      </c>
      <c r="M1366" s="17" t="s">
        <v>45</v>
      </c>
      <c r="N1366" t="s">
        <v>101</v>
      </c>
      <c r="O1366" t="s">
        <v>52</v>
      </c>
      <c r="P1366" t="s">
        <v>2537</v>
      </c>
      <c r="Q1366">
        <v>1</v>
      </c>
      <c r="R1366" s="1">
        <v>45078</v>
      </c>
      <c r="S1366" s="1">
        <v>45071</v>
      </c>
      <c r="T1366" s="3" t="s">
        <v>54</v>
      </c>
      <c r="U1366" t="s">
        <v>55</v>
      </c>
      <c r="Z1366">
        <v>5</v>
      </c>
      <c r="AA1366" s="7">
        <f t="shared" si="6"/>
        <v>21</v>
      </c>
      <c r="AB1366" t="s">
        <v>2538</v>
      </c>
      <c r="AG1366" s="7">
        <v>2023</v>
      </c>
      <c r="AH1366" t="s">
        <v>105</v>
      </c>
      <c r="AK1366" t="s">
        <v>2481</v>
      </c>
      <c r="AL1366" s="3" t="s">
        <v>59</v>
      </c>
    </row>
    <row r="1367" spans="1:38" ht="30" customHeight="1">
      <c r="A1367" s="3" t="s">
        <v>44</v>
      </c>
      <c r="B1367" s="3" t="s">
        <v>45</v>
      </c>
      <c r="G1367">
        <v>10304738</v>
      </c>
      <c r="H1367" s="4">
        <f t="shared" si="7"/>
        <v>3</v>
      </c>
      <c r="I1367" s="7">
        <f t="shared" si="4"/>
        <v>41</v>
      </c>
      <c r="J1367" s="7">
        <f t="shared" si="5"/>
        <v>1264</v>
      </c>
      <c r="K1367" t="s">
        <v>64</v>
      </c>
      <c r="L1367" s="1">
        <v>43795</v>
      </c>
      <c r="M1367" s="17" t="s">
        <v>45</v>
      </c>
      <c r="N1367" t="s">
        <v>101</v>
      </c>
      <c r="O1367" t="s">
        <v>52</v>
      </c>
      <c r="P1367" t="s">
        <v>2539</v>
      </c>
      <c r="Q1367">
        <v>0</v>
      </c>
      <c r="R1367" s="1">
        <v>45068</v>
      </c>
      <c r="S1367" s="1">
        <v>45059</v>
      </c>
      <c r="T1367" s="3" t="s">
        <v>54</v>
      </c>
      <c r="U1367" t="s">
        <v>55</v>
      </c>
      <c r="Z1367">
        <v>5</v>
      </c>
      <c r="AA1367" s="7">
        <f t="shared" si="6"/>
        <v>19</v>
      </c>
      <c r="AB1367" t="s">
        <v>2540</v>
      </c>
      <c r="AG1367" s="7">
        <v>2023</v>
      </c>
      <c r="AH1367" t="s">
        <v>105</v>
      </c>
      <c r="AK1367" t="s">
        <v>2541</v>
      </c>
      <c r="AL1367" s="3" t="s">
        <v>59</v>
      </c>
    </row>
    <row r="1368" spans="1:38" ht="30" customHeight="1">
      <c r="A1368" s="3" t="s">
        <v>44</v>
      </c>
      <c r="B1368" s="3" t="s">
        <v>45</v>
      </c>
      <c r="G1368">
        <v>10304123</v>
      </c>
      <c r="H1368" s="4">
        <f t="shared" si="7"/>
        <v>5</v>
      </c>
      <c r="I1368" s="7">
        <f t="shared" si="4"/>
        <v>60</v>
      </c>
      <c r="J1368" s="7">
        <f t="shared" si="5"/>
        <v>1833</v>
      </c>
      <c r="K1368" t="s">
        <v>64</v>
      </c>
      <c r="L1368" s="1">
        <v>43231</v>
      </c>
      <c r="M1368" s="17" t="s">
        <v>45</v>
      </c>
      <c r="N1368" t="s">
        <v>65</v>
      </c>
      <c r="O1368" t="s">
        <v>52</v>
      </c>
      <c r="P1368" t="s">
        <v>803</v>
      </c>
      <c r="Q1368">
        <v>0</v>
      </c>
      <c r="R1368" s="1">
        <v>45069</v>
      </c>
      <c r="S1368" s="1">
        <v>45064</v>
      </c>
      <c r="T1368" s="3" t="s">
        <v>54</v>
      </c>
      <c r="U1368" t="s">
        <v>55</v>
      </c>
      <c r="Z1368">
        <v>5</v>
      </c>
      <c r="AA1368" s="7">
        <f t="shared" si="6"/>
        <v>20</v>
      </c>
      <c r="AB1368" t="s">
        <v>2542</v>
      </c>
      <c r="AG1368" s="7">
        <v>2023</v>
      </c>
      <c r="AH1368" t="s">
        <v>105</v>
      </c>
      <c r="AK1368" t="s">
        <v>2543</v>
      </c>
      <c r="AL1368" s="3" t="s">
        <v>59</v>
      </c>
    </row>
    <row r="1369" spans="1:38" ht="30" customHeight="1">
      <c r="A1369" s="3" t="s">
        <v>44</v>
      </c>
      <c r="B1369" s="3" t="s">
        <v>45</v>
      </c>
      <c r="G1369">
        <v>28573</v>
      </c>
      <c r="H1369" s="4">
        <f t="shared" si="7"/>
        <v>4</v>
      </c>
      <c r="I1369" s="7">
        <f t="shared" si="4"/>
        <v>49</v>
      </c>
      <c r="J1369" s="7">
        <f t="shared" si="5"/>
        <v>1500</v>
      </c>
      <c r="K1369" t="s">
        <v>51</v>
      </c>
      <c r="L1369" s="1">
        <v>43581</v>
      </c>
      <c r="M1369" s="17" t="s">
        <v>45</v>
      </c>
      <c r="N1369" t="s">
        <v>65</v>
      </c>
      <c r="O1369" t="s">
        <v>52</v>
      </c>
      <c r="P1369" t="s">
        <v>2518</v>
      </c>
      <c r="Q1369">
        <v>1</v>
      </c>
      <c r="R1369" s="1">
        <v>45085</v>
      </c>
      <c r="S1369" s="1">
        <v>45081</v>
      </c>
      <c r="T1369" s="3" t="s">
        <v>54</v>
      </c>
      <c r="U1369" t="s">
        <v>55</v>
      </c>
      <c r="Z1369">
        <v>6</v>
      </c>
      <c r="AA1369" s="7">
        <f t="shared" si="6"/>
        <v>23</v>
      </c>
      <c r="AB1369" t="s">
        <v>2544</v>
      </c>
      <c r="AG1369" s="7">
        <v>2023</v>
      </c>
      <c r="AH1369" t="s">
        <v>223</v>
      </c>
      <c r="AK1369" t="s">
        <v>2545</v>
      </c>
      <c r="AL1369" s="3" t="s">
        <v>59</v>
      </c>
    </row>
    <row r="1370" spans="1:38" ht="30" customHeight="1">
      <c r="A1370" s="3" t="s">
        <v>44</v>
      </c>
      <c r="B1370" s="3" t="s">
        <v>45</v>
      </c>
      <c r="G1370">
        <v>39482</v>
      </c>
      <c r="H1370" s="4">
        <f t="shared" si="7"/>
        <v>20</v>
      </c>
      <c r="I1370" s="7">
        <f t="shared" si="4"/>
        <v>250</v>
      </c>
      <c r="J1370" s="7">
        <f t="shared" si="5"/>
        <v>7615</v>
      </c>
      <c r="K1370" t="s">
        <v>64</v>
      </c>
      <c r="L1370" s="1">
        <v>37474</v>
      </c>
      <c r="M1370" s="17" t="s">
        <v>45</v>
      </c>
      <c r="N1370" t="s">
        <v>83</v>
      </c>
      <c r="O1370" t="s">
        <v>52</v>
      </c>
      <c r="P1370" t="s">
        <v>2521</v>
      </c>
      <c r="Q1370">
        <v>0</v>
      </c>
      <c r="R1370" s="1">
        <v>45090</v>
      </c>
      <c r="S1370" s="1">
        <v>45089</v>
      </c>
      <c r="T1370" s="3" t="s">
        <v>54</v>
      </c>
      <c r="U1370" t="s">
        <v>55</v>
      </c>
      <c r="Z1370">
        <v>6</v>
      </c>
      <c r="AA1370" s="7">
        <f t="shared" si="6"/>
        <v>24</v>
      </c>
      <c r="AB1370" t="s">
        <v>2546</v>
      </c>
      <c r="AG1370" s="7">
        <v>2023</v>
      </c>
      <c r="AH1370" t="s">
        <v>2465</v>
      </c>
      <c r="AK1370" t="s">
        <v>140</v>
      </c>
      <c r="AL1370" s="3" t="s">
        <v>59</v>
      </c>
    </row>
    <row r="1371" spans="1:38" ht="30" customHeight="1">
      <c r="A1371" s="3" t="s">
        <v>44</v>
      </c>
      <c r="B1371" s="3" t="s">
        <v>45</v>
      </c>
      <c r="G1371">
        <v>60222</v>
      </c>
      <c r="H1371" s="4">
        <f t="shared" si="7"/>
        <v>43</v>
      </c>
      <c r="I1371" s="7">
        <f t="shared" si="4"/>
        <v>519</v>
      </c>
      <c r="J1371" s="7">
        <f t="shared" si="5"/>
        <v>15797</v>
      </c>
      <c r="K1371" t="s">
        <v>64</v>
      </c>
      <c r="L1371" s="1">
        <v>29291</v>
      </c>
      <c r="M1371" s="17" t="s">
        <v>45</v>
      </c>
      <c r="N1371" t="s">
        <v>83</v>
      </c>
      <c r="O1371" t="s">
        <v>52</v>
      </c>
      <c r="P1371" t="s">
        <v>2547</v>
      </c>
      <c r="Q1371">
        <v>0</v>
      </c>
      <c r="R1371" s="1">
        <v>45090</v>
      </c>
      <c r="S1371" s="1">
        <v>45088</v>
      </c>
      <c r="T1371" s="3" t="s">
        <v>54</v>
      </c>
      <c r="U1371" t="s">
        <v>55</v>
      </c>
      <c r="Z1371">
        <v>6</v>
      </c>
      <c r="AA1371" s="7">
        <f t="shared" si="6"/>
        <v>24</v>
      </c>
      <c r="AB1371" t="s">
        <v>2548</v>
      </c>
      <c r="AG1371" s="7">
        <v>2023</v>
      </c>
      <c r="AH1371" t="s">
        <v>2465</v>
      </c>
      <c r="AK1371" t="s">
        <v>2466</v>
      </c>
      <c r="AL1371" s="3" t="s">
        <v>59</v>
      </c>
    </row>
    <row r="1372" spans="1:38" ht="30" customHeight="1">
      <c r="A1372" s="3" t="s">
        <v>44</v>
      </c>
      <c r="B1372" s="3" t="s">
        <v>45</v>
      </c>
      <c r="G1372">
        <v>10304864</v>
      </c>
      <c r="H1372" s="5">
        <f t="shared" si="7"/>
        <v>0.66666666666666663</v>
      </c>
      <c r="I1372" s="7">
        <f t="shared" ref="I1372:I1403" si="8">DATEDIF(L1372,S1372,"M")</f>
        <v>8</v>
      </c>
      <c r="J1372" s="7">
        <f t="shared" ref="J1372:J1403" si="9">DATEDIF(L1372,S1372,"D")</f>
        <v>248</v>
      </c>
      <c r="K1372" t="s">
        <v>51</v>
      </c>
      <c r="L1372" s="1">
        <v>44819</v>
      </c>
      <c r="M1372" s="17" t="s">
        <v>45</v>
      </c>
      <c r="N1372" t="s">
        <v>101</v>
      </c>
      <c r="O1372" t="s">
        <v>52</v>
      </c>
      <c r="P1372" t="s">
        <v>1087</v>
      </c>
      <c r="Q1372">
        <v>0</v>
      </c>
      <c r="R1372" s="1">
        <v>45081</v>
      </c>
      <c r="S1372" s="1">
        <v>45067</v>
      </c>
      <c r="T1372" s="3" t="s">
        <v>54</v>
      </c>
      <c r="U1372" t="s">
        <v>55</v>
      </c>
      <c r="Z1372">
        <v>5</v>
      </c>
      <c r="AA1372" s="7">
        <f t="shared" si="6"/>
        <v>21</v>
      </c>
      <c r="AB1372" t="s">
        <v>2549</v>
      </c>
      <c r="AG1372" s="7">
        <v>2023</v>
      </c>
      <c r="AH1372" t="s">
        <v>105</v>
      </c>
      <c r="AK1372" t="s">
        <v>2451</v>
      </c>
      <c r="AL1372" s="3" t="s">
        <v>59</v>
      </c>
    </row>
    <row r="1373" spans="1:38" ht="30" customHeight="1">
      <c r="A1373" s="3" t="s">
        <v>44</v>
      </c>
      <c r="B1373" s="3" t="s">
        <v>45</v>
      </c>
      <c r="G1373">
        <v>10304866</v>
      </c>
      <c r="H1373" s="4">
        <f t="shared" si="7"/>
        <v>2</v>
      </c>
      <c r="I1373" s="7">
        <f t="shared" si="8"/>
        <v>25</v>
      </c>
      <c r="J1373" s="7">
        <f t="shared" si="9"/>
        <v>784</v>
      </c>
      <c r="K1373" t="s">
        <v>64</v>
      </c>
      <c r="L1373" s="1">
        <v>44296</v>
      </c>
      <c r="M1373" s="17" t="s">
        <v>45</v>
      </c>
      <c r="N1373" t="s">
        <v>65</v>
      </c>
      <c r="O1373" t="s">
        <v>52</v>
      </c>
      <c r="P1373" t="s">
        <v>2533</v>
      </c>
      <c r="Q1373">
        <v>0</v>
      </c>
      <c r="R1373" s="1">
        <v>45081</v>
      </c>
      <c r="S1373" s="1">
        <v>45080</v>
      </c>
      <c r="T1373" s="3" t="s">
        <v>54</v>
      </c>
      <c r="U1373" t="s">
        <v>55</v>
      </c>
      <c r="Z1373">
        <v>6</v>
      </c>
      <c r="AA1373" s="7">
        <f t="shared" si="6"/>
        <v>22</v>
      </c>
      <c r="AB1373" t="s">
        <v>2550</v>
      </c>
      <c r="AG1373" s="7">
        <v>2023</v>
      </c>
      <c r="AH1373" t="s">
        <v>105</v>
      </c>
      <c r="AK1373" t="s">
        <v>2551</v>
      </c>
      <c r="AL1373" s="3" t="s">
        <v>59</v>
      </c>
    </row>
    <row r="1374" spans="1:38" ht="30" customHeight="1">
      <c r="A1374" s="3" t="s">
        <v>44</v>
      </c>
      <c r="B1374" s="3" t="s">
        <v>45</v>
      </c>
      <c r="G1374">
        <v>1050463</v>
      </c>
      <c r="H1374" s="4">
        <f t="shared" si="7"/>
        <v>54</v>
      </c>
      <c r="I1374" s="7">
        <f t="shared" si="8"/>
        <v>654</v>
      </c>
      <c r="J1374" s="7">
        <f t="shared" si="9"/>
        <v>19923</v>
      </c>
      <c r="K1374" t="s">
        <v>51</v>
      </c>
      <c r="L1374" s="1">
        <v>25160</v>
      </c>
      <c r="M1374" s="17" t="s">
        <v>45</v>
      </c>
      <c r="N1374" t="s">
        <v>329</v>
      </c>
      <c r="O1374" t="s">
        <v>52</v>
      </c>
      <c r="P1374" t="s">
        <v>137</v>
      </c>
      <c r="Q1374">
        <v>1</v>
      </c>
      <c r="R1374" s="1">
        <v>45087</v>
      </c>
      <c r="S1374" s="1">
        <v>45083</v>
      </c>
      <c r="T1374" s="3" t="s">
        <v>54</v>
      </c>
      <c r="U1374" t="s">
        <v>55</v>
      </c>
      <c r="Z1374">
        <v>6</v>
      </c>
      <c r="AA1374" s="7">
        <f t="shared" si="6"/>
        <v>23</v>
      </c>
      <c r="AB1374" t="s">
        <v>2552</v>
      </c>
      <c r="AG1374" s="7">
        <v>2023</v>
      </c>
      <c r="AH1374" t="s">
        <v>86</v>
      </c>
      <c r="AK1374" t="s">
        <v>2553</v>
      </c>
      <c r="AL1374" s="3" t="s">
        <v>59</v>
      </c>
    </row>
    <row r="1375" spans="1:38" ht="30" customHeight="1">
      <c r="A1375" s="3" t="s">
        <v>44</v>
      </c>
      <c r="B1375" s="3" t="s">
        <v>45</v>
      </c>
      <c r="G1375" t="s">
        <v>2554</v>
      </c>
      <c r="H1375" s="4">
        <f t="shared" si="7"/>
        <v>71</v>
      </c>
      <c r="I1375" s="7">
        <f t="shared" si="8"/>
        <v>861</v>
      </c>
      <c r="J1375" s="7">
        <f t="shared" si="9"/>
        <v>26221</v>
      </c>
      <c r="K1375" t="s">
        <v>64</v>
      </c>
      <c r="L1375" s="1">
        <v>18868</v>
      </c>
      <c r="M1375" s="17" t="s">
        <v>45</v>
      </c>
      <c r="N1375" t="s">
        <v>83</v>
      </c>
      <c r="O1375" t="s">
        <v>52</v>
      </c>
      <c r="P1375" t="s">
        <v>2527</v>
      </c>
      <c r="Q1375">
        <v>0</v>
      </c>
      <c r="R1375" s="1">
        <v>45092</v>
      </c>
      <c r="S1375" s="1">
        <v>45089</v>
      </c>
      <c r="T1375" s="3" t="s">
        <v>54</v>
      </c>
      <c r="U1375" t="s">
        <v>55</v>
      </c>
      <c r="Z1375">
        <v>6</v>
      </c>
      <c r="AA1375" s="7">
        <f t="shared" si="6"/>
        <v>24</v>
      </c>
      <c r="AB1375" t="s">
        <v>2555</v>
      </c>
      <c r="AG1375" s="7">
        <v>2023</v>
      </c>
      <c r="AH1375" t="s">
        <v>482</v>
      </c>
      <c r="AK1375" t="s">
        <v>2556</v>
      </c>
      <c r="AL1375" s="3" t="s">
        <v>59</v>
      </c>
    </row>
    <row r="1376" spans="1:38" ht="30" customHeight="1">
      <c r="A1376" s="3" t="s">
        <v>44</v>
      </c>
      <c r="B1376" s="3" t="s">
        <v>45</v>
      </c>
      <c r="G1376" t="s">
        <v>2557</v>
      </c>
      <c r="H1376" s="4">
        <f t="shared" si="7"/>
        <v>61</v>
      </c>
      <c r="I1376" s="7">
        <f t="shared" si="8"/>
        <v>733</v>
      </c>
      <c r="J1376" s="7">
        <f t="shared" si="9"/>
        <v>22324</v>
      </c>
      <c r="K1376" t="s">
        <v>64</v>
      </c>
      <c r="L1376" s="1">
        <v>22737</v>
      </c>
      <c r="M1376" s="17" t="s">
        <v>45</v>
      </c>
      <c r="N1376" t="s">
        <v>83</v>
      </c>
      <c r="O1376" t="s">
        <v>52</v>
      </c>
      <c r="P1376" t="s">
        <v>2558</v>
      </c>
      <c r="Q1376">
        <v>0</v>
      </c>
      <c r="R1376" s="1">
        <v>45092</v>
      </c>
      <c r="S1376" s="1">
        <v>45061</v>
      </c>
      <c r="T1376" s="3" t="s">
        <v>54</v>
      </c>
      <c r="U1376" t="s">
        <v>55</v>
      </c>
      <c r="Z1376">
        <v>5</v>
      </c>
      <c r="AA1376" s="7">
        <f t="shared" si="6"/>
        <v>20</v>
      </c>
      <c r="AB1376" t="s">
        <v>2559</v>
      </c>
      <c r="AG1376" s="7">
        <v>2023</v>
      </c>
      <c r="AH1376" t="s">
        <v>482</v>
      </c>
      <c r="AK1376" t="s">
        <v>140</v>
      </c>
      <c r="AL1376" s="3" t="s">
        <v>59</v>
      </c>
    </row>
    <row r="1377" spans="1:38" ht="30" customHeight="1">
      <c r="A1377" s="3" t="s">
        <v>44</v>
      </c>
      <c r="B1377" s="3" t="s">
        <v>45</v>
      </c>
      <c r="G1377">
        <v>10304959</v>
      </c>
      <c r="H1377" s="4">
        <f t="shared" si="7"/>
        <v>2</v>
      </c>
      <c r="I1377" s="7">
        <f t="shared" si="8"/>
        <v>28</v>
      </c>
      <c r="J1377" s="7">
        <f t="shared" si="9"/>
        <v>858</v>
      </c>
      <c r="K1377" t="s">
        <v>64</v>
      </c>
      <c r="L1377" s="1">
        <v>44229</v>
      </c>
      <c r="M1377" s="17" t="s">
        <v>45</v>
      </c>
      <c r="N1377" t="s">
        <v>101</v>
      </c>
      <c r="O1377" t="s">
        <v>52</v>
      </c>
      <c r="P1377" t="s">
        <v>803</v>
      </c>
      <c r="Q1377">
        <v>0</v>
      </c>
      <c r="R1377" s="1">
        <v>45090</v>
      </c>
      <c r="S1377" s="1">
        <v>45087</v>
      </c>
      <c r="T1377" s="3" t="s">
        <v>54</v>
      </c>
      <c r="U1377" t="s">
        <v>55</v>
      </c>
      <c r="Z1377">
        <v>6</v>
      </c>
      <c r="AA1377" s="7">
        <f t="shared" si="6"/>
        <v>23</v>
      </c>
      <c r="AB1377" t="s">
        <v>2563</v>
      </c>
      <c r="AG1377" s="7">
        <v>2023</v>
      </c>
      <c r="AH1377" t="s">
        <v>105</v>
      </c>
      <c r="AK1377" t="s">
        <v>2536</v>
      </c>
      <c r="AL1377" s="3" t="s">
        <v>59</v>
      </c>
    </row>
    <row r="1378" spans="1:38" ht="30" customHeight="1">
      <c r="A1378" s="3" t="s">
        <v>44</v>
      </c>
      <c r="B1378" s="3" t="s">
        <v>45</v>
      </c>
      <c r="G1378" t="s">
        <v>2564</v>
      </c>
      <c r="H1378" s="4">
        <f t="shared" si="7"/>
        <v>66</v>
      </c>
      <c r="I1378" s="7">
        <f t="shared" si="8"/>
        <v>802</v>
      </c>
      <c r="J1378" s="7">
        <f t="shared" si="9"/>
        <v>24411</v>
      </c>
      <c r="K1378" t="s">
        <v>51</v>
      </c>
      <c r="L1378" s="1">
        <v>20674</v>
      </c>
      <c r="M1378" s="17" t="s">
        <v>45</v>
      </c>
      <c r="N1378" t="s">
        <v>329</v>
      </c>
      <c r="O1378" t="s">
        <v>52</v>
      </c>
      <c r="P1378" t="s">
        <v>2565</v>
      </c>
      <c r="Q1378">
        <v>1</v>
      </c>
      <c r="R1378" s="1">
        <v>45099</v>
      </c>
      <c r="S1378" s="1">
        <v>45085</v>
      </c>
      <c r="T1378" s="3" t="s">
        <v>464</v>
      </c>
      <c r="U1378" t="s">
        <v>55</v>
      </c>
      <c r="Z1378">
        <v>6</v>
      </c>
      <c r="AA1378" s="7">
        <f t="shared" si="6"/>
        <v>23</v>
      </c>
      <c r="AB1378" t="s">
        <v>2566</v>
      </c>
      <c r="AG1378" s="7">
        <v>2023</v>
      </c>
      <c r="AH1378" t="s">
        <v>2509</v>
      </c>
      <c r="AK1378" t="s">
        <v>2567</v>
      </c>
      <c r="AL1378" s="3" t="s">
        <v>59</v>
      </c>
    </row>
    <row r="1379" spans="1:38" ht="30" customHeight="1">
      <c r="A1379" s="3" t="s">
        <v>44</v>
      </c>
      <c r="B1379" s="3" t="s">
        <v>45</v>
      </c>
      <c r="G1379">
        <v>26994</v>
      </c>
      <c r="H1379" s="4">
        <f t="shared" si="7"/>
        <v>1</v>
      </c>
      <c r="I1379" s="7">
        <f t="shared" si="8"/>
        <v>21</v>
      </c>
      <c r="J1379" s="7">
        <f t="shared" si="9"/>
        <v>647</v>
      </c>
      <c r="K1379" t="s">
        <v>64</v>
      </c>
      <c r="L1379" s="1">
        <v>44436</v>
      </c>
      <c r="M1379" s="17" t="s">
        <v>45</v>
      </c>
      <c r="N1379" t="s">
        <v>65</v>
      </c>
      <c r="O1379" t="s">
        <v>52</v>
      </c>
      <c r="P1379" t="s">
        <v>2568</v>
      </c>
      <c r="Q1379">
        <v>1</v>
      </c>
      <c r="R1379" s="1">
        <v>45090</v>
      </c>
      <c r="S1379" s="1">
        <v>45083</v>
      </c>
      <c r="T1379" s="3" t="s">
        <v>54</v>
      </c>
      <c r="U1379" t="s">
        <v>55</v>
      </c>
      <c r="Z1379">
        <v>6</v>
      </c>
      <c r="AA1379" s="7">
        <f t="shared" si="6"/>
        <v>23</v>
      </c>
      <c r="AB1379" t="s">
        <v>2569</v>
      </c>
      <c r="AG1379" s="7">
        <v>2023</v>
      </c>
      <c r="AH1379" t="s">
        <v>105</v>
      </c>
      <c r="AK1379" t="s">
        <v>2535</v>
      </c>
      <c r="AL1379" s="3" t="s">
        <v>59</v>
      </c>
    </row>
    <row r="1380" spans="1:38" ht="30" customHeight="1">
      <c r="A1380" s="3" t="s">
        <v>44</v>
      </c>
      <c r="B1380" s="3" t="s">
        <v>45</v>
      </c>
      <c r="G1380" t="s">
        <v>2570</v>
      </c>
      <c r="H1380" s="5">
        <f t="shared" si="7"/>
        <v>0.33333333333333331</v>
      </c>
      <c r="I1380" s="7">
        <f t="shared" si="8"/>
        <v>4</v>
      </c>
      <c r="J1380" s="7">
        <f t="shared" si="9"/>
        <v>124</v>
      </c>
      <c r="K1380" t="s">
        <v>64</v>
      </c>
      <c r="L1380" s="1">
        <v>44971</v>
      </c>
      <c r="M1380" s="17" t="s">
        <v>45</v>
      </c>
      <c r="N1380" t="s">
        <v>83</v>
      </c>
      <c r="O1380" t="s">
        <v>52</v>
      </c>
      <c r="P1380" t="s">
        <v>2571</v>
      </c>
      <c r="Q1380">
        <v>0</v>
      </c>
      <c r="R1380" s="1">
        <v>45104</v>
      </c>
      <c r="S1380" s="1">
        <v>45095</v>
      </c>
      <c r="T1380" s="3" t="s">
        <v>54</v>
      </c>
      <c r="U1380" t="s">
        <v>55</v>
      </c>
      <c r="Z1380">
        <v>6</v>
      </c>
      <c r="AA1380" s="7">
        <f t="shared" si="6"/>
        <v>25</v>
      </c>
      <c r="AB1380" t="s">
        <v>2572</v>
      </c>
      <c r="AG1380" s="7">
        <v>2023</v>
      </c>
      <c r="AH1380" t="s">
        <v>2573</v>
      </c>
      <c r="AK1380" t="s">
        <v>140</v>
      </c>
      <c r="AL1380" s="3" t="s">
        <v>59</v>
      </c>
    </row>
    <row r="1381" spans="1:38" ht="30" customHeight="1">
      <c r="A1381" s="3" t="s">
        <v>44</v>
      </c>
      <c r="B1381" s="3" t="s">
        <v>45</v>
      </c>
      <c r="G1381" t="s">
        <v>2574</v>
      </c>
      <c r="H1381" s="4">
        <f t="shared" si="7"/>
        <v>36</v>
      </c>
      <c r="I1381" s="7">
        <f t="shared" si="8"/>
        <v>437</v>
      </c>
      <c r="J1381" s="7">
        <f t="shared" si="9"/>
        <v>13321</v>
      </c>
      <c r="K1381" t="s">
        <v>64</v>
      </c>
      <c r="L1381" s="1">
        <v>31766</v>
      </c>
      <c r="M1381" s="17" t="s">
        <v>45</v>
      </c>
      <c r="N1381" t="s">
        <v>83</v>
      </c>
      <c r="O1381" t="s">
        <v>52</v>
      </c>
      <c r="P1381" t="s">
        <v>2571</v>
      </c>
      <c r="Q1381">
        <v>0</v>
      </c>
      <c r="R1381" s="1">
        <v>45104</v>
      </c>
      <c r="S1381" s="1">
        <v>45087</v>
      </c>
      <c r="T1381" s="3" t="s">
        <v>54</v>
      </c>
      <c r="U1381" t="s">
        <v>55</v>
      </c>
      <c r="Z1381">
        <v>6</v>
      </c>
      <c r="AA1381" s="7">
        <f t="shared" si="6"/>
        <v>23</v>
      </c>
      <c r="AB1381" t="s">
        <v>2575</v>
      </c>
      <c r="AG1381" s="7">
        <v>2023</v>
      </c>
      <c r="AH1381" t="s">
        <v>2573</v>
      </c>
      <c r="AK1381" t="s">
        <v>140</v>
      </c>
      <c r="AL1381" s="3" t="s">
        <v>59</v>
      </c>
    </row>
    <row r="1382" spans="1:38" ht="30" customHeight="1">
      <c r="A1382" s="3" t="s">
        <v>44</v>
      </c>
      <c r="B1382" s="3" t="s">
        <v>45</v>
      </c>
      <c r="G1382">
        <v>52263</v>
      </c>
      <c r="H1382" s="4">
        <f t="shared" si="7"/>
        <v>18</v>
      </c>
      <c r="I1382" s="7">
        <f t="shared" si="8"/>
        <v>220</v>
      </c>
      <c r="J1382" s="7">
        <f t="shared" si="9"/>
        <v>6709</v>
      </c>
      <c r="K1382" t="s">
        <v>64</v>
      </c>
      <c r="L1382" s="1">
        <v>38392</v>
      </c>
      <c r="M1382" s="17" t="s">
        <v>45</v>
      </c>
      <c r="N1382" t="s">
        <v>83</v>
      </c>
      <c r="O1382" t="s">
        <v>52</v>
      </c>
      <c r="P1382" t="s">
        <v>2513</v>
      </c>
      <c r="Q1382">
        <v>0</v>
      </c>
      <c r="R1382" s="1">
        <v>45103</v>
      </c>
      <c r="S1382" s="1">
        <v>45101</v>
      </c>
      <c r="T1382" s="3" t="s">
        <v>54</v>
      </c>
      <c r="U1382" t="s">
        <v>55</v>
      </c>
      <c r="Z1382">
        <v>6</v>
      </c>
      <c r="AA1382" s="7">
        <f t="shared" si="6"/>
        <v>25</v>
      </c>
      <c r="AB1382" t="s">
        <v>2576</v>
      </c>
      <c r="AG1382" s="7">
        <v>2023</v>
      </c>
      <c r="AH1382" t="s">
        <v>2465</v>
      </c>
      <c r="AK1382" t="s">
        <v>2577</v>
      </c>
      <c r="AL1382" s="3" t="s">
        <v>59</v>
      </c>
    </row>
    <row r="1383" spans="1:38" ht="30" customHeight="1">
      <c r="A1383" s="3" t="s">
        <v>44</v>
      </c>
      <c r="B1383" s="3" t="s">
        <v>45</v>
      </c>
      <c r="G1383" t="s">
        <v>2578</v>
      </c>
      <c r="H1383" s="5">
        <f t="shared" si="7"/>
        <v>0.83333333333333337</v>
      </c>
      <c r="I1383" s="7">
        <f t="shared" si="8"/>
        <v>10</v>
      </c>
      <c r="J1383" s="7">
        <f t="shared" si="9"/>
        <v>332</v>
      </c>
      <c r="K1383" t="s">
        <v>64</v>
      </c>
      <c r="L1383" s="1">
        <v>44768</v>
      </c>
      <c r="M1383" s="17" t="s">
        <v>45</v>
      </c>
      <c r="N1383" t="s">
        <v>83</v>
      </c>
      <c r="O1383" t="s">
        <v>52</v>
      </c>
      <c r="P1383" t="s">
        <v>2579</v>
      </c>
      <c r="Q1383">
        <v>0</v>
      </c>
      <c r="R1383" s="1">
        <v>45103</v>
      </c>
      <c r="S1383" s="1">
        <v>45100</v>
      </c>
      <c r="T1383" s="3" t="s">
        <v>54</v>
      </c>
      <c r="U1383" t="s">
        <v>55</v>
      </c>
      <c r="Z1383">
        <v>6</v>
      </c>
      <c r="AA1383" s="7">
        <f t="shared" si="6"/>
        <v>25</v>
      </c>
      <c r="AB1383" t="s">
        <v>2580</v>
      </c>
      <c r="AG1383" s="7">
        <v>2023</v>
      </c>
      <c r="AH1383" t="s">
        <v>482</v>
      </c>
      <c r="AK1383" t="s">
        <v>140</v>
      </c>
      <c r="AL1383" s="3" t="s">
        <v>59</v>
      </c>
    </row>
    <row r="1384" spans="1:38" ht="30" customHeight="1">
      <c r="A1384" s="3" t="s">
        <v>44</v>
      </c>
      <c r="B1384" s="3" t="s">
        <v>45</v>
      </c>
      <c r="G1384">
        <v>10304947</v>
      </c>
      <c r="H1384" s="5">
        <f t="shared" si="7"/>
        <v>0.33333333333333331</v>
      </c>
      <c r="I1384" s="7">
        <f t="shared" si="8"/>
        <v>4</v>
      </c>
      <c r="J1384" s="7">
        <f t="shared" si="9"/>
        <v>149</v>
      </c>
      <c r="K1384" t="s">
        <v>51</v>
      </c>
      <c r="L1384" s="1">
        <v>44935</v>
      </c>
      <c r="M1384" s="17" t="s">
        <v>45</v>
      </c>
      <c r="N1384" t="s">
        <v>65</v>
      </c>
      <c r="O1384" t="s">
        <v>52</v>
      </c>
      <c r="P1384" t="s">
        <v>2531</v>
      </c>
      <c r="Q1384">
        <v>0</v>
      </c>
      <c r="R1384" s="1">
        <v>45089</v>
      </c>
      <c r="S1384" s="1">
        <v>45084</v>
      </c>
      <c r="T1384" s="3" t="s">
        <v>54</v>
      </c>
      <c r="U1384" t="s">
        <v>55</v>
      </c>
      <c r="Z1384">
        <v>6</v>
      </c>
      <c r="AA1384" s="7">
        <f t="shared" si="6"/>
        <v>23</v>
      </c>
      <c r="AB1384" t="s">
        <v>2581</v>
      </c>
      <c r="AG1384" s="7">
        <v>2023</v>
      </c>
      <c r="AH1384" t="s">
        <v>105</v>
      </c>
      <c r="AK1384" t="s">
        <v>2582</v>
      </c>
      <c r="AL1384" s="3" t="s">
        <v>59</v>
      </c>
    </row>
    <row r="1385" spans="1:38" ht="30" customHeight="1">
      <c r="A1385" s="3" t="s">
        <v>44</v>
      </c>
      <c r="B1385" s="3" t="s">
        <v>45</v>
      </c>
      <c r="G1385">
        <v>114000</v>
      </c>
      <c r="H1385" s="4">
        <f t="shared" si="7"/>
        <v>10</v>
      </c>
      <c r="I1385" s="7">
        <f t="shared" si="8"/>
        <v>122</v>
      </c>
      <c r="J1385" s="7">
        <f t="shared" si="9"/>
        <v>3738</v>
      </c>
      <c r="K1385" t="s">
        <v>64</v>
      </c>
      <c r="L1385" s="1">
        <v>41355</v>
      </c>
      <c r="M1385" s="17" t="s">
        <v>45</v>
      </c>
      <c r="N1385" t="s">
        <v>159</v>
      </c>
      <c r="O1385" t="s">
        <v>52</v>
      </c>
      <c r="P1385" t="s">
        <v>2583</v>
      </c>
      <c r="Q1385">
        <v>1</v>
      </c>
      <c r="R1385" s="1">
        <v>45095</v>
      </c>
      <c r="S1385" s="1">
        <v>45093</v>
      </c>
      <c r="T1385" s="3" t="s">
        <v>54</v>
      </c>
      <c r="U1385" t="s">
        <v>55</v>
      </c>
      <c r="Z1385">
        <v>6</v>
      </c>
      <c r="AA1385" s="7">
        <f t="shared" si="6"/>
        <v>24</v>
      </c>
      <c r="AB1385" t="s">
        <v>2584</v>
      </c>
      <c r="AG1385" s="7">
        <v>2023</v>
      </c>
      <c r="AH1385" t="s">
        <v>206</v>
      </c>
      <c r="AK1385" t="s">
        <v>2481</v>
      </c>
      <c r="AL1385" s="3" t="s">
        <v>59</v>
      </c>
    </row>
    <row r="1386" spans="1:38" ht="30" customHeight="1">
      <c r="A1386" s="3" t="s">
        <v>44</v>
      </c>
      <c r="B1386" s="3" t="s">
        <v>45</v>
      </c>
      <c r="G1386">
        <v>10304937</v>
      </c>
      <c r="H1386" s="5">
        <f t="shared" si="7"/>
        <v>0.41666666666666669</v>
      </c>
      <c r="I1386" s="7">
        <f t="shared" si="8"/>
        <v>5</v>
      </c>
      <c r="J1386" s="7">
        <f t="shared" si="9"/>
        <v>155</v>
      </c>
      <c r="K1386" t="s">
        <v>51</v>
      </c>
      <c r="L1386" s="1">
        <v>44929</v>
      </c>
      <c r="M1386" s="17" t="s">
        <v>45</v>
      </c>
      <c r="N1386" t="s">
        <v>65</v>
      </c>
      <c r="O1386" t="s">
        <v>52</v>
      </c>
      <c r="P1386" t="s">
        <v>2533</v>
      </c>
      <c r="Q1386">
        <v>0</v>
      </c>
      <c r="R1386" s="1">
        <v>45088</v>
      </c>
      <c r="S1386" s="1">
        <v>45084</v>
      </c>
      <c r="T1386" s="3" t="s">
        <v>54</v>
      </c>
      <c r="U1386" t="s">
        <v>55</v>
      </c>
      <c r="Z1386">
        <v>6</v>
      </c>
      <c r="AA1386" s="7">
        <f t="shared" si="6"/>
        <v>23</v>
      </c>
      <c r="AB1386" t="s">
        <v>2585</v>
      </c>
      <c r="AG1386" s="7">
        <v>2023</v>
      </c>
      <c r="AH1386" t="s">
        <v>105</v>
      </c>
      <c r="AK1386" t="s">
        <v>2551</v>
      </c>
      <c r="AL1386" s="3" t="s">
        <v>59</v>
      </c>
    </row>
    <row r="1387" spans="1:38" ht="30" customHeight="1">
      <c r="A1387" s="3" t="s">
        <v>44</v>
      </c>
      <c r="B1387" s="3" t="s">
        <v>45</v>
      </c>
      <c r="G1387">
        <v>10304944</v>
      </c>
      <c r="H1387" s="4">
        <f t="shared" si="7"/>
        <v>5</v>
      </c>
      <c r="I1387" s="7">
        <f t="shared" si="8"/>
        <v>62</v>
      </c>
      <c r="J1387" s="7">
        <f t="shared" si="9"/>
        <v>1892</v>
      </c>
      <c r="K1387" t="s">
        <v>51</v>
      </c>
      <c r="L1387" s="1">
        <v>43193</v>
      </c>
      <c r="M1387" s="17" t="s">
        <v>45</v>
      </c>
      <c r="N1387" t="s">
        <v>187</v>
      </c>
      <c r="O1387" t="s">
        <v>52</v>
      </c>
      <c r="P1387" t="s">
        <v>2512</v>
      </c>
      <c r="Q1387">
        <v>0</v>
      </c>
      <c r="R1387" s="1">
        <v>45089</v>
      </c>
      <c r="S1387" s="1">
        <v>45085</v>
      </c>
      <c r="T1387" s="3" t="s">
        <v>54</v>
      </c>
      <c r="U1387" t="s">
        <v>55</v>
      </c>
      <c r="Z1387">
        <v>6</v>
      </c>
      <c r="AA1387" s="7">
        <f t="shared" si="6"/>
        <v>23</v>
      </c>
      <c r="AB1387" t="s">
        <v>2586</v>
      </c>
      <c r="AG1387" s="7">
        <v>2023</v>
      </c>
      <c r="AH1387" t="s">
        <v>105</v>
      </c>
      <c r="AK1387" t="s">
        <v>2445</v>
      </c>
      <c r="AL1387" s="3" t="s">
        <v>59</v>
      </c>
    </row>
    <row r="1388" spans="1:38" ht="30" customHeight="1">
      <c r="A1388" s="3" t="s">
        <v>44</v>
      </c>
      <c r="B1388" s="3" t="s">
        <v>45</v>
      </c>
      <c r="G1388" t="s">
        <v>2587</v>
      </c>
      <c r="H1388" s="4">
        <f t="shared" si="7"/>
        <v>2</v>
      </c>
      <c r="I1388" s="7">
        <f t="shared" si="8"/>
        <v>29</v>
      </c>
      <c r="J1388" s="7">
        <f t="shared" si="9"/>
        <v>882</v>
      </c>
      <c r="K1388" t="s">
        <v>51</v>
      </c>
      <c r="L1388" s="1">
        <v>44215</v>
      </c>
      <c r="M1388" s="17" t="s">
        <v>45</v>
      </c>
      <c r="N1388" t="s">
        <v>83</v>
      </c>
      <c r="O1388" t="s">
        <v>52</v>
      </c>
      <c r="P1388" t="s">
        <v>2527</v>
      </c>
      <c r="Q1388">
        <v>0</v>
      </c>
      <c r="R1388" s="1">
        <v>45103</v>
      </c>
      <c r="S1388" s="1">
        <v>45097</v>
      </c>
      <c r="T1388" s="3" t="s">
        <v>54</v>
      </c>
      <c r="U1388" t="s">
        <v>55</v>
      </c>
      <c r="Z1388">
        <v>6</v>
      </c>
      <c r="AA1388" s="7">
        <f t="shared" si="6"/>
        <v>25</v>
      </c>
      <c r="AB1388" t="s">
        <v>2588</v>
      </c>
      <c r="AG1388" s="7">
        <v>2023</v>
      </c>
      <c r="AH1388" t="s">
        <v>482</v>
      </c>
      <c r="AK1388" t="s">
        <v>140</v>
      </c>
      <c r="AL1388" s="3" t="s">
        <v>59</v>
      </c>
    </row>
    <row r="1389" spans="1:38" ht="30" customHeight="1">
      <c r="A1389" s="3" t="s">
        <v>44</v>
      </c>
      <c r="B1389" s="3" t="s">
        <v>45</v>
      </c>
      <c r="G1389">
        <v>28369</v>
      </c>
      <c r="H1389" s="4">
        <f t="shared" si="7"/>
        <v>11</v>
      </c>
      <c r="I1389" s="7">
        <f t="shared" si="8"/>
        <v>135</v>
      </c>
      <c r="J1389" s="7">
        <f t="shared" si="9"/>
        <v>4132</v>
      </c>
      <c r="K1389" t="s">
        <v>64</v>
      </c>
      <c r="L1389" s="1">
        <v>40952</v>
      </c>
      <c r="M1389" s="17" t="s">
        <v>45</v>
      </c>
      <c r="N1389" t="s">
        <v>101</v>
      </c>
      <c r="O1389" t="s">
        <v>52</v>
      </c>
      <c r="P1389" t="s">
        <v>2589</v>
      </c>
      <c r="Q1389">
        <v>0</v>
      </c>
      <c r="R1389" s="1">
        <v>45088</v>
      </c>
      <c r="S1389" s="1">
        <v>45084</v>
      </c>
      <c r="T1389" s="3" t="s">
        <v>54</v>
      </c>
      <c r="U1389" t="s">
        <v>55</v>
      </c>
      <c r="Z1389">
        <v>6</v>
      </c>
      <c r="AA1389" s="7">
        <f t="shared" si="6"/>
        <v>23</v>
      </c>
      <c r="AB1389" t="s">
        <v>2590</v>
      </c>
      <c r="AG1389" s="7">
        <v>2023</v>
      </c>
      <c r="AH1389" t="s">
        <v>105</v>
      </c>
      <c r="AK1389" t="s">
        <v>2451</v>
      </c>
      <c r="AL1389" s="3" t="s">
        <v>59</v>
      </c>
    </row>
    <row r="1390" spans="1:38" ht="30" customHeight="1">
      <c r="A1390" s="3" t="s">
        <v>44</v>
      </c>
      <c r="B1390" s="3" t="s">
        <v>45</v>
      </c>
      <c r="G1390">
        <v>28379</v>
      </c>
      <c r="H1390" s="4">
        <f t="shared" si="7"/>
        <v>28</v>
      </c>
      <c r="I1390" s="7">
        <f t="shared" si="8"/>
        <v>343</v>
      </c>
      <c r="J1390" s="7">
        <f t="shared" si="9"/>
        <v>10442</v>
      </c>
      <c r="K1390" t="s">
        <v>64</v>
      </c>
      <c r="L1390" s="1">
        <v>34646</v>
      </c>
      <c r="M1390" s="17" t="s">
        <v>45</v>
      </c>
      <c r="N1390" t="s">
        <v>101</v>
      </c>
      <c r="O1390" t="s">
        <v>52</v>
      </c>
      <c r="P1390" t="s">
        <v>2168</v>
      </c>
      <c r="Q1390">
        <v>1</v>
      </c>
      <c r="R1390" s="1">
        <v>45092</v>
      </c>
      <c r="S1390" s="1">
        <v>45088</v>
      </c>
      <c r="T1390" s="3" t="s">
        <v>54</v>
      </c>
      <c r="U1390" t="s">
        <v>55</v>
      </c>
      <c r="Z1390">
        <v>6</v>
      </c>
      <c r="AA1390" s="7">
        <f t="shared" si="6"/>
        <v>24</v>
      </c>
      <c r="AB1390" t="s">
        <v>2591</v>
      </c>
      <c r="AG1390" s="7">
        <v>2023</v>
      </c>
      <c r="AH1390" t="s">
        <v>105</v>
      </c>
      <c r="AK1390" t="s">
        <v>2536</v>
      </c>
      <c r="AL1390" s="3" t="s">
        <v>59</v>
      </c>
    </row>
    <row r="1391" spans="1:38" ht="30" customHeight="1">
      <c r="A1391" s="3" t="s">
        <v>44</v>
      </c>
      <c r="B1391" s="3" t="s">
        <v>45</v>
      </c>
      <c r="G1391">
        <v>19333</v>
      </c>
      <c r="H1391" s="4">
        <f t="shared" si="7"/>
        <v>20</v>
      </c>
      <c r="I1391" s="7">
        <f t="shared" si="8"/>
        <v>240</v>
      </c>
      <c r="J1391" s="7">
        <f t="shared" si="9"/>
        <v>7327</v>
      </c>
      <c r="K1391" t="s">
        <v>51</v>
      </c>
      <c r="L1391" s="1">
        <v>37759</v>
      </c>
      <c r="M1391" s="17" t="s">
        <v>45</v>
      </c>
      <c r="N1391" t="s">
        <v>101</v>
      </c>
      <c r="O1391" t="s">
        <v>52</v>
      </c>
      <c r="P1391" t="s">
        <v>2592</v>
      </c>
      <c r="Q1391">
        <v>1</v>
      </c>
      <c r="R1391" s="1">
        <v>45090</v>
      </c>
      <c r="S1391" s="1">
        <v>45086</v>
      </c>
      <c r="T1391" s="3" t="s">
        <v>54</v>
      </c>
      <c r="U1391" t="s">
        <v>55</v>
      </c>
      <c r="Z1391">
        <v>6</v>
      </c>
      <c r="AA1391" s="7">
        <f t="shared" si="6"/>
        <v>23</v>
      </c>
      <c r="AB1391" t="s">
        <v>2593</v>
      </c>
      <c r="AG1391" s="7">
        <v>2023</v>
      </c>
      <c r="AH1391" t="s">
        <v>105</v>
      </c>
      <c r="AK1391" t="s">
        <v>2481</v>
      </c>
      <c r="AL1391" s="3" t="s">
        <v>59</v>
      </c>
    </row>
    <row r="1392" spans="1:38" ht="30" customHeight="1">
      <c r="A1392" s="3" t="s">
        <v>44</v>
      </c>
      <c r="B1392" s="3" t="s">
        <v>45</v>
      </c>
      <c r="G1392" t="s">
        <v>2594</v>
      </c>
      <c r="H1392" s="4">
        <f t="shared" si="7"/>
        <v>5</v>
      </c>
      <c r="I1392" s="7">
        <f t="shared" si="8"/>
        <v>70</v>
      </c>
      <c r="J1392" s="7">
        <f t="shared" si="9"/>
        <v>2151</v>
      </c>
      <c r="K1392" t="s">
        <v>64</v>
      </c>
      <c r="L1392" s="1">
        <v>42950</v>
      </c>
      <c r="M1392" s="17" t="s">
        <v>45</v>
      </c>
      <c r="N1392" t="s">
        <v>83</v>
      </c>
      <c r="O1392" t="s">
        <v>52</v>
      </c>
      <c r="P1392" t="s">
        <v>2595</v>
      </c>
      <c r="Q1392">
        <v>0</v>
      </c>
      <c r="R1392" s="1">
        <v>45103</v>
      </c>
      <c r="S1392" s="1">
        <v>45101</v>
      </c>
      <c r="T1392" s="3" t="s">
        <v>54</v>
      </c>
      <c r="U1392" t="s">
        <v>55</v>
      </c>
      <c r="Z1392">
        <v>6</v>
      </c>
      <c r="AA1392" s="7">
        <f t="shared" si="6"/>
        <v>25</v>
      </c>
      <c r="AB1392" t="s">
        <v>2596</v>
      </c>
      <c r="AG1392" s="7">
        <v>2023</v>
      </c>
      <c r="AH1392" t="s">
        <v>482</v>
      </c>
      <c r="AK1392" t="s">
        <v>140</v>
      </c>
      <c r="AL1392" s="3" t="s">
        <v>59</v>
      </c>
    </row>
    <row r="1393" spans="1:38" ht="30" customHeight="1">
      <c r="A1393" s="3" t="s">
        <v>44</v>
      </c>
      <c r="B1393" s="3" t="s">
        <v>45</v>
      </c>
      <c r="G1393" t="s">
        <v>2597</v>
      </c>
      <c r="H1393" s="4">
        <f t="shared" ref="H1393:H1424" si="10">IF(DATEDIF(L1393,S1393,"m")&gt;12,DATEDIF(L1393,S1393,"y"),(DATEDIF(L1393,S1393,"m")/12))</f>
        <v>75</v>
      </c>
      <c r="I1393" s="7">
        <f t="shared" si="8"/>
        <v>903</v>
      </c>
      <c r="J1393" s="7">
        <f t="shared" si="9"/>
        <v>27494</v>
      </c>
      <c r="K1393" t="s">
        <v>64</v>
      </c>
      <c r="L1393" s="1">
        <v>17602</v>
      </c>
      <c r="M1393" s="17" t="s">
        <v>45</v>
      </c>
      <c r="N1393" t="s">
        <v>83</v>
      </c>
      <c r="O1393" t="s">
        <v>52</v>
      </c>
      <c r="P1393" t="s">
        <v>2598</v>
      </c>
      <c r="Q1393">
        <v>0</v>
      </c>
      <c r="R1393" s="1">
        <v>45103</v>
      </c>
      <c r="S1393" s="1">
        <v>45096</v>
      </c>
      <c r="T1393" s="3" t="s">
        <v>54</v>
      </c>
      <c r="U1393" t="s">
        <v>55</v>
      </c>
      <c r="Z1393">
        <v>6</v>
      </c>
      <c r="AA1393" s="7">
        <f t="shared" si="6"/>
        <v>25</v>
      </c>
      <c r="AB1393" t="s">
        <v>2599</v>
      </c>
      <c r="AG1393" s="7">
        <v>2023</v>
      </c>
      <c r="AH1393" t="s">
        <v>482</v>
      </c>
      <c r="AK1393" t="s">
        <v>140</v>
      </c>
      <c r="AL1393" s="3" t="s">
        <v>59</v>
      </c>
    </row>
    <row r="1394" spans="1:38" ht="30" customHeight="1">
      <c r="A1394" s="3" t="s">
        <v>44</v>
      </c>
      <c r="B1394" s="3" t="s">
        <v>45</v>
      </c>
      <c r="G1394">
        <v>10304212</v>
      </c>
      <c r="H1394" s="5">
        <f t="shared" si="10"/>
        <v>0.58333333333333337</v>
      </c>
      <c r="I1394" s="7">
        <f t="shared" si="8"/>
        <v>7</v>
      </c>
      <c r="J1394" s="7">
        <f t="shared" si="9"/>
        <v>229</v>
      </c>
      <c r="K1394" t="s">
        <v>51</v>
      </c>
      <c r="L1394" s="1">
        <v>44854</v>
      </c>
      <c r="M1394" s="17" t="s">
        <v>45</v>
      </c>
      <c r="N1394" t="s">
        <v>65</v>
      </c>
      <c r="O1394" t="s">
        <v>52</v>
      </c>
      <c r="P1394" t="s">
        <v>803</v>
      </c>
      <c r="Q1394">
        <v>0</v>
      </c>
      <c r="R1394" s="1">
        <v>45090</v>
      </c>
      <c r="S1394" s="1">
        <v>45083</v>
      </c>
      <c r="T1394" s="3" t="s">
        <v>54</v>
      </c>
      <c r="U1394" t="s">
        <v>55</v>
      </c>
      <c r="Z1394">
        <v>6</v>
      </c>
      <c r="AA1394" s="7">
        <f t="shared" si="6"/>
        <v>23</v>
      </c>
      <c r="AB1394" t="s">
        <v>2600</v>
      </c>
      <c r="AG1394" s="7">
        <v>2023</v>
      </c>
      <c r="AH1394" t="s">
        <v>105</v>
      </c>
      <c r="AK1394" t="s">
        <v>2543</v>
      </c>
      <c r="AL1394" s="3" t="s">
        <v>59</v>
      </c>
    </row>
    <row r="1395" spans="1:38" ht="30" customHeight="1">
      <c r="A1395" s="3" t="s">
        <v>44</v>
      </c>
      <c r="B1395" s="3" t="s">
        <v>45</v>
      </c>
      <c r="G1395">
        <v>10304876</v>
      </c>
      <c r="H1395" s="4">
        <f t="shared" si="10"/>
        <v>2</v>
      </c>
      <c r="I1395" s="7">
        <f t="shared" si="8"/>
        <v>28</v>
      </c>
      <c r="J1395" s="7">
        <f t="shared" si="9"/>
        <v>872</v>
      </c>
      <c r="K1395" t="s">
        <v>51</v>
      </c>
      <c r="L1395" s="1">
        <v>44215</v>
      </c>
      <c r="M1395" s="17" t="s">
        <v>45</v>
      </c>
      <c r="N1395" t="s">
        <v>101</v>
      </c>
      <c r="O1395" t="s">
        <v>52</v>
      </c>
      <c r="P1395" t="s">
        <v>2601</v>
      </c>
      <c r="Q1395">
        <v>0</v>
      </c>
      <c r="R1395" s="1">
        <v>45099</v>
      </c>
      <c r="S1395" s="1">
        <v>45087</v>
      </c>
      <c r="T1395" s="3" t="s">
        <v>54</v>
      </c>
      <c r="U1395" t="s">
        <v>55</v>
      </c>
      <c r="Z1395">
        <v>6</v>
      </c>
      <c r="AA1395" s="7">
        <f t="shared" si="6"/>
        <v>23</v>
      </c>
      <c r="AB1395" t="s">
        <v>2602</v>
      </c>
      <c r="AG1395" s="7">
        <v>2023</v>
      </c>
      <c r="AH1395" t="s">
        <v>105</v>
      </c>
      <c r="AK1395" t="s">
        <v>2481</v>
      </c>
      <c r="AL1395" s="3" t="s">
        <v>59</v>
      </c>
    </row>
    <row r="1396" spans="1:38" ht="30" customHeight="1">
      <c r="A1396" s="3" t="s">
        <v>44</v>
      </c>
      <c r="B1396" s="3" t="s">
        <v>45</v>
      </c>
      <c r="G1396">
        <v>27245</v>
      </c>
      <c r="H1396" s="4">
        <f t="shared" si="10"/>
        <v>7</v>
      </c>
      <c r="I1396" s="7">
        <f t="shared" si="8"/>
        <v>90</v>
      </c>
      <c r="J1396" s="7">
        <f t="shared" si="9"/>
        <v>2761</v>
      </c>
      <c r="K1396" t="s">
        <v>64</v>
      </c>
      <c r="L1396" s="1">
        <v>42334</v>
      </c>
      <c r="M1396" s="17" t="s">
        <v>45</v>
      </c>
      <c r="N1396" t="s">
        <v>101</v>
      </c>
      <c r="O1396" t="s">
        <v>52</v>
      </c>
      <c r="P1396" t="s">
        <v>2603</v>
      </c>
      <c r="Q1396">
        <v>1</v>
      </c>
      <c r="R1396" s="1">
        <v>45098</v>
      </c>
      <c r="S1396" s="1">
        <v>45095</v>
      </c>
      <c r="T1396" s="3" t="s">
        <v>54</v>
      </c>
      <c r="U1396" t="s">
        <v>55</v>
      </c>
      <c r="Z1396">
        <v>6</v>
      </c>
      <c r="AA1396" s="7">
        <f t="shared" si="6"/>
        <v>25</v>
      </c>
      <c r="AB1396" t="s">
        <v>2604</v>
      </c>
      <c r="AG1396" s="7">
        <v>2023</v>
      </c>
      <c r="AH1396" t="s">
        <v>105</v>
      </c>
      <c r="AK1396" t="s">
        <v>2541</v>
      </c>
      <c r="AL1396" s="3" t="s">
        <v>59</v>
      </c>
    </row>
    <row r="1397" spans="1:38" ht="30" customHeight="1">
      <c r="A1397" s="3" t="s">
        <v>44</v>
      </c>
      <c r="B1397" s="3" t="s">
        <v>45</v>
      </c>
      <c r="G1397">
        <v>28411</v>
      </c>
      <c r="H1397" s="4">
        <f t="shared" si="10"/>
        <v>46</v>
      </c>
      <c r="I1397" s="7">
        <f t="shared" si="8"/>
        <v>556</v>
      </c>
      <c r="J1397" s="7">
        <f t="shared" si="9"/>
        <v>16944</v>
      </c>
      <c r="K1397" t="s">
        <v>64</v>
      </c>
      <c r="L1397" s="1">
        <v>28154</v>
      </c>
      <c r="M1397" s="17" t="s">
        <v>45</v>
      </c>
      <c r="N1397" t="s">
        <v>101</v>
      </c>
      <c r="O1397" t="s">
        <v>52</v>
      </c>
      <c r="P1397" t="s">
        <v>803</v>
      </c>
      <c r="Q1397">
        <v>1</v>
      </c>
      <c r="R1397" s="1">
        <v>45101</v>
      </c>
      <c r="S1397" s="1">
        <v>45098</v>
      </c>
      <c r="T1397" s="3" t="s">
        <v>54</v>
      </c>
      <c r="U1397" t="s">
        <v>55</v>
      </c>
      <c r="Z1397">
        <v>6</v>
      </c>
      <c r="AA1397" s="7">
        <f t="shared" si="6"/>
        <v>25</v>
      </c>
      <c r="AB1397" t="s">
        <v>2605</v>
      </c>
      <c r="AG1397" s="7">
        <v>2023</v>
      </c>
      <c r="AH1397" t="s">
        <v>105</v>
      </c>
      <c r="AK1397" t="s">
        <v>2606</v>
      </c>
      <c r="AL1397" s="3" t="s">
        <v>59</v>
      </c>
    </row>
    <row r="1398" spans="1:38" ht="30" customHeight="1">
      <c r="A1398" s="3" t="s">
        <v>44</v>
      </c>
      <c r="B1398" s="3" t="s">
        <v>45</v>
      </c>
      <c r="G1398">
        <v>28398</v>
      </c>
      <c r="H1398" s="4">
        <f t="shared" si="10"/>
        <v>2</v>
      </c>
      <c r="I1398" s="7">
        <f t="shared" si="8"/>
        <v>25</v>
      </c>
      <c r="J1398" s="7">
        <f t="shared" si="9"/>
        <v>780</v>
      </c>
      <c r="K1398" t="s">
        <v>51</v>
      </c>
      <c r="L1398" s="1">
        <v>44321</v>
      </c>
      <c r="M1398" s="17" t="s">
        <v>45</v>
      </c>
      <c r="N1398" t="s">
        <v>101</v>
      </c>
      <c r="O1398" t="s">
        <v>52</v>
      </c>
      <c r="P1398" t="s">
        <v>803</v>
      </c>
      <c r="Q1398">
        <v>1</v>
      </c>
      <c r="R1398" s="1">
        <v>45101</v>
      </c>
      <c r="S1398" s="1">
        <v>45101</v>
      </c>
      <c r="T1398" s="3" t="s">
        <v>54</v>
      </c>
      <c r="U1398" t="s">
        <v>55</v>
      </c>
      <c r="Z1398">
        <v>6</v>
      </c>
      <c r="AA1398" s="7">
        <f t="shared" si="6"/>
        <v>25</v>
      </c>
      <c r="AB1398" t="s">
        <v>2607</v>
      </c>
      <c r="AG1398" s="7">
        <v>2023</v>
      </c>
      <c r="AH1398" t="s">
        <v>105</v>
      </c>
      <c r="AK1398" t="s">
        <v>2608</v>
      </c>
      <c r="AL1398" s="3" t="s">
        <v>59</v>
      </c>
    </row>
    <row r="1399" spans="1:38" ht="30" customHeight="1">
      <c r="A1399" s="3" t="s">
        <v>44</v>
      </c>
      <c r="B1399" s="3" t="s">
        <v>45</v>
      </c>
      <c r="G1399" s="1">
        <v>19743</v>
      </c>
      <c r="H1399" s="5">
        <f t="shared" si="10"/>
        <v>0.66666666666666663</v>
      </c>
      <c r="I1399" s="7">
        <f t="shared" si="8"/>
        <v>8</v>
      </c>
      <c r="J1399" s="7">
        <f t="shared" si="9"/>
        <v>243</v>
      </c>
      <c r="K1399" t="s">
        <v>51</v>
      </c>
      <c r="L1399" s="1">
        <v>44852</v>
      </c>
      <c r="M1399" s="17" t="s">
        <v>45</v>
      </c>
      <c r="N1399" t="s">
        <v>101</v>
      </c>
      <c r="O1399" t="s">
        <v>52</v>
      </c>
      <c r="P1399" t="s">
        <v>2609</v>
      </c>
      <c r="Q1399">
        <v>1</v>
      </c>
      <c r="R1399" s="1">
        <v>45099</v>
      </c>
      <c r="S1399" s="1">
        <v>45095</v>
      </c>
      <c r="T1399" s="3" t="s">
        <v>54</v>
      </c>
      <c r="U1399" t="s">
        <v>55</v>
      </c>
      <c r="Z1399">
        <v>6</v>
      </c>
      <c r="AA1399" s="7">
        <f t="shared" si="6"/>
        <v>25</v>
      </c>
      <c r="AB1399" t="s">
        <v>2610</v>
      </c>
      <c r="AG1399" s="7">
        <v>2023</v>
      </c>
      <c r="AH1399" t="s">
        <v>223</v>
      </c>
      <c r="AK1399" t="s">
        <v>2611</v>
      </c>
      <c r="AL1399" s="3" t="s">
        <v>59</v>
      </c>
    </row>
    <row r="1400" spans="1:38" ht="30" customHeight="1">
      <c r="A1400" s="3" t="s">
        <v>44</v>
      </c>
      <c r="B1400" s="3" t="s">
        <v>45</v>
      </c>
      <c r="G1400" t="s">
        <v>2612</v>
      </c>
      <c r="H1400" s="5">
        <f t="shared" si="10"/>
        <v>0.41666666666666669</v>
      </c>
      <c r="I1400" s="7">
        <f t="shared" si="8"/>
        <v>5</v>
      </c>
      <c r="J1400" s="7">
        <f t="shared" si="9"/>
        <v>163</v>
      </c>
      <c r="K1400" t="s">
        <v>51</v>
      </c>
      <c r="L1400" s="1">
        <v>44940</v>
      </c>
      <c r="M1400" s="17" t="s">
        <v>45</v>
      </c>
      <c r="N1400" t="s">
        <v>83</v>
      </c>
      <c r="O1400" t="s">
        <v>52</v>
      </c>
      <c r="Q1400">
        <v>0</v>
      </c>
      <c r="R1400" s="1">
        <v>45117</v>
      </c>
      <c r="S1400" s="1">
        <v>45103</v>
      </c>
      <c r="T1400" s="3" t="s">
        <v>54</v>
      </c>
      <c r="U1400" t="s">
        <v>55</v>
      </c>
      <c r="V1400" s="1"/>
      <c r="Z1400">
        <v>6</v>
      </c>
      <c r="AA1400" s="7">
        <f t="shared" si="6"/>
        <v>26</v>
      </c>
      <c r="AB1400" t="s">
        <v>2613</v>
      </c>
      <c r="AG1400" s="7">
        <v>2023</v>
      </c>
      <c r="AH1400" t="s">
        <v>482</v>
      </c>
      <c r="AK1400" t="s">
        <v>2614</v>
      </c>
      <c r="AL1400" s="3" t="s">
        <v>59</v>
      </c>
    </row>
    <row r="1401" spans="1:38" ht="30" customHeight="1">
      <c r="A1401" s="3" t="s">
        <v>44</v>
      </c>
      <c r="B1401" s="3" t="s">
        <v>45</v>
      </c>
      <c r="G1401" t="s">
        <v>2615</v>
      </c>
      <c r="H1401" s="4">
        <f t="shared" si="10"/>
        <v>84</v>
      </c>
      <c r="I1401" s="7">
        <f t="shared" si="8"/>
        <v>1014</v>
      </c>
      <c r="J1401" s="7">
        <f t="shared" si="9"/>
        <v>30887</v>
      </c>
      <c r="K1401" t="s">
        <v>51</v>
      </c>
      <c r="L1401" s="1">
        <v>14226</v>
      </c>
      <c r="M1401" s="17" t="s">
        <v>45</v>
      </c>
      <c r="N1401" t="s">
        <v>83</v>
      </c>
      <c r="O1401" t="s">
        <v>52</v>
      </c>
      <c r="P1401" t="s">
        <v>2579</v>
      </c>
      <c r="Q1401">
        <v>0</v>
      </c>
      <c r="R1401" s="1">
        <v>45117</v>
      </c>
      <c r="S1401" s="1">
        <v>45113</v>
      </c>
      <c r="T1401" s="3" t="s">
        <v>54</v>
      </c>
      <c r="U1401" t="s">
        <v>55</v>
      </c>
      <c r="V1401" s="1"/>
      <c r="Z1401">
        <v>7</v>
      </c>
      <c r="AA1401" s="7">
        <f t="shared" si="6"/>
        <v>27</v>
      </c>
      <c r="AB1401" t="s">
        <v>2616</v>
      </c>
      <c r="AG1401" s="7">
        <v>2023</v>
      </c>
      <c r="AH1401" t="s">
        <v>482</v>
      </c>
      <c r="AK1401" t="s">
        <v>140</v>
      </c>
      <c r="AL1401" s="3" t="s">
        <v>59</v>
      </c>
    </row>
    <row r="1402" spans="1:38" ht="30" customHeight="1">
      <c r="A1402" s="3" t="s">
        <v>44</v>
      </c>
      <c r="B1402" s="3" t="s">
        <v>45</v>
      </c>
      <c r="G1402" t="s">
        <v>2617</v>
      </c>
      <c r="H1402" s="4">
        <f t="shared" si="10"/>
        <v>83</v>
      </c>
      <c r="I1402" s="7">
        <f t="shared" si="8"/>
        <v>1003</v>
      </c>
      <c r="J1402" s="7">
        <f t="shared" si="9"/>
        <v>30538</v>
      </c>
      <c r="K1402" t="s">
        <v>64</v>
      </c>
      <c r="L1402" s="1">
        <v>14576</v>
      </c>
      <c r="M1402" s="17" t="s">
        <v>45</v>
      </c>
      <c r="N1402" t="s">
        <v>83</v>
      </c>
      <c r="O1402" t="s">
        <v>52</v>
      </c>
      <c r="P1402" t="s">
        <v>2472</v>
      </c>
      <c r="Q1402">
        <v>0</v>
      </c>
      <c r="R1402" s="1">
        <v>45117</v>
      </c>
      <c r="S1402" s="1">
        <v>45114</v>
      </c>
      <c r="T1402" s="3" t="s">
        <v>54</v>
      </c>
      <c r="U1402" t="s">
        <v>55</v>
      </c>
      <c r="V1402" s="1"/>
      <c r="Z1402">
        <v>7</v>
      </c>
      <c r="AA1402" s="7">
        <f t="shared" si="6"/>
        <v>27</v>
      </c>
      <c r="AB1402" t="s">
        <v>2618</v>
      </c>
      <c r="AG1402" s="7">
        <v>2023</v>
      </c>
      <c r="AH1402" t="s">
        <v>482</v>
      </c>
      <c r="AK1402" t="s">
        <v>140</v>
      </c>
      <c r="AL1402" s="3" t="s">
        <v>59</v>
      </c>
    </row>
    <row r="1403" spans="1:38" ht="30" customHeight="1">
      <c r="A1403" s="3" t="s">
        <v>44</v>
      </c>
      <c r="B1403" s="3" t="s">
        <v>45</v>
      </c>
      <c r="G1403" t="s">
        <v>2619</v>
      </c>
      <c r="H1403" s="4">
        <f t="shared" si="10"/>
        <v>72</v>
      </c>
      <c r="I1403" s="7">
        <f t="shared" si="8"/>
        <v>870</v>
      </c>
      <c r="J1403" s="7">
        <f t="shared" si="9"/>
        <v>26481</v>
      </c>
      <c r="K1403" t="s">
        <v>51</v>
      </c>
      <c r="L1403" s="1">
        <v>18629</v>
      </c>
      <c r="M1403" s="17" t="s">
        <v>45</v>
      </c>
      <c r="N1403" t="s">
        <v>83</v>
      </c>
      <c r="O1403" t="s">
        <v>52</v>
      </c>
      <c r="P1403" t="s">
        <v>2620</v>
      </c>
      <c r="Q1403">
        <v>0</v>
      </c>
      <c r="R1403" s="1">
        <v>45117</v>
      </c>
      <c r="S1403" s="1">
        <v>45110</v>
      </c>
      <c r="T1403" s="3" t="s">
        <v>54</v>
      </c>
      <c r="U1403" t="s">
        <v>55</v>
      </c>
      <c r="V1403" s="1"/>
      <c r="Z1403">
        <v>7</v>
      </c>
      <c r="AA1403" s="7">
        <f t="shared" si="6"/>
        <v>27</v>
      </c>
      <c r="AB1403" t="s">
        <v>2621</v>
      </c>
      <c r="AG1403" s="7">
        <v>2023</v>
      </c>
      <c r="AH1403" t="s">
        <v>482</v>
      </c>
      <c r="AK1403" t="s">
        <v>2622</v>
      </c>
      <c r="AL1403" s="3" t="s">
        <v>59</v>
      </c>
    </row>
    <row r="1404" spans="1:38" ht="30" customHeight="1">
      <c r="A1404" s="3" t="s">
        <v>44</v>
      </c>
      <c r="B1404" s="3" t="s">
        <v>45</v>
      </c>
      <c r="G1404" t="s">
        <v>2623</v>
      </c>
      <c r="H1404" s="4">
        <f t="shared" si="10"/>
        <v>17</v>
      </c>
      <c r="I1404" s="7">
        <f t="shared" ref="I1404:I1434" si="11">DATEDIF(L1404,S1404,"M")</f>
        <v>215</v>
      </c>
      <c r="J1404" s="7">
        <f t="shared" ref="J1404:J1434" si="12">DATEDIF(L1404,S1404,"D")</f>
        <v>6556</v>
      </c>
      <c r="K1404" t="s">
        <v>51</v>
      </c>
      <c r="L1404" s="1">
        <v>38548</v>
      </c>
      <c r="M1404" s="17" t="s">
        <v>45</v>
      </c>
      <c r="N1404" t="s">
        <v>83</v>
      </c>
      <c r="O1404" t="s">
        <v>52</v>
      </c>
      <c r="P1404" t="s">
        <v>2620</v>
      </c>
      <c r="Q1404">
        <v>0</v>
      </c>
      <c r="R1404" s="1">
        <v>45117</v>
      </c>
      <c r="S1404" s="1">
        <v>45104</v>
      </c>
      <c r="T1404" s="3" t="s">
        <v>54</v>
      </c>
      <c r="U1404" t="s">
        <v>55</v>
      </c>
      <c r="V1404" s="1"/>
      <c r="Z1404">
        <v>6</v>
      </c>
      <c r="AA1404" s="7">
        <f t="shared" si="6"/>
        <v>26</v>
      </c>
      <c r="AB1404" t="s">
        <v>2624</v>
      </c>
      <c r="AG1404" s="7">
        <v>2023</v>
      </c>
      <c r="AH1404" t="s">
        <v>482</v>
      </c>
      <c r="AK1404" t="s">
        <v>2625</v>
      </c>
      <c r="AL1404" s="3" t="s">
        <v>59</v>
      </c>
    </row>
    <row r="1405" spans="1:38" ht="30" customHeight="1">
      <c r="A1405" s="3" t="s">
        <v>44</v>
      </c>
      <c r="B1405" s="3" t="s">
        <v>45</v>
      </c>
      <c r="G1405" t="s">
        <v>2626</v>
      </c>
      <c r="H1405" s="4">
        <f t="shared" si="10"/>
        <v>4</v>
      </c>
      <c r="I1405" s="7">
        <f t="shared" si="11"/>
        <v>55</v>
      </c>
      <c r="J1405" s="7">
        <f t="shared" si="12"/>
        <v>1677</v>
      </c>
      <c r="K1405" t="s">
        <v>64</v>
      </c>
      <c r="L1405" s="1">
        <v>43431</v>
      </c>
      <c r="M1405" s="17" t="s">
        <v>45</v>
      </c>
      <c r="N1405" t="s">
        <v>83</v>
      </c>
      <c r="O1405" t="s">
        <v>52</v>
      </c>
      <c r="P1405" t="s">
        <v>2598</v>
      </c>
      <c r="Q1405">
        <v>0</v>
      </c>
      <c r="R1405" s="1">
        <v>45117</v>
      </c>
      <c r="S1405" s="1">
        <v>45108</v>
      </c>
      <c r="T1405" s="3" t="s">
        <v>54</v>
      </c>
      <c r="U1405" t="s">
        <v>55</v>
      </c>
      <c r="V1405" s="1"/>
      <c r="Z1405">
        <v>7</v>
      </c>
      <c r="AA1405" s="7">
        <f t="shared" si="6"/>
        <v>26</v>
      </c>
      <c r="AB1405" t="s">
        <v>2627</v>
      </c>
      <c r="AG1405" s="7">
        <v>2023</v>
      </c>
      <c r="AH1405" t="s">
        <v>482</v>
      </c>
      <c r="AK1405" t="s">
        <v>2628</v>
      </c>
      <c r="AL1405" s="3" t="s">
        <v>59</v>
      </c>
    </row>
    <row r="1406" spans="1:38" ht="30" customHeight="1">
      <c r="A1406" s="3" t="s">
        <v>44</v>
      </c>
      <c r="B1406" s="3" t="s">
        <v>45</v>
      </c>
      <c r="G1406" t="s">
        <v>2629</v>
      </c>
      <c r="H1406" s="5">
        <f t="shared" si="10"/>
        <v>0.25</v>
      </c>
      <c r="I1406" s="7">
        <f t="shared" si="11"/>
        <v>3</v>
      </c>
      <c r="J1406" s="7">
        <f t="shared" si="12"/>
        <v>121</v>
      </c>
      <c r="K1406" t="s">
        <v>51</v>
      </c>
      <c r="L1406" s="1">
        <v>44989</v>
      </c>
      <c r="M1406" s="17" t="s">
        <v>45</v>
      </c>
      <c r="N1406" t="s">
        <v>83</v>
      </c>
      <c r="O1406" t="s">
        <v>52</v>
      </c>
      <c r="P1406" t="s">
        <v>2630</v>
      </c>
      <c r="Q1406">
        <v>0</v>
      </c>
      <c r="R1406" s="1">
        <v>45117</v>
      </c>
      <c r="S1406" s="1">
        <v>45110</v>
      </c>
      <c r="T1406" s="3" t="s">
        <v>54</v>
      </c>
      <c r="U1406" t="s">
        <v>55</v>
      </c>
      <c r="V1406" s="1"/>
      <c r="Z1406">
        <v>7</v>
      </c>
      <c r="AA1406" s="7">
        <f t="shared" si="6"/>
        <v>27</v>
      </c>
      <c r="AB1406" t="s">
        <v>2631</v>
      </c>
      <c r="AG1406" s="7">
        <v>2023</v>
      </c>
      <c r="AH1406" t="s">
        <v>482</v>
      </c>
      <c r="AK1406" t="s">
        <v>2632</v>
      </c>
      <c r="AL1406" s="3" t="s">
        <v>59</v>
      </c>
    </row>
    <row r="1407" spans="1:38" ht="30" customHeight="1">
      <c r="A1407" s="3" t="s">
        <v>44</v>
      </c>
      <c r="B1407" s="3" t="s">
        <v>45</v>
      </c>
      <c r="G1407" t="s">
        <v>2633</v>
      </c>
      <c r="H1407" s="4">
        <f t="shared" si="10"/>
        <v>3</v>
      </c>
      <c r="I1407" s="7">
        <f t="shared" si="11"/>
        <v>40</v>
      </c>
      <c r="J1407" s="7">
        <f t="shared" si="12"/>
        <v>1233</v>
      </c>
      <c r="K1407" t="s">
        <v>64</v>
      </c>
      <c r="L1407" s="1">
        <v>43877</v>
      </c>
      <c r="M1407" s="17" t="s">
        <v>45</v>
      </c>
      <c r="N1407" t="s">
        <v>83</v>
      </c>
      <c r="O1407" t="s">
        <v>52</v>
      </c>
      <c r="P1407" t="s">
        <v>2472</v>
      </c>
      <c r="Q1407">
        <v>0</v>
      </c>
      <c r="R1407" s="1">
        <v>45117</v>
      </c>
      <c r="S1407" s="1">
        <v>45110</v>
      </c>
      <c r="T1407" s="3" t="s">
        <v>54</v>
      </c>
      <c r="U1407" t="s">
        <v>55</v>
      </c>
      <c r="V1407" s="1"/>
      <c r="Z1407">
        <v>7</v>
      </c>
      <c r="AA1407" s="7">
        <f t="shared" si="6"/>
        <v>27</v>
      </c>
      <c r="AB1407" t="s">
        <v>2634</v>
      </c>
      <c r="AG1407" s="7">
        <v>2023</v>
      </c>
      <c r="AH1407" t="s">
        <v>482</v>
      </c>
      <c r="AK1407" t="s">
        <v>2635</v>
      </c>
      <c r="AL1407" s="3" t="s">
        <v>59</v>
      </c>
    </row>
    <row r="1408" spans="1:38" ht="30" customHeight="1">
      <c r="A1408" s="3" t="s">
        <v>44</v>
      </c>
      <c r="B1408" s="3" t="s">
        <v>45</v>
      </c>
      <c r="G1408" t="s">
        <v>2636</v>
      </c>
      <c r="H1408" s="4">
        <f t="shared" si="10"/>
        <v>1</v>
      </c>
      <c r="I1408" s="7">
        <f t="shared" si="11"/>
        <v>20</v>
      </c>
      <c r="J1408" s="7">
        <f t="shared" si="12"/>
        <v>622</v>
      </c>
      <c r="K1408" t="s">
        <v>51</v>
      </c>
      <c r="L1408" s="1">
        <v>44491</v>
      </c>
      <c r="M1408" s="17" t="s">
        <v>45</v>
      </c>
      <c r="N1408" t="s">
        <v>83</v>
      </c>
      <c r="O1408" t="s">
        <v>52</v>
      </c>
      <c r="P1408" t="s">
        <v>2598</v>
      </c>
      <c r="Q1408">
        <v>0</v>
      </c>
      <c r="R1408" s="1">
        <v>45117</v>
      </c>
      <c r="S1408" s="1">
        <v>45113</v>
      </c>
      <c r="T1408" s="3" t="s">
        <v>54</v>
      </c>
      <c r="U1408" t="s">
        <v>55</v>
      </c>
      <c r="V1408" s="1"/>
      <c r="Z1408">
        <v>7</v>
      </c>
      <c r="AA1408" s="7">
        <f t="shared" si="6"/>
        <v>27</v>
      </c>
      <c r="AB1408" t="s">
        <v>2637</v>
      </c>
      <c r="AG1408" s="7">
        <v>2023</v>
      </c>
      <c r="AH1408" t="s">
        <v>482</v>
      </c>
      <c r="AK1408" t="s">
        <v>2638</v>
      </c>
      <c r="AL1408" s="3" t="s">
        <v>59</v>
      </c>
    </row>
    <row r="1409" spans="1:38" ht="30" customHeight="1">
      <c r="A1409" s="3" t="s">
        <v>44</v>
      </c>
      <c r="B1409" s="3" t="s">
        <v>45</v>
      </c>
      <c r="G1409" t="s">
        <v>2639</v>
      </c>
      <c r="H1409" s="4">
        <f t="shared" si="10"/>
        <v>1</v>
      </c>
      <c r="I1409" s="7">
        <f t="shared" si="11"/>
        <v>23</v>
      </c>
      <c r="J1409" s="7">
        <f t="shared" si="12"/>
        <v>711</v>
      </c>
      <c r="K1409" t="s">
        <v>64</v>
      </c>
      <c r="L1409" s="1">
        <v>44397</v>
      </c>
      <c r="M1409" s="17" t="s">
        <v>45</v>
      </c>
      <c r="N1409" t="s">
        <v>83</v>
      </c>
      <c r="O1409" t="s">
        <v>52</v>
      </c>
      <c r="P1409" t="s">
        <v>2513</v>
      </c>
      <c r="Q1409">
        <v>0</v>
      </c>
      <c r="R1409" s="1">
        <v>45117</v>
      </c>
      <c r="S1409" s="1">
        <v>45108</v>
      </c>
      <c r="T1409" s="3" t="s">
        <v>54</v>
      </c>
      <c r="U1409" t="s">
        <v>55</v>
      </c>
      <c r="V1409" s="1"/>
      <c r="Z1409">
        <v>7</v>
      </c>
      <c r="AA1409" s="7">
        <f t="shared" si="6"/>
        <v>26</v>
      </c>
      <c r="AB1409" t="s">
        <v>2640</v>
      </c>
      <c r="AG1409" s="7">
        <v>2023</v>
      </c>
      <c r="AH1409" t="s">
        <v>482</v>
      </c>
      <c r="AK1409" t="s">
        <v>140</v>
      </c>
      <c r="AL1409" s="3" t="s">
        <v>59</v>
      </c>
    </row>
    <row r="1410" spans="1:38" ht="30" customHeight="1">
      <c r="A1410" s="3" t="s">
        <v>44</v>
      </c>
      <c r="B1410" s="3" t="s">
        <v>45</v>
      </c>
      <c r="G1410" t="s">
        <v>2641</v>
      </c>
      <c r="H1410" s="4">
        <f t="shared" si="10"/>
        <v>1</v>
      </c>
      <c r="I1410" s="7">
        <f t="shared" si="11"/>
        <v>22</v>
      </c>
      <c r="J1410" s="7">
        <f t="shared" si="12"/>
        <v>694</v>
      </c>
      <c r="K1410" t="s">
        <v>64</v>
      </c>
      <c r="L1410" s="1">
        <v>44420</v>
      </c>
      <c r="M1410" s="17" t="s">
        <v>45</v>
      </c>
      <c r="N1410" t="s">
        <v>83</v>
      </c>
      <c r="O1410" t="s">
        <v>52</v>
      </c>
      <c r="P1410" t="s">
        <v>2598</v>
      </c>
      <c r="Q1410">
        <v>0</v>
      </c>
      <c r="R1410" s="1">
        <v>45117</v>
      </c>
      <c r="S1410" s="1">
        <v>45114</v>
      </c>
      <c r="T1410" s="3" t="s">
        <v>54</v>
      </c>
      <c r="U1410" t="s">
        <v>55</v>
      </c>
      <c r="V1410" s="1"/>
      <c r="Z1410">
        <v>7</v>
      </c>
      <c r="AA1410" s="7">
        <f t="shared" ref="AA1410:AA1434" si="13">INT((S1410-DATE(YEAR(S1410-WEEKDAY(S1410-0)+4),1,4)+WEEKDAY(DATE(YEAR(S1410-WEEKDAY(S1410-0)+4),1,4))+6)/7)</f>
        <v>27</v>
      </c>
      <c r="AB1410" t="s">
        <v>2616</v>
      </c>
      <c r="AG1410" s="7">
        <v>2023</v>
      </c>
      <c r="AH1410" t="s">
        <v>482</v>
      </c>
      <c r="AK1410" t="s">
        <v>2642</v>
      </c>
      <c r="AL1410" s="3" t="s">
        <v>59</v>
      </c>
    </row>
    <row r="1411" spans="1:38" ht="30" customHeight="1">
      <c r="A1411" s="3" t="s">
        <v>44</v>
      </c>
      <c r="B1411" s="3" t="s">
        <v>45</v>
      </c>
      <c r="G1411" t="s">
        <v>2645</v>
      </c>
      <c r="H1411" s="4">
        <f t="shared" si="10"/>
        <v>40</v>
      </c>
      <c r="I1411" s="7">
        <f t="shared" si="11"/>
        <v>488</v>
      </c>
      <c r="J1411" s="7">
        <f t="shared" si="12"/>
        <v>14866</v>
      </c>
      <c r="K1411" t="s">
        <v>64</v>
      </c>
      <c r="L1411" s="1">
        <v>30244</v>
      </c>
      <c r="M1411" s="17" t="s">
        <v>45</v>
      </c>
      <c r="N1411" t="s">
        <v>83</v>
      </c>
      <c r="O1411" t="s">
        <v>52</v>
      </c>
      <c r="P1411" t="s">
        <v>2646</v>
      </c>
      <c r="Q1411">
        <v>0</v>
      </c>
      <c r="R1411" s="1">
        <v>45113</v>
      </c>
      <c r="S1411" s="1">
        <v>45110</v>
      </c>
      <c r="T1411" s="3" t="s">
        <v>54</v>
      </c>
      <c r="U1411" t="s">
        <v>55</v>
      </c>
      <c r="V1411" s="1"/>
      <c r="Z1411">
        <v>7</v>
      </c>
      <c r="AA1411" s="7">
        <f t="shared" si="13"/>
        <v>27</v>
      </c>
      <c r="AB1411" t="s">
        <v>2647</v>
      </c>
      <c r="AG1411" s="7">
        <v>2023</v>
      </c>
      <c r="AH1411" t="s">
        <v>482</v>
      </c>
      <c r="AK1411" t="s">
        <v>2638</v>
      </c>
      <c r="AL1411" s="3" t="s">
        <v>59</v>
      </c>
    </row>
    <row r="1412" spans="1:38" ht="30" customHeight="1">
      <c r="A1412" s="3" t="s">
        <v>44</v>
      </c>
      <c r="B1412" s="3" t="s">
        <v>45</v>
      </c>
      <c r="G1412" t="s">
        <v>2648</v>
      </c>
      <c r="H1412" s="4">
        <f t="shared" si="10"/>
        <v>66</v>
      </c>
      <c r="I1412" s="7">
        <f t="shared" si="11"/>
        <v>796</v>
      </c>
      <c r="J1412" s="7">
        <f t="shared" si="12"/>
        <v>24240</v>
      </c>
      <c r="K1412" t="s">
        <v>51</v>
      </c>
      <c r="L1412" s="1">
        <v>20858</v>
      </c>
      <c r="M1412" s="17" t="s">
        <v>45</v>
      </c>
      <c r="N1412" t="s">
        <v>83</v>
      </c>
      <c r="O1412" t="s">
        <v>52</v>
      </c>
      <c r="P1412" t="s">
        <v>2527</v>
      </c>
      <c r="Q1412">
        <v>0</v>
      </c>
      <c r="R1412" s="1">
        <v>45113</v>
      </c>
      <c r="S1412" s="1">
        <v>45098</v>
      </c>
      <c r="T1412" s="3" t="s">
        <v>54</v>
      </c>
      <c r="U1412" t="s">
        <v>55</v>
      </c>
      <c r="V1412" s="1"/>
      <c r="Z1412">
        <v>6</v>
      </c>
      <c r="AA1412" s="7">
        <f t="shared" si="13"/>
        <v>25</v>
      </c>
      <c r="AB1412" t="s">
        <v>2649</v>
      </c>
      <c r="AG1412" s="7">
        <v>2023</v>
      </c>
      <c r="AH1412" t="s">
        <v>482</v>
      </c>
      <c r="AK1412" t="s">
        <v>2638</v>
      </c>
      <c r="AL1412" s="3" t="s">
        <v>59</v>
      </c>
    </row>
    <row r="1413" spans="1:38" ht="30" customHeight="1">
      <c r="A1413" s="3" t="s">
        <v>44</v>
      </c>
      <c r="B1413" s="3" t="s">
        <v>45</v>
      </c>
      <c r="G1413" t="s">
        <v>2650</v>
      </c>
      <c r="H1413" s="4">
        <f t="shared" si="10"/>
        <v>33</v>
      </c>
      <c r="I1413" s="7">
        <f t="shared" si="11"/>
        <v>404</v>
      </c>
      <c r="J1413" s="7">
        <f t="shared" si="12"/>
        <v>12297</v>
      </c>
      <c r="K1413" t="s">
        <v>64</v>
      </c>
      <c r="L1413" s="1">
        <v>32811</v>
      </c>
      <c r="M1413" s="17" t="s">
        <v>45</v>
      </c>
      <c r="N1413" t="s">
        <v>83</v>
      </c>
      <c r="O1413" t="s">
        <v>52</v>
      </c>
      <c r="P1413" t="s">
        <v>2513</v>
      </c>
      <c r="Q1413">
        <v>0</v>
      </c>
      <c r="R1413" s="1">
        <v>45113</v>
      </c>
      <c r="S1413" s="1">
        <v>45108</v>
      </c>
      <c r="T1413" s="3" t="s">
        <v>54</v>
      </c>
      <c r="U1413" t="s">
        <v>55</v>
      </c>
      <c r="V1413" s="1"/>
      <c r="Z1413">
        <v>7</v>
      </c>
      <c r="AA1413" s="7">
        <f t="shared" si="13"/>
        <v>26</v>
      </c>
      <c r="AB1413" t="s">
        <v>2651</v>
      </c>
      <c r="AG1413" s="7">
        <v>2023</v>
      </c>
      <c r="AH1413" t="s">
        <v>482</v>
      </c>
      <c r="AK1413" t="s">
        <v>2519</v>
      </c>
      <c r="AL1413" s="3" t="s">
        <v>59</v>
      </c>
    </row>
    <row r="1414" spans="1:38" ht="30" customHeight="1">
      <c r="A1414" s="3" t="s">
        <v>44</v>
      </c>
      <c r="B1414" s="3" t="s">
        <v>45</v>
      </c>
      <c r="G1414" t="s">
        <v>2652</v>
      </c>
      <c r="H1414" s="19">
        <f t="shared" si="10"/>
        <v>3</v>
      </c>
      <c r="I1414" s="7">
        <f t="shared" si="11"/>
        <v>42</v>
      </c>
      <c r="J1414" s="7">
        <f t="shared" si="12"/>
        <v>1285</v>
      </c>
      <c r="K1414" t="s">
        <v>51</v>
      </c>
      <c r="L1414" s="1">
        <v>43826</v>
      </c>
      <c r="M1414" s="17" t="s">
        <v>45</v>
      </c>
      <c r="N1414" t="s">
        <v>83</v>
      </c>
      <c r="O1414" t="s">
        <v>52</v>
      </c>
      <c r="Q1414">
        <v>0</v>
      </c>
      <c r="R1414" s="1">
        <v>45113</v>
      </c>
      <c r="S1414" s="1">
        <v>45111</v>
      </c>
      <c r="T1414" s="3" t="s">
        <v>54</v>
      </c>
      <c r="U1414" t="s">
        <v>55</v>
      </c>
      <c r="V1414" s="1"/>
      <c r="Z1414">
        <v>7</v>
      </c>
      <c r="AA1414" s="7">
        <f t="shared" si="13"/>
        <v>27</v>
      </c>
      <c r="AB1414" t="s">
        <v>2653</v>
      </c>
      <c r="AG1414" s="7">
        <v>2023</v>
      </c>
      <c r="AH1414" t="s">
        <v>482</v>
      </c>
      <c r="AK1414" t="s">
        <v>2654</v>
      </c>
      <c r="AL1414" s="3" t="s">
        <v>59</v>
      </c>
    </row>
    <row r="1415" spans="1:38" ht="30" customHeight="1">
      <c r="A1415" s="3" t="s">
        <v>44</v>
      </c>
      <c r="B1415" s="3" t="s">
        <v>45</v>
      </c>
      <c r="G1415" t="s">
        <v>2655</v>
      </c>
      <c r="H1415" s="20">
        <f t="shared" si="10"/>
        <v>0.33333333333333331</v>
      </c>
      <c r="I1415" s="7">
        <f t="shared" si="11"/>
        <v>4</v>
      </c>
      <c r="J1415" s="7">
        <f t="shared" si="12"/>
        <v>148</v>
      </c>
      <c r="K1415" t="s">
        <v>51</v>
      </c>
      <c r="L1415" s="1">
        <v>44959</v>
      </c>
      <c r="M1415" s="17" t="s">
        <v>45</v>
      </c>
      <c r="N1415" t="s">
        <v>83</v>
      </c>
      <c r="O1415" t="s">
        <v>52</v>
      </c>
      <c r="P1415" t="s">
        <v>2521</v>
      </c>
      <c r="Q1415">
        <v>0</v>
      </c>
      <c r="R1415" s="1">
        <v>45113</v>
      </c>
      <c r="S1415" s="1">
        <v>45107</v>
      </c>
      <c r="T1415" s="3" t="s">
        <v>54</v>
      </c>
      <c r="U1415" t="s">
        <v>55</v>
      </c>
      <c r="V1415" s="1"/>
      <c r="Z1415">
        <v>6</v>
      </c>
      <c r="AA1415" s="7">
        <f t="shared" si="13"/>
        <v>26</v>
      </c>
      <c r="AB1415" t="s">
        <v>2656</v>
      </c>
      <c r="AG1415" s="7">
        <v>2023</v>
      </c>
      <c r="AH1415" t="s">
        <v>482</v>
      </c>
      <c r="AK1415" t="s">
        <v>140</v>
      </c>
      <c r="AL1415" s="3" t="s">
        <v>59</v>
      </c>
    </row>
    <row r="1416" spans="1:38" ht="30" customHeight="1">
      <c r="A1416" s="3" t="s">
        <v>44</v>
      </c>
      <c r="B1416" s="3" t="s">
        <v>45</v>
      </c>
      <c r="G1416" t="s">
        <v>2657</v>
      </c>
      <c r="H1416" s="20">
        <f t="shared" si="10"/>
        <v>0.16666666666666666</v>
      </c>
      <c r="I1416" s="7">
        <f t="shared" si="11"/>
        <v>2</v>
      </c>
      <c r="J1416" s="7">
        <f t="shared" si="12"/>
        <v>83</v>
      </c>
      <c r="K1416" t="s">
        <v>51</v>
      </c>
      <c r="L1416" s="1">
        <v>45029</v>
      </c>
      <c r="M1416" s="17" t="s">
        <v>45</v>
      </c>
      <c r="N1416" t="s">
        <v>83</v>
      </c>
      <c r="O1416" t="s">
        <v>52</v>
      </c>
      <c r="P1416" t="s">
        <v>2598</v>
      </c>
      <c r="Q1416">
        <v>0</v>
      </c>
      <c r="R1416" s="1">
        <v>45113</v>
      </c>
      <c r="S1416" s="1">
        <v>45112</v>
      </c>
      <c r="T1416" s="3" t="s">
        <v>54</v>
      </c>
      <c r="U1416" t="s">
        <v>55</v>
      </c>
      <c r="V1416" s="1"/>
      <c r="Z1416">
        <v>7</v>
      </c>
      <c r="AA1416" s="7">
        <f t="shared" si="13"/>
        <v>27</v>
      </c>
      <c r="AB1416" t="s">
        <v>2658</v>
      </c>
      <c r="AG1416" s="7">
        <v>2023</v>
      </c>
      <c r="AH1416" t="s">
        <v>482</v>
      </c>
      <c r="AK1416" t="s">
        <v>2659</v>
      </c>
      <c r="AL1416" s="3" t="s">
        <v>59</v>
      </c>
    </row>
    <row r="1417" spans="1:38" ht="30" customHeight="1">
      <c r="A1417" s="3" t="s">
        <v>44</v>
      </c>
      <c r="B1417" s="3" t="s">
        <v>45</v>
      </c>
      <c r="G1417" t="s">
        <v>2660</v>
      </c>
      <c r="H1417" s="19">
        <f t="shared" si="10"/>
        <v>32</v>
      </c>
      <c r="I1417" s="7">
        <f t="shared" si="11"/>
        <v>384</v>
      </c>
      <c r="J1417" s="7">
        <f t="shared" si="12"/>
        <v>11697</v>
      </c>
      <c r="K1417" t="s">
        <v>64</v>
      </c>
      <c r="L1417" s="1">
        <v>33355</v>
      </c>
      <c r="M1417" s="17" t="s">
        <v>45</v>
      </c>
      <c r="N1417" t="s">
        <v>83</v>
      </c>
      <c r="O1417" t="s">
        <v>52</v>
      </c>
      <c r="P1417" t="s">
        <v>2661</v>
      </c>
      <c r="Q1417">
        <v>0</v>
      </c>
      <c r="R1417" s="1">
        <v>45113</v>
      </c>
      <c r="S1417" s="1">
        <v>45052</v>
      </c>
      <c r="T1417" s="3" t="s">
        <v>54</v>
      </c>
      <c r="U1417" t="s">
        <v>55</v>
      </c>
      <c r="V1417" s="1"/>
      <c r="Z1417">
        <v>5</v>
      </c>
      <c r="AA1417" s="7">
        <f t="shared" si="13"/>
        <v>18</v>
      </c>
      <c r="AB1417" t="s">
        <v>2662</v>
      </c>
      <c r="AG1417" s="7">
        <v>2023</v>
      </c>
      <c r="AH1417" t="s">
        <v>482</v>
      </c>
      <c r="AK1417" t="s">
        <v>140</v>
      </c>
      <c r="AL1417" s="3" t="s">
        <v>59</v>
      </c>
    </row>
    <row r="1418" spans="1:38" ht="30" customHeight="1">
      <c r="A1418" s="3" t="s">
        <v>44</v>
      </c>
      <c r="B1418" s="3" t="s">
        <v>45</v>
      </c>
      <c r="G1418" t="s">
        <v>2663</v>
      </c>
      <c r="H1418" s="19">
        <f t="shared" si="10"/>
        <v>5</v>
      </c>
      <c r="I1418" s="7">
        <f t="shared" si="11"/>
        <v>69</v>
      </c>
      <c r="J1418" s="7">
        <f t="shared" si="12"/>
        <v>2114</v>
      </c>
      <c r="K1418" t="s">
        <v>64</v>
      </c>
      <c r="L1418" s="1">
        <v>42997</v>
      </c>
      <c r="M1418" s="17" t="s">
        <v>45</v>
      </c>
      <c r="N1418" t="s">
        <v>83</v>
      </c>
      <c r="O1418" t="s">
        <v>52</v>
      </c>
      <c r="P1418" t="s">
        <v>2664</v>
      </c>
      <c r="Q1418">
        <v>0</v>
      </c>
      <c r="R1418" s="1">
        <v>45113</v>
      </c>
      <c r="S1418" s="1">
        <v>45111</v>
      </c>
      <c r="T1418" s="3" t="s">
        <v>54</v>
      </c>
      <c r="U1418" t="s">
        <v>55</v>
      </c>
      <c r="V1418" s="1"/>
      <c r="Z1418">
        <v>7</v>
      </c>
      <c r="AA1418" s="7">
        <f t="shared" si="13"/>
        <v>27</v>
      </c>
      <c r="AB1418" t="s">
        <v>2665</v>
      </c>
      <c r="AG1418" s="7">
        <v>2023</v>
      </c>
      <c r="AH1418" t="s">
        <v>482</v>
      </c>
      <c r="AK1418" t="s">
        <v>2666</v>
      </c>
      <c r="AL1418" s="3" t="s">
        <v>59</v>
      </c>
    </row>
    <row r="1419" spans="1:38" ht="30" customHeight="1">
      <c r="A1419" s="3" t="s">
        <v>44</v>
      </c>
      <c r="B1419" s="3" t="s">
        <v>45</v>
      </c>
      <c r="G1419" t="s">
        <v>2667</v>
      </c>
      <c r="H1419" s="19">
        <f t="shared" si="10"/>
        <v>8</v>
      </c>
      <c r="I1419" s="7">
        <f t="shared" si="11"/>
        <v>105</v>
      </c>
      <c r="J1419" s="7">
        <f t="shared" si="12"/>
        <v>3222</v>
      </c>
      <c r="K1419" t="s">
        <v>51</v>
      </c>
      <c r="L1419" s="1">
        <v>41898</v>
      </c>
      <c r="M1419" s="17" t="s">
        <v>45</v>
      </c>
      <c r="N1419" t="s">
        <v>83</v>
      </c>
      <c r="O1419" t="s">
        <v>52</v>
      </c>
      <c r="P1419" t="s">
        <v>2620</v>
      </c>
      <c r="Q1419">
        <v>0</v>
      </c>
      <c r="R1419" s="1">
        <v>45125</v>
      </c>
      <c r="S1419" s="1">
        <v>45120</v>
      </c>
      <c r="T1419" s="3" t="s">
        <v>54</v>
      </c>
      <c r="U1419" t="s">
        <v>55</v>
      </c>
      <c r="Z1419">
        <v>7</v>
      </c>
      <c r="AA1419" s="7">
        <f t="shared" si="13"/>
        <v>28</v>
      </c>
      <c r="AB1419" t="s">
        <v>2668</v>
      </c>
      <c r="AG1419" s="7">
        <v>2023</v>
      </c>
      <c r="AH1419" t="s">
        <v>482</v>
      </c>
      <c r="AK1419" t="s">
        <v>2625</v>
      </c>
      <c r="AL1419" s="3" t="s">
        <v>59</v>
      </c>
    </row>
    <row r="1420" spans="1:38" ht="30" customHeight="1">
      <c r="A1420" s="3" t="s">
        <v>44</v>
      </c>
      <c r="B1420" s="3" t="s">
        <v>45</v>
      </c>
      <c r="G1420" t="s">
        <v>2669</v>
      </c>
      <c r="H1420" s="19">
        <f t="shared" si="10"/>
        <v>14</v>
      </c>
      <c r="I1420" s="7">
        <f t="shared" si="11"/>
        <v>175</v>
      </c>
      <c r="J1420" s="7">
        <f t="shared" si="12"/>
        <v>5352</v>
      </c>
      <c r="K1420" t="s">
        <v>64</v>
      </c>
      <c r="L1420" s="1">
        <v>39772</v>
      </c>
      <c r="M1420" s="17" t="s">
        <v>45</v>
      </c>
      <c r="N1420" t="s">
        <v>83</v>
      </c>
      <c r="O1420" t="s">
        <v>52</v>
      </c>
      <c r="P1420" t="s">
        <v>2670</v>
      </c>
      <c r="Q1420">
        <v>0</v>
      </c>
      <c r="R1420" s="1">
        <v>45125</v>
      </c>
      <c r="S1420" s="1">
        <v>45124</v>
      </c>
      <c r="T1420" s="3" t="s">
        <v>54</v>
      </c>
      <c r="U1420" t="s">
        <v>55</v>
      </c>
      <c r="Z1420">
        <v>7</v>
      </c>
      <c r="AA1420" s="7">
        <f t="shared" si="13"/>
        <v>29</v>
      </c>
      <c r="AB1420" t="s">
        <v>2671</v>
      </c>
      <c r="AG1420" s="7">
        <v>2023</v>
      </c>
      <c r="AH1420" t="s">
        <v>482</v>
      </c>
      <c r="AK1420" t="s">
        <v>2672</v>
      </c>
      <c r="AL1420" s="3" t="s">
        <v>59</v>
      </c>
    </row>
    <row r="1421" spans="1:38" ht="30" customHeight="1">
      <c r="A1421" s="3" t="s">
        <v>44</v>
      </c>
      <c r="B1421" s="3" t="s">
        <v>45</v>
      </c>
      <c r="G1421" t="s">
        <v>2673</v>
      </c>
      <c r="H1421" s="19">
        <f t="shared" si="10"/>
        <v>1</v>
      </c>
      <c r="I1421" s="7">
        <f t="shared" si="11"/>
        <v>13</v>
      </c>
      <c r="J1421" s="7">
        <f t="shared" si="12"/>
        <v>405</v>
      </c>
      <c r="K1421" t="s">
        <v>64</v>
      </c>
      <c r="L1421" s="1">
        <v>44708</v>
      </c>
      <c r="M1421" s="17" t="s">
        <v>45</v>
      </c>
      <c r="N1421" t="s">
        <v>83</v>
      </c>
      <c r="O1421" t="s">
        <v>52</v>
      </c>
      <c r="P1421" t="s">
        <v>2518</v>
      </c>
      <c r="Q1421">
        <v>0</v>
      </c>
      <c r="R1421" s="1">
        <v>45121</v>
      </c>
      <c r="S1421" s="1">
        <v>45113</v>
      </c>
      <c r="T1421" s="3" t="s">
        <v>54</v>
      </c>
      <c r="U1421" t="s">
        <v>55</v>
      </c>
      <c r="Z1421">
        <v>7</v>
      </c>
      <c r="AA1421" s="7">
        <f t="shared" si="13"/>
        <v>27</v>
      </c>
      <c r="AB1421" t="s">
        <v>2674</v>
      </c>
      <c r="AG1421" s="7">
        <v>2023</v>
      </c>
      <c r="AH1421" t="s">
        <v>482</v>
      </c>
      <c r="AK1421" t="s">
        <v>2625</v>
      </c>
      <c r="AL1421" s="3" t="s">
        <v>59</v>
      </c>
    </row>
    <row r="1422" spans="1:38" ht="30" customHeight="1">
      <c r="A1422" s="3" t="s">
        <v>44</v>
      </c>
      <c r="B1422" s="3" t="s">
        <v>45</v>
      </c>
      <c r="G1422" t="s">
        <v>2675</v>
      </c>
      <c r="H1422" s="20">
        <f t="shared" si="10"/>
        <v>0.83333333333333337</v>
      </c>
      <c r="I1422" s="7">
        <f t="shared" si="11"/>
        <v>10</v>
      </c>
      <c r="J1422" s="7">
        <f t="shared" si="12"/>
        <v>306</v>
      </c>
      <c r="K1422" t="s">
        <v>51</v>
      </c>
      <c r="L1422" s="1">
        <v>44811</v>
      </c>
      <c r="M1422" s="17" t="s">
        <v>45</v>
      </c>
      <c r="N1422" t="s">
        <v>83</v>
      </c>
      <c r="O1422" t="s">
        <v>52</v>
      </c>
      <c r="P1422" t="s">
        <v>2518</v>
      </c>
      <c r="Q1422">
        <v>0</v>
      </c>
      <c r="R1422" s="1">
        <v>45121</v>
      </c>
      <c r="S1422" s="1">
        <v>45117</v>
      </c>
      <c r="T1422" s="3" t="s">
        <v>54</v>
      </c>
      <c r="U1422" t="s">
        <v>55</v>
      </c>
      <c r="Z1422">
        <v>7</v>
      </c>
      <c r="AA1422" s="7">
        <f t="shared" si="13"/>
        <v>28</v>
      </c>
      <c r="AB1422" t="s">
        <v>2676</v>
      </c>
      <c r="AG1422" s="7">
        <v>2023</v>
      </c>
      <c r="AH1422" t="s">
        <v>482</v>
      </c>
      <c r="AK1422" t="s">
        <v>2677</v>
      </c>
      <c r="AL1422" s="3" t="s">
        <v>59</v>
      </c>
    </row>
    <row r="1423" spans="1:38" ht="30" customHeight="1">
      <c r="A1423" s="3" t="s">
        <v>44</v>
      </c>
      <c r="B1423" s="3" t="s">
        <v>45</v>
      </c>
      <c r="G1423" t="s">
        <v>2678</v>
      </c>
      <c r="H1423" s="19">
        <f t="shared" si="10"/>
        <v>65</v>
      </c>
      <c r="I1423" s="7">
        <f t="shared" si="11"/>
        <v>781</v>
      </c>
      <c r="J1423" s="7">
        <f t="shared" si="12"/>
        <v>23776</v>
      </c>
      <c r="K1423" t="s">
        <v>64</v>
      </c>
      <c r="L1423" s="1">
        <v>21339</v>
      </c>
      <c r="M1423" s="17" t="s">
        <v>45</v>
      </c>
      <c r="N1423" t="s">
        <v>83</v>
      </c>
      <c r="O1423" t="s">
        <v>52</v>
      </c>
      <c r="P1423" t="s">
        <v>480</v>
      </c>
      <c r="Q1423">
        <v>0</v>
      </c>
      <c r="R1423" s="1">
        <v>45121</v>
      </c>
      <c r="S1423" s="1">
        <v>45115</v>
      </c>
      <c r="T1423" s="3" t="s">
        <v>54</v>
      </c>
      <c r="U1423" t="s">
        <v>55</v>
      </c>
      <c r="Z1423">
        <v>7</v>
      </c>
      <c r="AA1423" s="7">
        <f t="shared" si="13"/>
        <v>27</v>
      </c>
      <c r="AB1423" t="s">
        <v>2679</v>
      </c>
      <c r="AG1423" s="7">
        <v>2023</v>
      </c>
      <c r="AH1423" t="s">
        <v>482</v>
      </c>
      <c r="AK1423" t="s">
        <v>140</v>
      </c>
      <c r="AL1423" s="3" t="s">
        <v>59</v>
      </c>
    </row>
    <row r="1424" spans="1:38" ht="30" customHeight="1">
      <c r="A1424" s="3" t="s">
        <v>44</v>
      </c>
      <c r="B1424" s="3" t="s">
        <v>45</v>
      </c>
      <c r="G1424" t="s">
        <v>2680</v>
      </c>
      <c r="H1424" s="20">
        <f t="shared" si="10"/>
        <v>0.58333333333333337</v>
      </c>
      <c r="I1424" s="7">
        <f t="shared" si="11"/>
        <v>7</v>
      </c>
      <c r="J1424" s="7">
        <f t="shared" si="12"/>
        <v>213</v>
      </c>
      <c r="K1424" t="s">
        <v>51</v>
      </c>
      <c r="L1424" s="1">
        <v>44905</v>
      </c>
      <c r="M1424" s="17" t="s">
        <v>45</v>
      </c>
      <c r="N1424" t="s">
        <v>83</v>
      </c>
      <c r="O1424" t="s">
        <v>52</v>
      </c>
      <c r="P1424" t="s">
        <v>2598</v>
      </c>
      <c r="Q1424">
        <v>0</v>
      </c>
      <c r="R1424" s="1">
        <v>45121</v>
      </c>
      <c r="S1424" s="1">
        <v>45118</v>
      </c>
      <c r="T1424" s="3" t="s">
        <v>54</v>
      </c>
      <c r="U1424" t="s">
        <v>55</v>
      </c>
      <c r="Z1424">
        <v>7</v>
      </c>
      <c r="AA1424" s="7">
        <f t="shared" si="13"/>
        <v>28</v>
      </c>
      <c r="AB1424" t="s">
        <v>2681</v>
      </c>
      <c r="AG1424" s="7">
        <v>2023</v>
      </c>
      <c r="AH1424" t="s">
        <v>482</v>
      </c>
      <c r="AK1424" t="s">
        <v>2638</v>
      </c>
      <c r="AL1424" s="3" t="s">
        <v>59</v>
      </c>
    </row>
    <row r="1425" spans="1:38" ht="30" customHeight="1">
      <c r="A1425" s="3" t="s">
        <v>44</v>
      </c>
      <c r="B1425" s="3" t="s">
        <v>45</v>
      </c>
      <c r="G1425" t="s">
        <v>2682</v>
      </c>
      <c r="H1425" s="20">
        <f t="shared" ref="H1425:H1434" si="14">IF(DATEDIF(L1425,S1425,"m")&gt;12,DATEDIF(L1425,S1425,"y"),(DATEDIF(L1425,S1425,"m")/12))</f>
        <v>8.3333333333333329E-2</v>
      </c>
      <c r="I1425" s="7">
        <f t="shared" si="11"/>
        <v>1</v>
      </c>
      <c r="J1425" s="7">
        <f t="shared" si="12"/>
        <v>55</v>
      </c>
      <c r="K1425" t="s">
        <v>64</v>
      </c>
      <c r="L1425" s="1">
        <v>45058</v>
      </c>
      <c r="M1425" s="17" t="s">
        <v>45</v>
      </c>
      <c r="N1425" t="s">
        <v>83</v>
      </c>
      <c r="O1425" t="s">
        <v>52</v>
      </c>
      <c r="P1425" t="s">
        <v>2598</v>
      </c>
      <c r="Q1425">
        <v>0</v>
      </c>
      <c r="R1425" s="1">
        <v>45121</v>
      </c>
      <c r="S1425" s="1">
        <v>45113</v>
      </c>
      <c r="T1425" s="3" t="s">
        <v>54</v>
      </c>
      <c r="U1425" t="s">
        <v>55</v>
      </c>
      <c r="Z1425">
        <v>7</v>
      </c>
      <c r="AA1425" s="7">
        <f t="shared" si="13"/>
        <v>27</v>
      </c>
      <c r="AB1425" t="s">
        <v>2683</v>
      </c>
      <c r="AG1425" s="7">
        <v>2023</v>
      </c>
      <c r="AH1425" t="s">
        <v>482</v>
      </c>
      <c r="AK1425" t="s">
        <v>2684</v>
      </c>
      <c r="AL1425" s="3" t="s">
        <v>59</v>
      </c>
    </row>
    <row r="1426" spans="1:38" ht="30" customHeight="1">
      <c r="A1426" s="3" t="s">
        <v>44</v>
      </c>
      <c r="B1426" s="3" t="s">
        <v>45</v>
      </c>
      <c r="G1426" t="s">
        <v>2685</v>
      </c>
      <c r="H1426" s="19">
        <f t="shared" si="14"/>
        <v>53</v>
      </c>
      <c r="I1426" s="7">
        <f t="shared" si="11"/>
        <v>639</v>
      </c>
      <c r="J1426" s="7">
        <f t="shared" si="12"/>
        <v>19478</v>
      </c>
      <c r="K1426" t="s">
        <v>64</v>
      </c>
      <c r="L1426" s="1">
        <v>25640</v>
      </c>
      <c r="M1426" s="17" t="s">
        <v>45</v>
      </c>
      <c r="N1426" t="s">
        <v>83</v>
      </c>
      <c r="O1426" t="s">
        <v>52</v>
      </c>
      <c r="P1426" t="s">
        <v>2558</v>
      </c>
      <c r="Q1426">
        <v>0</v>
      </c>
      <c r="R1426" s="1">
        <v>45121</v>
      </c>
      <c r="S1426" s="1">
        <v>45118</v>
      </c>
      <c r="T1426" s="3" t="s">
        <v>54</v>
      </c>
      <c r="U1426" t="s">
        <v>55</v>
      </c>
      <c r="Z1426">
        <v>7</v>
      </c>
      <c r="AA1426" s="7">
        <f t="shared" si="13"/>
        <v>28</v>
      </c>
      <c r="AB1426" t="s">
        <v>2686</v>
      </c>
      <c r="AG1426" s="7">
        <v>2023</v>
      </c>
      <c r="AH1426" t="s">
        <v>482</v>
      </c>
      <c r="AK1426" t="s">
        <v>140</v>
      </c>
      <c r="AL1426" s="3" t="s">
        <v>59</v>
      </c>
    </row>
    <row r="1427" spans="1:38" ht="30" customHeight="1">
      <c r="A1427" s="3" t="s">
        <v>44</v>
      </c>
      <c r="B1427" s="3" t="s">
        <v>45</v>
      </c>
      <c r="G1427" t="s">
        <v>2687</v>
      </c>
      <c r="H1427" s="19">
        <f t="shared" si="14"/>
        <v>45</v>
      </c>
      <c r="I1427" s="7">
        <f t="shared" si="11"/>
        <v>550</v>
      </c>
      <c r="J1427" s="7">
        <f t="shared" si="12"/>
        <v>16742</v>
      </c>
      <c r="K1427" t="s">
        <v>51</v>
      </c>
      <c r="L1427" s="1">
        <v>28374</v>
      </c>
      <c r="M1427" s="17" t="s">
        <v>45</v>
      </c>
      <c r="N1427" t="s">
        <v>83</v>
      </c>
      <c r="O1427" t="s">
        <v>52</v>
      </c>
      <c r="P1427" t="s">
        <v>2521</v>
      </c>
      <c r="Q1427">
        <v>0</v>
      </c>
      <c r="R1427" s="1">
        <v>45121</v>
      </c>
      <c r="S1427" s="1">
        <v>45116</v>
      </c>
      <c r="T1427" s="3" t="s">
        <v>54</v>
      </c>
      <c r="U1427" t="s">
        <v>55</v>
      </c>
      <c r="Z1427">
        <v>7</v>
      </c>
      <c r="AA1427" s="7">
        <f t="shared" si="13"/>
        <v>28</v>
      </c>
      <c r="AB1427" t="s">
        <v>2688</v>
      </c>
      <c r="AG1427" s="7">
        <v>2023</v>
      </c>
      <c r="AH1427" t="s">
        <v>482</v>
      </c>
      <c r="AK1427" t="s">
        <v>2556</v>
      </c>
      <c r="AL1427" s="3" t="s">
        <v>59</v>
      </c>
    </row>
    <row r="1428" spans="1:38" ht="30" customHeight="1">
      <c r="A1428" s="3" t="s">
        <v>44</v>
      </c>
      <c r="B1428" s="3" t="s">
        <v>45</v>
      </c>
      <c r="G1428" t="s">
        <v>2689</v>
      </c>
      <c r="H1428" s="19">
        <f t="shared" si="14"/>
        <v>41</v>
      </c>
      <c r="I1428" s="7">
        <f t="shared" si="11"/>
        <v>501</v>
      </c>
      <c r="J1428" s="7">
        <f t="shared" si="12"/>
        <v>15256</v>
      </c>
      <c r="K1428" t="s">
        <v>51</v>
      </c>
      <c r="L1428" s="1">
        <v>29849</v>
      </c>
      <c r="M1428" s="17" t="s">
        <v>45</v>
      </c>
      <c r="N1428" t="s">
        <v>83</v>
      </c>
      <c r="O1428" t="s">
        <v>52</v>
      </c>
      <c r="P1428" t="s">
        <v>2518</v>
      </c>
      <c r="Q1428">
        <v>0</v>
      </c>
      <c r="R1428" s="1">
        <v>45121</v>
      </c>
      <c r="S1428" s="1">
        <v>45105</v>
      </c>
      <c r="T1428" s="3" t="s">
        <v>54</v>
      </c>
      <c r="U1428" t="s">
        <v>55</v>
      </c>
      <c r="Z1428">
        <v>6</v>
      </c>
      <c r="AA1428" s="7">
        <f t="shared" si="13"/>
        <v>26</v>
      </c>
      <c r="AB1428" t="s">
        <v>2690</v>
      </c>
      <c r="AG1428" s="7">
        <v>2023</v>
      </c>
      <c r="AH1428" t="s">
        <v>482</v>
      </c>
      <c r="AK1428" t="s">
        <v>140</v>
      </c>
      <c r="AL1428" s="3" t="s">
        <v>59</v>
      </c>
    </row>
    <row r="1429" spans="1:38" ht="30" customHeight="1">
      <c r="A1429" s="3" t="s">
        <v>44</v>
      </c>
      <c r="B1429" s="3" t="s">
        <v>45</v>
      </c>
      <c r="G1429" t="s">
        <v>2691</v>
      </c>
      <c r="H1429" s="19">
        <f t="shared" si="14"/>
        <v>25</v>
      </c>
      <c r="I1429" s="7">
        <f t="shared" si="11"/>
        <v>300</v>
      </c>
      <c r="J1429" s="7">
        <f t="shared" si="12"/>
        <v>9161</v>
      </c>
      <c r="K1429" t="s">
        <v>64</v>
      </c>
      <c r="L1429" s="1">
        <v>35938</v>
      </c>
      <c r="M1429" s="17" t="s">
        <v>45</v>
      </c>
      <c r="N1429" t="s">
        <v>83</v>
      </c>
      <c r="O1429" t="s">
        <v>52</v>
      </c>
      <c r="P1429" t="s">
        <v>2579</v>
      </c>
      <c r="Q1429">
        <v>0</v>
      </c>
      <c r="R1429" s="1">
        <v>45120</v>
      </c>
      <c r="S1429" s="1">
        <v>45099</v>
      </c>
      <c r="T1429" s="3" t="s">
        <v>54</v>
      </c>
      <c r="U1429" t="s">
        <v>55</v>
      </c>
      <c r="Z1429">
        <v>6</v>
      </c>
      <c r="AA1429" s="7">
        <f t="shared" si="13"/>
        <v>25</v>
      </c>
      <c r="AB1429" t="s">
        <v>2692</v>
      </c>
      <c r="AG1429" s="7">
        <v>2023</v>
      </c>
      <c r="AH1429" t="s">
        <v>482</v>
      </c>
      <c r="AK1429" t="s">
        <v>2693</v>
      </c>
      <c r="AL1429" s="3" t="s">
        <v>59</v>
      </c>
    </row>
    <row r="1430" spans="1:38" ht="30" customHeight="1">
      <c r="A1430" s="3" t="s">
        <v>44</v>
      </c>
      <c r="B1430" s="3" t="s">
        <v>45</v>
      </c>
      <c r="G1430" t="s">
        <v>2694</v>
      </c>
      <c r="H1430" s="19">
        <f t="shared" si="14"/>
        <v>46</v>
      </c>
      <c r="I1430" s="7">
        <f t="shared" si="11"/>
        <v>553</v>
      </c>
      <c r="J1430" s="7">
        <f t="shared" si="12"/>
        <v>16832</v>
      </c>
      <c r="K1430" t="s">
        <v>64</v>
      </c>
      <c r="L1430" s="1">
        <v>28284</v>
      </c>
      <c r="M1430" s="17" t="s">
        <v>45</v>
      </c>
      <c r="N1430" t="s">
        <v>83</v>
      </c>
      <c r="O1430" t="s">
        <v>52</v>
      </c>
      <c r="P1430" t="s">
        <v>2579</v>
      </c>
      <c r="Q1430">
        <v>0</v>
      </c>
      <c r="R1430" s="1">
        <v>45120</v>
      </c>
      <c r="S1430" s="1">
        <v>45116</v>
      </c>
      <c r="T1430" s="3" t="s">
        <v>54</v>
      </c>
      <c r="U1430" t="s">
        <v>55</v>
      </c>
      <c r="Z1430">
        <v>7</v>
      </c>
      <c r="AA1430" s="7">
        <f t="shared" si="13"/>
        <v>28</v>
      </c>
      <c r="AB1430" t="s">
        <v>2695</v>
      </c>
      <c r="AG1430" s="7">
        <v>2023</v>
      </c>
      <c r="AH1430" t="s">
        <v>482</v>
      </c>
      <c r="AK1430" t="s">
        <v>2693</v>
      </c>
      <c r="AL1430" s="3" t="s">
        <v>59</v>
      </c>
    </row>
    <row r="1431" spans="1:38" ht="30" customHeight="1">
      <c r="A1431" s="3" t="s">
        <v>44</v>
      </c>
      <c r="B1431" s="3" t="s">
        <v>45</v>
      </c>
      <c r="G1431" t="s">
        <v>2696</v>
      </c>
      <c r="H1431" s="19">
        <f t="shared" si="14"/>
        <v>7</v>
      </c>
      <c r="I1431" s="7">
        <f t="shared" si="11"/>
        <v>93</v>
      </c>
      <c r="J1431" s="7">
        <f t="shared" si="12"/>
        <v>2848</v>
      </c>
      <c r="K1431" t="s">
        <v>51</v>
      </c>
      <c r="L1431" s="1">
        <v>42268</v>
      </c>
      <c r="M1431" s="17" t="s">
        <v>45</v>
      </c>
      <c r="N1431" t="s">
        <v>83</v>
      </c>
      <c r="O1431" t="s">
        <v>52</v>
      </c>
      <c r="P1431" t="s">
        <v>2472</v>
      </c>
      <c r="Q1431">
        <v>0</v>
      </c>
      <c r="R1431" s="1">
        <v>45120</v>
      </c>
      <c r="S1431" s="1">
        <v>45116</v>
      </c>
      <c r="T1431" s="3" t="s">
        <v>54</v>
      </c>
      <c r="U1431" t="s">
        <v>55</v>
      </c>
      <c r="Z1431">
        <v>7</v>
      </c>
      <c r="AA1431" s="7">
        <f t="shared" si="13"/>
        <v>28</v>
      </c>
      <c r="AB1431" t="s">
        <v>2697</v>
      </c>
      <c r="AG1431" s="7">
        <v>2023</v>
      </c>
      <c r="AH1431" t="s">
        <v>482</v>
      </c>
      <c r="AK1431" t="s">
        <v>2698</v>
      </c>
      <c r="AL1431" s="3" t="s">
        <v>59</v>
      </c>
    </row>
    <row r="1432" spans="1:38" ht="30" customHeight="1">
      <c r="A1432" s="3" t="s">
        <v>44</v>
      </c>
      <c r="B1432" s="3" t="s">
        <v>45</v>
      </c>
      <c r="G1432" t="s">
        <v>2699</v>
      </c>
      <c r="H1432" s="19">
        <f t="shared" si="14"/>
        <v>16</v>
      </c>
      <c r="I1432" s="7">
        <f t="shared" si="11"/>
        <v>198</v>
      </c>
      <c r="J1432" s="7">
        <f t="shared" si="12"/>
        <v>6034</v>
      </c>
      <c r="K1432" t="s">
        <v>64</v>
      </c>
      <c r="L1432" s="1">
        <v>39056</v>
      </c>
      <c r="M1432" s="17" t="s">
        <v>45</v>
      </c>
      <c r="N1432" t="s">
        <v>83</v>
      </c>
      <c r="O1432" t="s">
        <v>52</v>
      </c>
      <c r="P1432" t="s">
        <v>2521</v>
      </c>
      <c r="Q1432">
        <v>0</v>
      </c>
      <c r="R1432" s="1">
        <v>45120</v>
      </c>
      <c r="S1432" s="1">
        <v>45090</v>
      </c>
      <c r="T1432" s="3" t="s">
        <v>54</v>
      </c>
      <c r="U1432" t="s">
        <v>55</v>
      </c>
      <c r="Z1432">
        <v>6</v>
      </c>
      <c r="AA1432" s="7">
        <f t="shared" si="13"/>
        <v>24</v>
      </c>
      <c r="AB1432" t="s">
        <v>2700</v>
      </c>
      <c r="AG1432" s="7">
        <v>2023</v>
      </c>
      <c r="AH1432" t="s">
        <v>482</v>
      </c>
      <c r="AK1432" t="s">
        <v>2654</v>
      </c>
      <c r="AL1432" s="3" t="s">
        <v>59</v>
      </c>
    </row>
    <row r="1433" spans="1:38" ht="30" customHeight="1">
      <c r="A1433" s="3" t="s">
        <v>44</v>
      </c>
      <c r="B1433" s="3" t="s">
        <v>45</v>
      </c>
      <c r="G1433">
        <v>3534590</v>
      </c>
      <c r="H1433" s="20">
        <f t="shared" si="14"/>
        <v>0.25</v>
      </c>
      <c r="I1433" s="7">
        <f t="shared" si="11"/>
        <v>3</v>
      </c>
      <c r="J1433" s="7">
        <f t="shared" si="12"/>
        <v>119</v>
      </c>
      <c r="K1433" t="s">
        <v>64</v>
      </c>
      <c r="L1433" s="1">
        <v>44965</v>
      </c>
      <c r="M1433" s="17" t="s">
        <v>45</v>
      </c>
      <c r="N1433" t="s">
        <v>49</v>
      </c>
      <c r="O1433" t="s">
        <v>52</v>
      </c>
      <c r="P1433" t="s">
        <v>2701</v>
      </c>
      <c r="Q1433">
        <v>1</v>
      </c>
      <c r="R1433" s="1">
        <v>45114</v>
      </c>
      <c r="S1433" s="1">
        <v>45084</v>
      </c>
      <c r="T1433" s="3" t="s">
        <v>54</v>
      </c>
      <c r="U1433" t="s">
        <v>55</v>
      </c>
      <c r="Z1433">
        <v>6</v>
      </c>
      <c r="AA1433" s="7">
        <f t="shared" si="13"/>
        <v>23</v>
      </c>
      <c r="AB1433" t="s">
        <v>2702</v>
      </c>
      <c r="AG1433" s="7">
        <v>2023</v>
      </c>
      <c r="AH1433" t="s">
        <v>452</v>
      </c>
      <c r="AK1433" t="s">
        <v>2703</v>
      </c>
      <c r="AL1433" s="3" t="s">
        <v>59</v>
      </c>
    </row>
    <row r="1434" spans="1:38" ht="30" customHeight="1">
      <c r="A1434" s="3" t="s">
        <v>44</v>
      </c>
      <c r="B1434" s="3" t="s">
        <v>45</v>
      </c>
      <c r="G1434">
        <v>27567</v>
      </c>
      <c r="H1434" s="19">
        <f t="shared" si="14"/>
        <v>5</v>
      </c>
      <c r="I1434" s="7">
        <f t="shared" si="11"/>
        <v>69</v>
      </c>
      <c r="J1434" s="7">
        <f t="shared" si="12"/>
        <v>2108</v>
      </c>
      <c r="K1434" t="s">
        <v>64</v>
      </c>
      <c r="L1434" s="1">
        <v>43007</v>
      </c>
      <c r="M1434" s="17" t="s">
        <v>45</v>
      </c>
      <c r="N1434" t="s">
        <v>159</v>
      </c>
      <c r="O1434" t="s">
        <v>52</v>
      </c>
      <c r="P1434" t="s">
        <v>2592</v>
      </c>
      <c r="Q1434">
        <v>1</v>
      </c>
      <c r="R1434" s="1">
        <v>45115</v>
      </c>
      <c r="S1434" s="1">
        <v>45115</v>
      </c>
      <c r="T1434" s="3" t="s">
        <v>54</v>
      </c>
      <c r="U1434" t="s">
        <v>55</v>
      </c>
      <c r="Z1434">
        <v>7</v>
      </c>
      <c r="AA1434" s="7">
        <f t="shared" si="13"/>
        <v>27</v>
      </c>
      <c r="AB1434" t="s">
        <v>2704</v>
      </c>
      <c r="AG1434" s="7">
        <v>2023</v>
      </c>
      <c r="AH1434" t="s">
        <v>105</v>
      </c>
      <c r="AK1434" t="s">
        <v>2705</v>
      </c>
      <c r="AL1434" s="3" t="s">
        <v>59</v>
      </c>
    </row>
  </sheetData>
  <autoFilter ref="A1:AR1434" xr:uid="{00000000-0009-0000-0000-000000000000}">
    <sortState xmlns:xlrd2="http://schemas.microsoft.com/office/spreadsheetml/2017/richdata2" ref="A3:AR1357">
      <sortCondition ref="AK1:AK1434"/>
    </sortState>
  </autoFilter>
  <conditionalFormatting sqref="L1421:L1423">
    <cfRule type="duplicateValues" dxfId="0" priority="16"/>
  </conditionalFormatting>
  <pageMargins left="0.7" right="0.7" top="0.75" bottom="0.75" header="0.3" footer="0.3"/>
  <pageSetup paperSize="9" orientation="portrait" horizont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RESU</dc:creator>
  <cp:lastModifiedBy>Van Renzo Clarin</cp:lastModifiedBy>
  <dcterms:created xsi:type="dcterms:W3CDTF">2023-04-28T00:05:00Z</dcterms:created>
  <dcterms:modified xsi:type="dcterms:W3CDTF">2026-05-14T01:20:53Z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7061DC0597C6452497BEEA31688613B4_13</vt:lpwstr>
  </property>
  <property fmtid="{D5CDD505-2E9C-101B-9397-08002B2CF9AE}" pid="3" name="KSOProductBuildVer">
    <vt:lpwstr>1033-12.2.0.23155</vt:lpwstr>
  </property>
</Properties>
</file>